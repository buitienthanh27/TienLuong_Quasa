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NHA MAY\2026\LUONG CNTT\"/>
    </mc:Choice>
  </mc:AlternateContent>
  <bookViews>
    <workbookView xWindow="0" yWindow="0" windowWidth="20730" windowHeight="8235"/>
  </bookViews>
  <sheets>
    <sheet name="BCD D1T1" sheetId="1" r:id="rId1"/>
    <sheet name="BPTL D1T1" sheetId="2" r:id="rId2"/>
    <sheet name="BCC D1(26)" sheetId="39" r:id="rId3"/>
    <sheet name="BTHKL D1 T1 (26)" sheetId="38" r:id="rId4"/>
    <sheet name="BPHAN CHIA " sheetId="37" r:id="rId5"/>
    <sheet name="KLCN t1 dot 1" sheetId="32" r:id="rId6"/>
    <sheet name="TTL dot​2 (31947)" sheetId="4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'BCC D1(26)'!$A$11:$AE$91</definedName>
    <definedName name="_xlnm._FilterDatabase" localSheetId="4" hidden="1">'BPHAN CHIA '!$A$10:$T$21</definedName>
    <definedName name="_xlnm._FilterDatabase" localSheetId="5" hidden="1">'KLCN t1 dot 1'!$A$11:$AA$84</definedName>
    <definedName name="_xlnm.Print_Area" localSheetId="5">'KLCN t1 dot 1'!$A$1:$AA$89</definedName>
    <definedName name="_xlnm.Print_Area" localSheetId="6">'TTL dot​2 (31947)'!$A$1:$AQ$117</definedName>
    <definedName name="_xlnm.Print_Titles" localSheetId="2">'BCC D1(26)'!$11:$11</definedName>
    <definedName name="_xlnm.Print_Titles" localSheetId="1">'BPTL D1T1'!$11:$13</definedName>
    <definedName name="_xlnm.Print_Titles" localSheetId="3">'BTHKL D1 T1 (26)'!$10:$11</definedName>
    <definedName name="_xlnm.Print_Titles" localSheetId="5">'KLCN t1 dot 1'!$11:$12</definedName>
    <definedName name="_xlnm.Print_Titles" localSheetId="6">'TTL dot​2 (31947)'!$10:$12</definedName>
  </definedNames>
  <calcPr calcId="162913"/>
</workbook>
</file>

<file path=xl/calcChain.xml><?xml version="1.0" encoding="utf-8"?>
<calcChain xmlns="http://schemas.openxmlformats.org/spreadsheetml/2006/main">
  <c r="L22" i="2" l="1"/>
  <c r="G81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2" i="4"/>
  <c r="G83" i="4"/>
  <c r="E16" i="2"/>
  <c r="E17" i="2"/>
  <c r="E18" i="2"/>
  <c r="E19" i="2"/>
  <c r="E20" i="2"/>
  <c r="E21" i="2"/>
  <c r="E22" i="2"/>
  <c r="L21" i="2"/>
  <c r="U69" i="32" l="1"/>
  <c r="V101" i="39" l="1"/>
  <c r="V73" i="32" s="1"/>
  <c r="W73" i="32" s="1"/>
  <c r="V100" i="39"/>
  <c r="V70" i="32" s="1"/>
  <c r="W70" i="32" s="1"/>
  <c r="U100" i="39"/>
  <c r="V99" i="39"/>
  <c r="V62" i="32" s="1"/>
  <c r="W62" i="32" s="1"/>
  <c r="V98" i="39"/>
  <c r="V96" i="39"/>
  <c r="V95" i="39"/>
  <c r="T31" i="32" s="1"/>
  <c r="U31" i="32" s="1"/>
  <c r="A96" i="39"/>
  <c r="A99" i="39" s="1"/>
  <c r="A100" i="39" s="1"/>
  <c r="A101" i="39" s="1"/>
  <c r="V93" i="39"/>
  <c r="R14" i="32" s="1"/>
  <c r="S14" i="32" s="1"/>
  <c r="V92" i="39"/>
  <c r="X91" i="39"/>
  <c r="V90" i="39"/>
  <c r="AA89" i="39"/>
  <c r="V89" i="39"/>
  <c r="AA88" i="39"/>
  <c r="V88" i="39"/>
  <c r="AA87" i="39"/>
  <c r="X87" i="39"/>
  <c r="V87" i="39"/>
  <c r="AA86" i="39"/>
  <c r="X86" i="39"/>
  <c r="V86" i="39"/>
  <c r="AA85" i="39"/>
  <c r="X85" i="39"/>
  <c r="V85" i="39"/>
  <c r="AA84" i="39"/>
  <c r="X84" i="39"/>
  <c r="V84" i="39"/>
  <c r="AA83" i="39"/>
  <c r="X83" i="39"/>
  <c r="V83" i="39"/>
  <c r="AA82" i="39"/>
  <c r="X82" i="39"/>
  <c r="V82" i="39"/>
  <c r="V81" i="39"/>
  <c r="AA80" i="39"/>
  <c r="X80" i="39"/>
  <c r="V80" i="39"/>
  <c r="AA79" i="39"/>
  <c r="X79" i="39"/>
  <c r="V79" i="39"/>
  <c r="AA78" i="39"/>
  <c r="X78" i="39"/>
  <c r="V78" i="39"/>
  <c r="AA77" i="39"/>
  <c r="X77" i="39"/>
  <c r="V77" i="39"/>
  <c r="AA76" i="39"/>
  <c r="X76" i="39"/>
  <c r="V76" i="39"/>
  <c r="AA75" i="39"/>
  <c r="X75" i="39"/>
  <c r="V75" i="39"/>
  <c r="AA74" i="39"/>
  <c r="X74" i="39"/>
  <c r="V74" i="39"/>
  <c r="AA73" i="39"/>
  <c r="X73" i="39"/>
  <c r="V73" i="39"/>
  <c r="AA72" i="39"/>
  <c r="X72" i="39"/>
  <c r="V72" i="39"/>
  <c r="AA71" i="39"/>
  <c r="X71" i="39"/>
  <c r="V71" i="39"/>
  <c r="AA70" i="39"/>
  <c r="X70" i="39"/>
  <c r="V70" i="39"/>
  <c r="AA69" i="39"/>
  <c r="X69" i="39"/>
  <c r="V69" i="39"/>
  <c r="AA68" i="39"/>
  <c r="X68" i="39"/>
  <c r="V68" i="39"/>
  <c r="AA67" i="39"/>
  <c r="X67" i="39"/>
  <c r="V67" i="39"/>
  <c r="AA66" i="39"/>
  <c r="X66" i="39"/>
  <c r="V66" i="39"/>
  <c r="AA65" i="39"/>
  <c r="X65" i="39"/>
  <c r="V65" i="39"/>
  <c r="AA64" i="39"/>
  <c r="X64" i="39"/>
  <c r="V64" i="39"/>
  <c r="AA63" i="39"/>
  <c r="X63" i="39"/>
  <c r="V63" i="39"/>
  <c r="AA62" i="39"/>
  <c r="X62" i="39"/>
  <c r="V62" i="39"/>
  <c r="AA61" i="39"/>
  <c r="X61" i="39"/>
  <c r="V61" i="39"/>
  <c r="AA60" i="39"/>
  <c r="X60" i="39"/>
  <c r="V60" i="39"/>
  <c r="AA59" i="39"/>
  <c r="X59" i="39"/>
  <c r="V59" i="39"/>
  <c r="V58" i="39"/>
  <c r="A58" i="39"/>
  <c r="A60" i="39" s="1"/>
  <c r="A62" i="39" s="1"/>
  <c r="A63" i="39" s="1"/>
  <c r="A64" i="39" s="1"/>
  <c r="A65" i="39" s="1"/>
  <c r="A66" i="39" s="1"/>
  <c r="A67" i="39" s="1"/>
  <c r="A68" i="39" s="1"/>
  <c r="A69" i="39" s="1"/>
  <c r="A70" i="39" s="1"/>
  <c r="A71" i="39" s="1"/>
  <c r="A72" i="39" s="1"/>
  <c r="A73" i="39" s="1"/>
  <c r="A74" i="39" s="1"/>
  <c r="A75" i="39" s="1"/>
  <c r="A76" i="39" s="1"/>
  <c r="A77" i="39" s="1"/>
  <c r="A78" i="39" s="1"/>
  <c r="A79" i="39" s="1"/>
  <c r="A80" i="39" s="1"/>
  <c r="A81" i="39" s="1"/>
  <c r="A82" i="39" s="1"/>
  <c r="A83" i="39" s="1"/>
  <c r="A84" i="39" s="1"/>
  <c r="A85" i="39" s="1"/>
  <c r="A86" i="39" s="1"/>
  <c r="A87" i="39" s="1"/>
  <c r="A88" i="39" s="1"/>
  <c r="A89" i="39" s="1"/>
  <c r="A90" i="39" s="1"/>
  <c r="AA57" i="39"/>
  <c r="X57" i="39"/>
  <c r="V57" i="39"/>
  <c r="V56" i="39"/>
  <c r="L52" i="32" s="1"/>
  <c r="M52" i="32" s="1"/>
  <c r="AA55" i="39"/>
  <c r="X55" i="39"/>
  <c r="V55" i="39"/>
  <c r="N51" i="32" s="1"/>
  <c r="O51" i="32" s="1"/>
  <c r="AA54" i="39"/>
  <c r="V54" i="39"/>
  <c r="AA53" i="39"/>
  <c r="X53" i="39"/>
  <c r="V53" i="39"/>
  <c r="J50" i="32" s="1"/>
  <c r="K50" i="32" s="1"/>
  <c r="AA52" i="39"/>
  <c r="X52" i="39"/>
  <c r="V52" i="39"/>
  <c r="V51" i="39"/>
  <c r="AA50" i="39"/>
  <c r="V50" i="39"/>
  <c r="AA49" i="39"/>
  <c r="X49" i="39"/>
  <c r="V49" i="39"/>
  <c r="AA48" i="39"/>
  <c r="X48" i="39"/>
  <c r="V48" i="39"/>
  <c r="AA47" i="39"/>
  <c r="X47" i="39"/>
  <c r="V47" i="39"/>
  <c r="AA46" i="39"/>
  <c r="X46" i="39"/>
  <c r="V46" i="39"/>
  <c r="AA45" i="39"/>
  <c r="X45" i="39"/>
  <c r="V45" i="39"/>
  <c r="A45" i="39"/>
  <c r="A46" i="39" s="1"/>
  <c r="A47" i="39" s="1"/>
  <c r="A48" i="39" s="1"/>
  <c r="A49" i="39" s="1"/>
  <c r="A50" i="39" s="1"/>
  <c r="A51" i="39" s="1"/>
  <c r="A52" i="39" s="1"/>
  <c r="A53" i="39" s="1"/>
  <c r="AA44" i="39"/>
  <c r="X44" i="39"/>
  <c r="V44" i="39"/>
  <c r="AA43" i="39"/>
  <c r="X43" i="39"/>
  <c r="V43" i="39"/>
  <c r="AA42" i="39"/>
  <c r="X42" i="39"/>
  <c r="V42" i="39"/>
  <c r="AA41" i="39"/>
  <c r="X41" i="39"/>
  <c r="V41" i="39"/>
  <c r="AA40" i="39"/>
  <c r="X40" i="39"/>
  <c r="V40" i="39"/>
  <c r="AA39" i="39"/>
  <c r="X39" i="39"/>
  <c r="V39" i="39"/>
  <c r="AA38" i="39"/>
  <c r="X38" i="39"/>
  <c r="V38" i="39"/>
  <c r="AA37" i="39"/>
  <c r="X37" i="39"/>
  <c r="V37" i="39"/>
  <c r="AA36" i="39"/>
  <c r="X36" i="39"/>
  <c r="V36" i="39"/>
  <c r="AA35" i="39"/>
  <c r="X35" i="39"/>
  <c r="V35" i="39"/>
  <c r="AA34" i="39"/>
  <c r="X34" i="39"/>
  <c r="V34" i="39"/>
  <c r="AA33" i="39"/>
  <c r="X33" i="39"/>
  <c r="V33" i="39"/>
  <c r="AA32" i="39"/>
  <c r="X32" i="39"/>
  <c r="V32" i="39"/>
  <c r="AA31" i="39"/>
  <c r="X31" i="39"/>
  <c r="V31" i="39"/>
  <c r="AA30" i="39"/>
  <c r="X30" i="39"/>
  <c r="V30" i="39"/>
  <c r="AA29" i="39"/>
  <c r="X29" i="39"/>
  <c r="V29" i="39"/>
  <c r="AA28" i="39"/>
  <c r="X28" i="39"/>
  <c r="V28" i="39"/>
  <c r="AA27" i="39"/>
  <c r="X27" i="39"/>
  <c r="V27" i="39"/>
  <c r="AA26" i="39"/>
  <c r="X26" i="39"/>
  <c r="V26" i="39"/>
  <c r="AA25" i="39"/>
  <c r="X25" i="39"/>
  <c r="V25" i="39"/>
  <c r="AA24" i="39"/>
  <c r="X24" i="39"/>
  <c r="V24" i="39"/>
  <c r="AA23" i="39"/>
  <c r="X23" i="39"/>
  <c r="V23" i="39"/>
  <c r="A23" i="39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39" i="39" s="1"/>
  <c r="A40" i="39" s="1"/>
  <c r="A41" i="39" s="1"/>
  <c r="A42" i="39" s="1"/>
  <c r="A43" i="39" s="1"/>
  <c r="AA22" i="39"/>
  <c r="X22" i="39"/>
  <c r="V22" i="39"/>
  <c r="V21" i="39"/>
  <c r="AB21" i="39" s="1"/>
  <c r="AA20" i="39"/>
  <c r="Y20" i="39"/>
  <c r="X20" i="39"/>
  <c r="V20" i="39"/>
  <c r="V19" i="39"/>
  <c r="AB19" i="39" s="1"/>
  <c r="AE19" i="39" s="1"/>
  <c r="AA18" i="39"/>
  <c r="Y18" i="39"/>
  <c r="X18" i="39"/>
  <c r="V18" i="39"/>
  <c r="L17" i="32" s="1"/>
  <c r="M17" i="32" s="1"/>
  <c r="V17" i="39"/>
  <c r="AB17" i="39" s="1"/>
  <c r="AE17" i="39" s="1"/>
  <c r="AA16" i="39"/>
  <c r="Y16" i="39"/>
  <c r="X16" i="39"/>
  <c r="V16" i="39"/>
  <c r="AD16" i="39" s="1"/>
  <c r="AA15" i="39"/>
  <c r="Y15" i="39"/>
  <c r="X15" i="39"/>
  <c r="V15" i="39"/>
  <c r="AD15" i="39" s="1"/>
  <c r="Y14" i="39"/>
  <c r="V14" i="39"/>
  <c r="AD14" i="39" s="1"/>
  <c r="AA13" i="39"/>
  <c r="Y13" i="39"/>
  <c r="X13" i="39"/>
  <c r="V13" i="39"/>
  <c r="AD13" i="39" s="1"/>
  <c r="A13" i="39"/>
  <c r="A15" i="39" s="1"/>
  <c r="A16" i="39" s="1"/>
  <c r="AA12" i="39"/>
  <c r="Y12" i="39"/>
  <c r="X12" i="39"/>
  <c r="V12" i="39"/>
  <c r="AD12" i="39" s="1"/>
  <c r="G11" i="39"/>
  <c r="H11" i="39" s="1"/>
  <c r="I11" i="39" s="1"/>
  <c r="J11" i="39" s="1"/>
  <c r="K11" i="39" s="1"/>
  <c r="L11" i="39" s="1"/>
  <c r="M11" i="39" s="1"/>
  <c r="N11" i="39" s="1"/>
  <c r="O11" i="39" s="1"/>
  <c r="P11" i="39" s="1"/>
  <c r="Q11" i="39" s="1"/>
  <c r="R11" i="39" s="1"/>
  <c r="S11" i="39" s="1"/>
  <c r="T11" i="39" s="1"/>
  <c r="Z9" i="39"/>
  <c r="A9" i="39"/>
  <c r="A8" i="39"/>
  <c r="A7" i="39"/>
  <c r="A6" i="39"/>
  <c r="J28" i="38"/>
  <c r="I27" i="38"/>
  <c r="E25" i="38"/>
  <c r="D25" i="38"/>
  <c r="E24" i="38"/>
  <c r="D24" i="38"/>
  <c r="F24" i="38" s="1"/>
  <c r="E23" i="38"/>
  <c r="F23" i="38" s="1"/>
  <c r="E22" i="38"/>
  <c r="F22" i="38" s="1"/>
  <c r="L22" i="38" s="1"/>
  <c r="E20" i="38"/>
  <c r="F20" i="38" s="1"/>
  <c r="D21" i="2" s="1"/>
  <c r="F19" i="38"/>
  <c r="E19" i="38"/>
  <c r="E18" i="38"/>
  <c r="F18" i="38" s="1"/>
  <c r="E17" i="38"/>
  <c r="F17" i="38" s="1"/>
  <c r="D18" i="2" s="1"/>
  <c r="E16" i="38"/>
  <c r="F16" i="38" s="1"/>
  <c r="K15" i="38"/>
  <c r="I15" i="38" s="1"/>
  <c r="F15" i="38"/>
  <c r="L15" i="38" s="1"/>
  <c r="E15" i="38"/>
  <c r="E13" i="38"/>
  <c r="D13" i="38"/>
  <c r="A13" i="38"/>
  <c r="A14" i="38" s="1"/>
  <c r="A17" i="38" s="1"/>
  <c r="A18" i="38" s="1"/>
  <c r="A19" i="38" s="1"/>
  <c r="A20" i="38" s="1"/>
  <c r="A21" i="38" s="1"/>
  <c r="E12" i="38"/>
  <c r="D12" i="38"/>
  <c r="F12" i="38" s="1"/>
  <c r="D15" i="2" s="1"/>
  <c r="F55" i="32"/>
  <c r="F24" i="32"/>
  <c r="F28" i="32"/>
  <c r="F32" i="32"/>
  <c r="F36" i="32"/>
  <c r="D70" i="32"/>
  <c r="E70" i="32" s="1"/>
  <c r="D77" i="32"/>
  <c r="D79" i="32"/>
  <c r="D45" i="32"/>
  <c r="D49" i="32"/>
  <c r="P260" i="37"/>
  <c r="L260" i="37"/>
  <c r="H260" i="37"/>
  <c r="T257" i="37"/>
  <c r="S257" i="37"/>
  <c r="R257" i="37"/>
  <c r="Q257" i="37"/>
  <c r="P257" i="37"/>
  <c r="O257" i="37"/>
  <c r="N257" i="37"/>
  <c r="M257" i="37"/>
  <c r="L257" i="37"/>
  <c r="K257" i="37"/>
  <c r="J257" i="37"/>
  <c r="I257" i="37"/>
  <c r="H257" i="37"/>
  <c r="G257" i="37"/>
  <c r="F257" i="37"/>
  <c r="E257" i="37"/>
  <c r="S256" i="37"/>
  <c r="S260" i="37" s="1"/>
  <c r="R256" i="37"/>
  <c r="R258" i="37" s="1"/>
  <c r="R261" i="37" s="1"/>
  <c r="Q256" i="37"/>
  <c r="Q258" i="37" s="1"/>
  <c r="P256" i="37"/>
  <c r="P258" i="37" s="1"/>
  <c r="O256" i="37"/>
  <c r="O260" i="37" s="1"/>
  <c r="N256" i="37"/>
  <c r="N258" i="37" s="1"/>
  <c r="M256" i="37"/>
  <c r="M258" i="37" s="1"/>
  <c r="L256" i="37"/>
  <c r="L258" i="37" s="1"/>
  <c r="K256" i="37"/>
  <c r="K260" i="37" s="1"/>
  <c r="J256" i="37"/>
  <c r="J258" i="37" s="1"/>
  <c r="I256" i="37"/>
  <c r="I258" i="37" s="1"/>
  <c r="H256" i="37"/>
  <c r="H258" i="37" s="1"/>
  <c r="H261" i="37" s="1"/>
  <c r="G256" i="37"/>
  <c r="G260" i="37" s="1"/>
  <c r="F256" i="37"/>
  <c r="F258" i="37" s="1"/>
  <c r="F261" i="37" s="1"/>
  <c r="E256" i="37"/>
  <c r="S244" i="37"/>
  <c r="R244" i="37"/>
  <c r="Q244" i="37"/>
  <c r="P244" i="37"/>
  <c r="O244" i="37"/>
  <c r="N244" i="37"/>
  <c r="M244" i="37"/>
  <c r="L244" i="37"/>
  <c r="K244" i="37"/>
  <c r="J244" i="37"/>
  <c r="I244" i="37"/>
  <c r="H244" i="37"/>
  <c r="G244" i="37"/>
  <c r="F244" i="37"/>
  <c r="E244" i="37"/>
  <c r="S242" i="37"/>
  <c r="R242" i="37"/>
  <c r="Q242" i="37"/>
  <c r="P242" i="37"/>
  <c r="O242" i="37"/>
  <c r="N242" i="37"/>
  <c r="M242" i="37"/>
  <c r="L242" i="37"/>
  <c r="K242" i="37"/>
  <c r="J242" i="37"/>
  <c r="I242" i="37"/>
  <c r="H242" i="37"/>
  <c r="G242" i="37"/>
  <c r="F242" i="37"/>
  <c r="E242" i="37"/>
  <c r="U241" i="37"/>
  <c r="T241" i="37" s="1"/>
  <c r="F74" i="32" s="1"/>
  <c r="G74" i="32" s="1"/>
  <c r="U240" i="37"/>
  <c r="T240" i="37" s="1"/>
  <c r="F73" i="32" s="1"/>
  <c r="G73" i="32" s="1"/>
  <c r="U239" i="37"/>
  <c r="T239" i="37" s="1"/>
  <c r="F72" i="32" s="1"/>
  <c r="U238" i="37"/>
  <c r="T238" i="37" s="1"/>
  <c r="F71" i="32" s="1"/>
  <c r="U237" i="37"/>
  <c r="T237" i="37" s="1"/>
  <c r="F70" i="32" s="1"/>
  <c r="U236" i="37"/>
  <c r="T236" i="37"/>
  <c r="F69" i="32" s="1"/>
  <c r="U235" i="37"/>
  <c r="T235" i="37" s="1"/>
  <c r="F68" i="32" s="1"/>
  <c r="U234" i="37"/>
  <c r="T234" i="37"/>
  <c r="F67" i="32" s="1"/>
  <c r="U233" i="37"/>
  <c r="T233" i="37" s="1"/>
  <c r="F66" i="32" s="1"/>
  <c r="U232" i="37"/>
  <c r="T232" i="37" s="1"/>
  <c r="F65" i="32" s="1"/>
  <c r="U231" i="37"/>
  <c r="T231" i="37" s="1"/>
  <c r="F64" i="32" s="1"/>
  <c r="U230" i="37"/>
  <c r="T230" i="37" s="1"/>
  <c r="F63" i="32" s="1"/>
  <c r="U229" i="37"/>
  <c r="T229" i="37" s="1"/>
  <c r="F62" i="32" s="1"/>
  <c r="U228" i="37"/>
  <c r="T228" i="37"/>
  <c r="F61" i="32" s="1"/>
  <c r="U227" i="37"/>
  <c r="T227" i="37" s="1"/>
  <c r="F60" i="32" s="1"/>
  <c r="U226" i="37"/>
  <c r="T226" i="37"/>
  <c r="F59" i="32" s="1"/>
  <c r="U225" i="37"/>
  <c r="T225" i="37" s="1"/>
  <c r="F58" i="32" s="1"/>
  <c r="U224" i="37"/>
  <c r="T224" i="37" s="1"/>
  <c r="F57" i="32" s="1"/>
  <c r="U223" i="37"/>
  <c r="T223" i="37" s="1"/>
  <c r="F56" i="32" s="1"/>
  <c r="A223" i="37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U222" i="37"/>
  <c r="T222" i="37"/>
  <c r="Y222" i="37" s="1"/>
  <c r="S204" i="37"/>
  <c r="R204" i="37"/>
  <c r="Q204" i="37"/>
  <c r="P204" i="37"/>
  <c r="O204" i="37"/>
  <c r="N204" i="37"/>
  <c r="M204" i="37"/>
  <c r="L204" i="37"/>
  <c r="K204" i="37"/>
  <c r="J204" i="37"/>
  <c r="I204" i="37"/>
  <c r="H204" i="37"/>
  <c r="G204" i="37"/>
  <c r="F204" i="37"/>
  <c r="E204" i="37"/>
  <c r="W203" i="37"/>
  <c r="W205" i="37" s="1"/>
  <c r="T203" i="37"/>
  <c r="W201" i="37"/>
  <c r="S201" i="37"/>
  <c r="R201" i="37"/>
  <c r="Q201" i="37"/>
  <c r="P201" i="37"/>
  <c r="O201" i="37"/>
  <c r="N201" i="37"/>
  <c r="M201" i="37"/>
  <c r="L201" i="37"/>
  <c r="K201" i="37"/>
  <c r="J201" i="37"/>
  <c r="I201" i="37"/>
  <c r="H201" i="37"/>
  <c r="G201" i="37"/>
  <c r="F201" i="37"/>
  <c r="E201" i="37"/>
  <c r="U200" i="37"/>
  <c r="T200" i="37" s="1"/>
  <c r="F40" i="32" s="1"/>
  <c r="U199" i="37"/>
  <c r="T199" i="37" s="1"/>
  <c r="F39" i="32" s="1"/>
  <c r="U198" i="37"/>
  <c r="T198" i="37" s="1"/>
  <c r="F38" i="32" s="1"/>
  <c r="U197" i="37"/>
  <c r="T197" i="37" s="1"/>
  <c r="F37" i="32" s="1"/>
  <c r="X196" i="37"/>
  <c r="U196" i="37"/>
  <c r="T196" i="37" s="1"/>
  <c r="X195" i="37"/>
  <c r="U195" i="37"/>
  <c r="T195" i="37" s="1"/>
  <c r="F35" i="32" s="1"/>
  <c r="U194" i="37"/>
  <c r="T194" i="37"/>
  <c r="F34" i="32" s="1"/>
  <c r="U193" i="37"/>
  <c r="T193" i="37" s="1"/>
  <c r="F33" i="32" s="1"/>
  <c r="X192" i="37"/>
  <c r="U192" i="37"/>
  <c r="T192" i="37" s="1"/>
  <c r="U191" i="37"/>
  <c r="T191" i="37" s="1"/>
  <c r="F31" i="32" s="1"/>
  <c r="X190" i="37"/>
  <c r="U190" i="37"/>
  <c r="T190" i="37" s="1"/>
  <c r="F30" i="32" s="1"/>
  <c r="X189" i="37"/>
  <c r="U189" i="37"/>
  <c r="T189" i="37" s="1"/>
  <c r="F29" i="32" s="1"/>
  <c r="X188" i="37"/>
  <c r="U188" i="37"/>
  <c r="T188" i="37" s="1"/>
  <c r="X187" i="37"/>
  <c r="U187" i="37"/>
  <c r="T187" i="37" s="1"/>
  <c r="F27" i="32" s="1"/>
  <c r="X186" i="37"/>
  <c r="U186" i="37"/>
  <c r="T186" i="37" s="1"/>
  <c r="F26" i="32" s="1"/>
  <c r="X185" i="37"/>
  <c r="U185" i="37"/>
  <c r="T185" i="37" s="1"/>
  <c r="F25" i="32" s="1"/>
  <c r="X184" i="37"/>
  <c r="U184" i="37"/>
  <c r="T184" i="37" s="1"/>
  <c r="X183" i="37"/>
  <c r="U183" i="37"/>
  <c r="T183" i="37" s="1"/>
  <c r="F23" i="32" s="1"/>
  <c r="X182" i="37"/>
  <c r="U182" i="37"/>
  <c r="T182" i="37" s="1"/>
  <c r="F22" i="32" s="1"/>
  <c r="X181" i="37"/>
  <c r="U181" i="37"/>
  <c r="T181" i="37" s="1"/>
  <c r="F21" i="32" s="1"/>
  <c r="X180" i="37"/>
  <c r="U180" i="37"/>
  <c r="T180" i="37" s="1"/>
  <c r="F20" i="32" s="1"/>
  <c r="A180" i="37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U179" i="37"/>
  <c r="X178" i="37"/>
  <c r="S151" i="37"/>
  <c r="R151" i="37"/>
  <c r="Q151" i="37"/>
  <c r="P151" i="37"/>
  <c r="O151" i="37"/>
  <c r="N151" i="37"/>
  <c r="M151" i="37"/>
  <c r="L151" i="37"/>
  <c r="K151" i="37"/>
  <c r="J151" i="37"/>
  <c r="I151" i="37"/>
  <c r="H151" i="37"/>
  <c r="G151" i="37"/>
  <c r="F151" i="37"/>
  <c r="E151" i="37"/>
  <c r="S149" i="37"/>
  <c r="R149" i="37"/>
  <c r="Q149" i="37"/>
  <c r="P149" i="37"/>
  <c r="O149" i="37"/>
  <c r="N149" i="37"/>
  <c r="M149" i="37"/>
  <c r="L149" i="37"/>
  <c r="K149" i="37"/>
  <c r="J149" i="37"/>
  <c r="I149" i="37"/>
  <c r="H149" i="37"/>
  <c r="G149" i="37"/>
  <c r="F149" i="37"/>
  <c r="E149" i="37"/>
  <c r="U148" i="37"/>
  <c r="T148" i="37"/>
  <c r="D73" i="32" s="1"/>
  <c r="E73" i="32" s="1"/>
  <c r="U147" i="37"/>
  <c r="T147" i="37" s="1"/>
  <c r="D71" i="32" s="1"/>
  <c r="E71" i="32" s="1"/>
  <c r="U146" i="37"/>
  <c r="T146" i="37"/>
  <c r="U145" i="37"/>
  <c r="T145" i="37" s="1"/>
  <c r="D67" i="32" s="1"/>
  <c r="E67" i="32" s="1"/>
  <c r="U144" i="37"/>
  <c r="T144" i="37"/>
  <c r="D66" i="32" s="1"/>
  <c r="E66" i="32" s="1"/>
  <c r="U143" i="37"/>
  <c r="T143" i="37" s="1"/>
  <c r="D65" i="32" s="1"/>
  <c r="E65" i="32" s="1"/>
  <c r="U142" i="37"/>
  <c r="T142" i="37" s="1"/>
  <c r="D63" i="32" s="1"/>
  <c r="E63" i="32" s="1"/>
  <c r="U141" i="37"/>
  <c r="T141" i="37"/>
  <c r="D62" i="32" s="1"/>
  <c r="E62" i="32" s="1"/>
  <c r="U140" i="37"/>
  <c r="T140" i="37" s="1"/>
  <c r="D61" i="32" s="1"/>
  <c r="E61" i="32" s="1"/>
  <c r="U139" i="37"/>
  <c r="T139" i="37" s="1"/>
  <c r="D60" i="32" s="1"/>
  <c r="E60" i="32" s="1"/>
  <c r="U138" i="37"/>
  <c r="T138" i="37" s="1"/>
  <c r="D59" i="32" s="1"/>
  <c r="E59" i="32" s="1"/>
  <c r="U137" i="37"/>
  <c r="T137" i="37"/>
  <c r="D57" i="32" s="1"/>
  <c r="E57" i="32" s="1"/>
  <c r="A137" i="37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U136" i="37"/>
  <c r="T136" i="37" s="1"/>
  <c r="D55" i="32" s="1"/>
  <c r="E55" i="32" s="1"/>
  <c r="T113" i="37"/>
  <c r="S111" i="37"/>
  <c r="R111" i="37"/>
  <c r="Q111" i="37"/>
  <c r="P111" i="37"/>
  <c r="O111" i="37"/>
  <c r="N111" i="37"/>
  <c r="M111" i="37"/>
  <c r="L111" i="37"/>
  <c r="K111" i="37"/>
  <c r="J111" i="37"/>
  <c r="I111" i="37"/>
  <c r="H111" i="37"/>
  <c r="G111" i="37"/>
  <c r="F111" i="37"/>
  <c r="E111" i="37"/>
  <c r="U110" i="37"/>
  <c r="T110" i="37"/>
  <c r="D40" i="32" s="1"/>
  <c r="E40" i="32" s="1"/>
  <c r="U109" i="37"/>
  <c r="T109" i="37" s="1"/>
  <c r="D39" i="32" s="1"/>
  <c r="E39" i="32" s="1"/>
  <c r="U108" i="37"/>
  <c r="T108" i="37"/>
  <c r="D38" i="32" s="1"/>
  <c r="E38" i="32" s="1"/>
  <c r="U107" i="37"/>
  <c r="T107" i="37" s="1"/>
  <c r="D33" i="32" s="1"/>
  <c r="E33" i="32" s="1"/>
  <c r="U106" i="37"/>
  <c r="T106" i="37"/>
  <c r="D32" i="32" s="1"/>
  <c r="E32" i="32" s="1"/>
  <c r="U105" i="37"/>
  <c r="T105" i="37" s="1"/>
  <c r="D31" i="32" s="1"/>
  <c r="E31" i="32" s="1"/>
  <c r="U104" i="37"/>
  <c r="T104" i="37"/>
  <c r="D28" i="32" s="1"/>
  <c r="E28" i="32" s="1"/>
  <c r="U103" i="37"/>
  <c r="T103" i="37" s="1"/>
  <c r="D24" i="32" s="1"/>
  <c r="E24" i="32" s="1"/>
  <c r="U102" i="37"/>
  <c r="T102" i="37" s="1"/>
  <c r="D23" i="32" s="1"/>
  <c r="E23" i="32" s="1"/>
  <c r="U101" i="37"/>
  <c r="T101" i="37"/>
  <c r="D20" i="32" s="1"/>
  <c r="E20" i="32" s="1"/>
  <c r="A101" i="37"/>
  <c r="A102" i="37" s="1"/>
  <c r="A103" i="37" s="1"/>
  <c r="A104" i="37" s="1"/>
  <c r="A105" i="37" s="1"/>
  <c r="A106" i="37" s="1"/>
  <c r="A107" i="37" s="1"/>
  <c r="A108" i="37" s="1"/>
  <c r="A109" i="37" s="1"/>
  <c r="A110" i="37" s="1"/>
  <c r="U100" i="37"/>
  <c r="T100" i="37"/>
  <c r="D19" i="32" s="1"/>
  <c r="E19" i="32" s="1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U72" i="37"/>
  <c r="T72" i="37"/>
  <c r="D83" i="32" s="1"/>
  <c r="U71" i="37"/>
  <c r="T71" i="37" s="1"/>
  <c r="D82" i="32" s="1"/>
  <c r="U70" i="37"/>
  <c r="T70" i="37"/>
  <c r="D81" i="32" s="1"/>
  <c r="E81" i="32" s="1"/>
  <c r="U69" i="37"/>
  <c r="T69" i="37" s="1"/>
  <c r="D80" i="32" s="1"/>
  <c r="U68" i="37"/>
  <c r="T68" i="37"/>
  <c r="U67" i="37"/>
  <c r="T67" i="37" s="1"/>
  <c r="D78" i="32" s="1"/>
  <c r="E78" i="32" s="1"/>
  <c r="U66" i="37"/>
  <c r="T66" i="37" s="1"/>
  <c r="U65" i="37"/>
  <c r="T65" i="37"/>
  <c r="D76" i="32" s="1"/>
  <c r="E76" i="32" s="1"/>
  <c r="U64" i="37"/>
  <c r="T64" i="37" s="1"/>
  <c r="D75" i="32" s="1"/>
  <c r="E75" i="32" s="1"/>
  <c r="E63" i="37"/>
  <c r="E178" i="37" s="1"/>
  <c r="E221" i="37" s="1"/>
  <c r="E243" i="37" s="1"/>
  <c r="A61" i="37"/>
  <c r="A176" i="37" s="1"/>
  <c r="A219" i="37" s="1"/>
  <c r="A59" i="37"/>
  <c r="A53" i="37"/>
  <c r="E25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F21" i="37"/>
  <c r="F25" i="37" s="1"/>
  <c r="F26" i="37" s="1"/>
  <c r="E21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U19" i="37"/>
  <c r="T19" i="37" s="1"/>
  <c r="U18" i="37"/>
  <c r="T18" i="37"/>
  <c r="D48" i="32" s="1"/>
  <c r="U17" i="37"/>
  <c r="T17" i="37" s="1"/>
  <c r="D47" i="32" s="1"/>
  <c r="U16" i="37"/>
  <c r="T16" i="37" s="1"/>
  <c r="D46" i="32" s="1"/>
  <c r="U15" i="37"/>
  <c r="T15" i="37" s="1"/>
  <c r="U14" i="37"/>
  <c r="T14" i="37" s="1"/>
  <c r="D44" i="32" s="1"/>
  <c r="U13" i="37"/>
  <c r="T13" i="37" s="1"/>
  <c r="D43" i="32" s="1"/>
  <c r="U12" i="37"/>
  <c r="T12" i="37"/>
  <c r="D42" i="32" s="1"/>
  <c r="U11" i="37"/>
  <c r="T11" i="37" s="1"/>
  <c r="G10" i="37"/>
  <c r="H10" i="37" s="1"/>
  <c r="H21" i="37" s="1"/>
  <c r="F10" i="37"/>
  <c r="A8" i="37"/>
  <c r="Y27" i="37" l="1"/>
  <c r="D41" i="32"/>
  <c r="L18" i="38"/>
  <c r="D19" i="2"/>
  <c r="L16" i="38"/>
  <c r="F14" i="38"/>
  <c r="D17" i="2" s="1"/>
  <c r="G21" i="37"/>
  <c r="G25" i="37" s="1"/>
  <c r="G26" i="37" s="1"/>
  <c r="U111" i="37"/>
  <c r="G258" i="37"/>
  <c r="F25" i="38"/>
  <c r="U20" i="37"/>
  <c r="E22" i="37"/>
  <c r="F13" i="38"/>
  <c r="D16" i="2" s="1"/>
  <c r="L19" i="38"/>
  <c r="D20" i="2"/>
  <c r="AC21" i="39"/>
  <c r="L53" i="32"/>
  <c r="M53" i="32" s="1"/>
  <c r="AE14" i="39"/>
  <c r="AB14" i="39"/>
  <c r="AD18" i="39"/>
  <c r="AB18" i="39" s="1"/>
  <c r="AC20" i="39"/>
  <c r="P18" i="32"/>
  <c r="Q18" i="32" s="1"/>
  <c r="V97" i="39"/>
  <c r="V55" i="32"/>
  <c r="W55" i="32" s="1"/>
  <c r="L16" i="32"/>
  <c r="M16" i="32" s="1"/>
  <c r="H13" i="32"/>
  <c r="I13" i="32" s="1"/>
  <c r="V91" i="39"/>
  <c r="P54" i="32"/>
  <c r="Q54" i="32" s="1"/>
  <c r="V94" i="39"/>
  <c r="T38" i="32"/>
  <c r="U38" i="32" s="1"/>
  <c r="J14" i="32"/>
  <c r="K14" i="32" s="1"/>
  <c r="N15" i="32"/>
  <c r="O15" i="32" s="1"/>
  <c r="AE15" i="39"/>
  <c r="AB15" i="39"/>
  <c r="AE16" i="39"/>
  <c r="AB16" i="39"/>
  <c r="AE13" i="39"/>
  <c r="AB13" i="39"/>
  <c r="AB12" i="39"/>
  <c r="AE12" i="39"/>
  <c r="AB20" i="39"/>
  <c r="AE18" i="39"/>
  <c r="K17" i="38"/>
  <c r="L17" i="38"/>
  <c r="K23" i="38"/>
  <c r="I23" i="38" s="1"/>
  <c r="L23" i="38"/>
  <c r="L20" i="38"/>
  <c r="K20" i="38"/>
  <c r="I20" i="38" s="1"/>
  <c r="K16" i="38"/>
  <c r="I16" i="38" s="1"/>
  <c r="K19" i="38"/>
  <c r="K18" i="38"/>
  <c r="K22" i="38"/>
  <c r="I22" i="38" s="1"/>
  <c r="F21" i="38"/>
  <c r="D22" i="2" s="1"/>
  <c r="H25" i="37"/>
  <c r="H26" i="37" s="1"/>
  <c r="H22" i="37"/>
  <c r="E247" i="37"/>
  <c r="T20" i="37"/>
  <c r="I10" i="37"/>
  <c r="G22" i="37"/>
  <c r="T73" i="37"/>
  <c r="X11" i="37"/>
  <c r="U73" i="37"/>
  <c r="T149" i="37"/>
  <c r="Y136" i="37"/>
  <c r="Z136" i="37" s="1"/>
  <c r="T151" i="37"/>
  <c r="E245" i="37"/>
  <c r="F22" i="37"/>
  <c r="Y11" i="37"/>
  <c r="Z11" i="37" s="1"/>
  <c r="A174" i="37"/>
  <c r="A217" i="37" s="1"/>
  <c r="A95" i="37"/>
  <c r="A131" i="37" s="1"/>
  <c r="Y64" i="37"/>
  <c r="Z64" i="37" s="1"/>
  <c r="A97" i="37"/>
  <c r="A133" i="37" s="1"/>
  <c r="Y100" i="37"/>
  <c r="Z100" i="37" s="1"/>
  <c r="T111" i="37"/>
  <c r="U149" i="37"/>
  <c r="E99" i="37"/>
  <c r="F221" i="37"/>
  <c r="T244" i="37"/>
  <c r="K258" i="37"/>
  <c r="E202" i="37"/>
  <c r="U242" i="37"/>
  <c r="O258" i="37"/>
  <c r="O261" i="37" s="1"/>
  <c r="F63" i="37"/>
  <c r="E74" i="37"/>
  <c r="E78" i="37" s="1"/>
  <c r="U201" i="37"/>
  <c r="S258" i="37"/>
  <c r="T179" i="37"/>
  <c r="F19" i="32" s="1"/>
  <c r="Z222" i="37"/>
  <c r="T256" i="37"/>
  <c r="E260" i="37"/>
  <c r="I260" i="37"/>
  <c r="M260" i="37"/>
  <c r="Q260" i="37"/>
  <c r="T242" i="37"/>
  <c r="F260" i="37"/>
  <c r="J260" i="37"/>
  <c r="N260" i="37"/>
  <c r="R260" i="37"/>
  <c r="M18" i="38" l="1"/>
  <c r="I18" i="38"/>
  <c r="L21" i="38"/>
  <c r="K21" i="38"/>
  <c r="I21" i="38" s="1"/>
  <c r="M19" i="38"/>
  <c r="I19" i="38"/>
  <c r="F26" i="38"/>
  <c r="I17" i="38"/>
  <c r="M17" i="38"/>
  <c r="F243" i="37"/>
  <c r="G221" i="37"/>
  <c r="E112" i="37"/>
  <c r="E135" i="37"/>
  <c r="E114" i="37"/>
  <c r="I21" i="37"/>
  <c r="J10" i="37"/>
  <c r="Y20" i="37"/>
  <c r="E75" i="37"/>
  <c r="E205" i="37"/>
  <c r="E206" i="37"/>
  <c r="Y179" i="37"/>
  <c r="Z179" i="37" s="1"/>
  <c r="T201" i="37"/>
  <c r="X64" i="37"/>
  <c r="F178" i="37"/>
  <c r="F202" i="37" s="1"/>
  <c r="F99" i="37"/>
  <c r="G63" i="37"/>
  <c r="F74" i="37"/>
  <c r="J27" i="38" l="1"/>
  <c r="I26" i="38"/>
  <c r="F205" i="37"/>
  <c r="F207" i="37" s="1"/>
  <c r="F206" i="37"/>
  <c r="K10" i="37"/>
  <c r="J21" i="37"/>
  <c r="E115" i="37"/>
  <c r="E116" i="37"/>
  <c r="G178" i="37"/>
  <c r="G202" i="37" s="1"/>
  <c r="G99" i="37"/>
  <c r="G74" i="37"/>
  <c r="H63" i="37"/>
  <c r="F114" i="37"/>
  <c r="F112" i="37"/>
  <c r="F135" i="37"/>
  <c r="E150" i="37"/>
  <c r="F75" i="37"/>
  <c r="F78" i="37"/>
  <c r="I25" i="37"/>
  <c r="I26" i="37" s="1"/>
  <c r="I22" i="37"/>
  <c r="G243" i="37"/>
  <c r="H221" i="37"/>
  <c r="F245" i="37"/>
  <c r="F248" i="37" s="1"/>
  <c r="F247" i="37"/>
  <c r="G55" i="32"/>
  <c r="Z13" i="32"/>
  <c r="F13" i="4" s="1"/>
  <c r="A14" i="32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Z16" i="32"/>
  <c r="Z17" i="32"/>
  <c r="G19" i="32"/>
  <c r="U19" i="32"/>
  <c r="G20" i="32"/>
  <c r="Z20" i="32" s="1"/>
  <c r="G21" i="32"/>
  <c r="Z21" i="32" s="1"/>
  <c r="G22" i="32"/>
  <c r="Z22" i="32" s="1"/>
  <c r="G23" i="32"/>
  <c r="Z23" i="32" s="1"/>
  <c r="G24" i="32"/>
  <c r="Z24" i="32" s="1"/>
  <c r="G25" i="32"/>
  <c r="Z25" i="32" s="1"/>
  <c r="G26" i="32"/>
  <c r="Z26" i="32" s="1"/>
  <c r="G27" i="32"/>
  <c r="Z27" i="32" s="1"/>
  <c r="G28" i="32"/>
  <c r="Z28" i="32" s="1"/>
  <c r="G29" i="32"/>
  <c r="Z29" i="32" s="1"/>
  <c r="G30" i="32"/>
  <c r="Z30" i="32" s="1"/>
  <c r="G31" i="32"/>
  <c r="Z31" i="32" s="1"/>
  <c r="G32" i="32"/>
  <c r="Z32" i="32" s="1"/>
  <c r="G33" i="32"/>
  <c r="U33" i="32"/>
  <c r="G34" i="32"/>
  <c r="Z34" i="32" s="1"/>
  <c r="G35" i="32"/>
  <c r="Z35" i="32" s="1"/>
  <c r="G36" i="32"/>
  <c r="Z36" i="32" s="1"/>
  <c r="G37" i="32"/>
  <c r="Z37" i="32" s="1"/>
  <c r="G38" i="32"/>
  <c r="Z38" i="32" s="1"/>
  <c r="G39" i="32"/>
  <c r="Z39" i="32" s="1"/>
  <c r="G40" i="32"/>
  <c r="Z40" i="32" s="1"/>
  <c r="E41" i="32"/>
  <c r="Z41" i="32" s="1"/>
  <c r="E42" i="32"/>
  <c r="E43" i="32"/>
  <c r="Z43" i="32" s="1"/>
  <c r="E44" i="32"/>
  <c r="Z44" i="32" s="1"/>
  <c r="E45" i="32"/>
  <c r="Z45" i="32" s="1"/>
  <c r="E46" i="32"/>
  <c r="Z46" i="32" s="1"/>
  <c r="E47" i="32"/>
  <c r="Z47" i="32" s="1"/>
  <c r="E48" i="32"/>
  <c r="Z48" i="32" s="1"/>
  <c r="E49" i="32"/>
  <c r="Z49" i="32" s="1"/>
  <c r="J84" i="32"/>
  <c r="R50" i="32"/>
  <c r="S50" i="32" s="1"/>
  <c r="Z51" i="32"/>
  <c r="Z52" i="32"/>
  <c r="Z53" i="32"/>
  <c r="Z54" i="32"/>
  <c r="U55" i="32"/>
  <c r="G56" i="32"/>
  <c r="Z56" i="32" s="1"/>
  <c r="G57" i="32"/>
  <c r="Z57" i="32" s="1"/>
  <c r="G58" i="32"/>
  <c r="Z58" i="32" s="1"/>
  <c r="G59" i="32"/>
  <c r="Z59" i="32" s="1"/>
  <c r="G60" i="32"/>
  <c r="U60" i="32"/>
  <c r="G61" i="32"/>
  <c r="Z61" i="32" s="1"/>
  <c r="G62" i="32"/>
  <c r="U62" i="32"/>
  <c r="G63" i="32"/>
  <c r="U63" i="32"/>
  <c r="G64" i="32"/>
  <c r="Z64" i="32" s="1"/>
  <c r="G65" i="32"/>
  <c r="Z65" i="32" s="1"/>
  <c r="G66" i="32"/>
  <c r="Z66" i="32" s="1"/>
  <c r="G67" i="32"/>
  <c r="Z67" i="32" s="1"/>
  <c r="G68" i="32"/>
  <c r="Z68" i="32" s="1"/>
  <c r="G69" i="32"/>
  <c r="G70" i="32"/>
  <c r="Z70" i="32" s="1"/>
  <c r="G71" i="32"/>
  <c r="Z71" i="32" s="1"/>
  <c r="G72" i="32"/>
  <c r="Z72" i="32" s="1"/>
  <c r="U73" i="32"/>
  <c r="Z74" i="32"/>
  <c r="Z75" i="32"/>
  <c r="Z76" i="32"/>
  <c r="E77" i="32"/>
  <c r="Z77" i="32" s="1"/>
  <c r="Z78" i="32"/>
  <c r="E79" i="32"/>
  <c r="Z79" i="32" s="1"/>
  <c r="E80" i="32"/>
  <c r="Z80" i="32" s="1"/>
  <c r="Z81" i="32"/>
  <c r="E82" i="32"/>
  <c r="Z82" i="32" s="1"/>
  <c r="E83" i="32"/>
  <c r="Z83" i="32" s="1"/>
  <c r="H84" i="32"/>
  <c r="V84" i="32"/>
  <c r="W84" i="32"/>
  <c r="X84" i="32"/>
  <c r="Y84" i="32"/>
  <c r="Z60" i="32" l="1"/>
  <c r="J25" i="37"/>
  <c r="J22" i="37"/>
  <c r="H243" i="37"/>
  <c r="I221" i="37"/>
  <c r="E152" i="37"/>
  <c r="E154" i="37"/>
  <c r="H178" i="37"/>
  <c r="H202" i="37" s="1"/>
  <c r="H74" i="37"/>
  <c r="I63" i="37"/>
  <c r="H99" i="37"/>
  <c r="K21" i="37"/>
  <c r="L10" i="37"/>
  <c r="G245" i="37"/>
  <c r="G247" i="37"/>
  <c r="G135" i="37"/>
  <c r="F150" i="37"/>
  <c r="G75" i="37"/>
  <c r="G78" i="37"/>
  <c r="G205" i="37"/>
  <c r="G207" i="37" s="1"/>
  <c r="G206" i="37"/>
  <c r="F116" i="37"/>
  <c r="F115" i="37"/>
  <c r="G114" i="37"/>
  <c r="G112" i="37"/>
  <c r="F67" i="4"/>
  <c r="F79" i="4"/>
  <c r="Z69" i="32"/>
  <c r="F71" i="4" s="1"/>
  <c r="Z73" i="32"/>
  <c r="F75" i="4" s="1"/>
  <c r="Z63" i="32"/>
  <c r="I84" i="32"/>
  <c r="F53" i="4"/>
  <c r="F35" i="4"/>
  <c r="F58" i="4"/>
  <c r="F32" i="4"/>
  <c r="F28" i="4"/>
  <c r="Z15" i="32"/>
  <c r="O84" i="32"/>
  <c r="F45" i="4"/>
  <c r="F22" i="4"/>
  <c r="F76" i="4"/>
  <c r="F65" i="4"/>
  <c r="F43" i="4"/>
  <c r="F37" i="4"/>
  <c r="Z18" i="32"/>
  <c r="Q84" i="32"/>
  <c r="Z14" i="32"/>
  <c r="S84" i="32"/>
  <c r="F78" i="4"/>
  <c r="F16" i="4"/>
  <c r="F60" i="4"/>
  <c r="F30" i="4"/>
  <c r="F17" i="4"/>
  <c r="F80" i="4"/>
  <c r="F72" i="4"/>
  <c r="F68" i="4"/>
  <c r="F64" i="4"/>
  <c r="F56" i="4"/>
  <c r="F51" i="4"/>
  <c r="F47" i="4"/>
  <c r="F39" i="4"/>
  <c r="F31" i="4"/>
  <c r="F27" i="4"/>
  <c r="F23" i="4"/>
  <c r="F59" i="4"/>
  <c r="F54" i="4"/>
  <c r="F46" i="4"/>
  <c r="F38" i="4"/>
  <c r="F34" i="4"/>
  <c r="F26" i="4"/>
  <c r="F83" i="4"/>
  <c r="P84" i="32"/>
  <c r="Z62" i="32"/>
  <c r="F63" i="4" s="1"/>
  <c r="F82" i="4"/>
  <c r="F74" i="4"/>
  <c r="F70" i="4"/>
  <c r="F66" i="4"/>
  <c r="F49" i="4"/>
  <c r="F41" i="4"/>
  <c r="F29" i="4"/>
  <c r="F25" i="4"/>
  <c r="F21" i="4"/>
  <c r="Z33" i="32"/>
  <c r="R84" i="32"/>
  <c r="F81" i="4"/>
  <c r="F77" i="4"/>
  <c r="F73" i="4"/>
  <c r="F69" i="4"/>
  <c r="F61" i="4"/>
  <c r="F57" i="4"/>
  <c r="F52" i="4"/>
  <c r="F48" i="4"/>
  <c r="F44" i="4"/>
  <c r="F40" i="4"/>
  <c r="F36" i="4"/>
  <c r="F24" i="4"/>
  <c r="F20" i="4"/>
  <c r="Z42" i="32"/>
  <c r="E84" i="32"/>
  <c r="Z55" i="32"/>
  <c r="U84" i="32"/>
  <c r="T84" i="32"/>
  <c r="D84" i="32"/>
  <c r="Z19" i="32"/>
  <c r="F84" i="32"/>
  <c r="N84" i="32"/>
  <c r="M84" i="32"/>
  <c r="L84" i="32"/>
  <c r="G84" i="32"/>
  <c r="K84" i="32"/>
  <c r="H114" i="37" l="1"/>
  <c r="H112" i="37"/>
  <c r="H245" i="37"/>
  <c r="H248" i="37" s="1"/>
  <c r="H247" i="37"/>
  <c r="I178" i="37"/>
  <c r="I202" i="37" s="1"/>
  <c r="I74" i="37"/>
  <c r="J63" i="37"/>
  <c r="I99" i="37"/>
  <c r="F152" i="37"/>
  <c r="F155" i="37" s="1"/>
  <c r="F154" i="37"/>
  <c r="M10" i="37"/>
  <c r="L21" i="37"/>
  <c r="H75" i="37"/>
  <c r="H78" i="37"/>
  <c r="G115" i="37"/>
  <c r="G116" i="37"/>
  <c r="G150" i="37"/>
  <c r="H135" i="37"/>
  <c r="K25" i="37"/>
  <c r="K26" i="37" s="1"/>
  <c r="K22" i="37"/>
  <c r="H205" i="37"/>
  <c r="H206" i="37"/>
  <c r="I243" i="37"/>
  <c r="J221" i="37"/>
  <c r="AD84" i="32"/>
  <c r="F42" i="4"/>
  <c r="F19" i="4"/>
  <c r="F14" i="4"/>
  <c r="F15" i="4"/>
  <c r="F33" i="4"/>
  <c r="F62" i="4"/>
  <c r="F18" i="4"/>
  <c r="F55" i="4"/>
  <c r="Z50" i="32"/>
  <c r="I247" i="37" l="1"/>
  <c r="I245" i="37"/>
  <c r="L25" i="37"/>
  <c r="L22" i="37"/>
  <c r="I112" i="37"/>
  <c r="I114" i="37"/>
  <c r="J178" i="37"/>
  <c r="J202" i="37" s="1"/>
  <c r="J99" i="37"/>
  <c r="J74" i="37"/>
  <c r="K63" i="37"/>
  <c r="G152" i="37"/>
  <c r="G154" i="37"/>
  <c r="I75" i="37"/>
  <c r="I78" i="37"/>
  <c r="I135" i="37"/>
  <c r="H150" i="37"/>
  <c r="M21" i="37"/>
  <c r="N10" i="37"/>
  <c r="J243" i="37"/>
  <c r="K221" i="37"/>
  <c r="I205" i="37"/>
  <c r="I206" i="37"/>
  <c r="H115" i="37"/>
  <c r="H116" i="37"/>
  <c r="F50" i="4"/>
  <c r="Z84" i="32"/>
  <c r="K243" i="37" l="1"/>
  <c r="L221" i="37"/>
  <c r="J205" i="37"/>
  <c r="J206" i="37"/>
  <c r="O10" i="37"/>
  <c r="N21" i="37"/>
  <c r="J75" i="37"/>
  <c r="J78" i="37"/>
  <c r="I115" i="37"/>
  <c r="I117" i="37" s="1"/>
  <c r="I116" i="37"/>
  <c r="H154" i="37"/>
  <c r="H152" i="37"/>
  <c r="H155" i="37" s="1"/>
  <c r="J245" i="37"/>
  <c r="J247" i="37"/>
  <c r="I150" i="37"/>
  <c r="J135" i="37"/>
  <c r="K178" i="37"/>
  <c r="K202" i="37" s="1"/>
  <c r="K99" i="37"/>
  <c r="K74" i="37"/>
  <c r="L63" i="37"/>
  <c r="M22" i="37"/>
  <c r="M25" i="37"/>
  <c r="J114" i="37"/>
  <c r="J112" i="37"/>
  <c r="E15" i="2"/>
  <c r="K135" i="37" l="1"/>
  <c r="J150" i="37"/>
  <c r="N25" i="37"/>
  <c r="N26" i="37" s="1"/>
  <c r="N22" i="37"/>
  <c r="K75" i="37"/>
  <c r="K78" i="37"/>
  <c r="I152" i="37"/>
  <c r="I154" i="37"/>
  <c r="O21" i="37"/>
  <c r="P10" i="37"/>
  <c r="L243" i="37"/>
  <c r="M221" i="37"/>
  <c r="L74" i="37"/>
  <c r="M63" i="37"/>
  <c r="L178" i="37"/>
  <c r="L202" i="37" s="1"/>
  <c r="L99" i="37"/>
  <c r="J116" i="37"/>
  <c r="J115" i="37"/>
  <c r="K114" i="37"/>
  <c r="K112" i="37"/>
  <c r="K245" i="37"/>
  <c r="K247" i="37"/>
  <c r="K205" i="37"/>
  <c r="K206" i="37"/>
  <c r="J84" i="4"/>
  <c r="P21" i="37" l="1"/>
  <c r="Q10" i="37"/>
  <c r="L75" i="37"/>
  <c r="L78" i="37"/>
  <c r="O25" i="37"/>
  <c r="O26" i="37" s="1"/>
  <c r="O22" i="37"/>
  <c r="J152" i="37"/>
  <c r="J154" i="37"/>
  <c r="M178" i="37"/>
  <c r="M202" i="37" s="1"/>
  <c r="M74" i="37"/>
  <c r="N63" i="37"/>
  <c r="M99" i="37"/>
  <c r="K115" i="37"/>
  <c r="K116" i="37"/>
  <c r="L114" i="37"/>
  <c r="L112" i="37"/>
  <c r="M243" i="37"/>
  <c r="N221" i="37"/>
  <c r="K150" i="37"/>
  <c r="L135" i="37"/>
  <c r="L205" i="37"/>
  <c r="L207" i="37" s="1"/>
  <c r="L206" i="37"/>
  <c r="L245" i="37"/>
  <c r="L247" i="37"/>
  <c r="L84" i="4"/>
  <c r="N178" i="37" l="1"/>
  <c r="N202" i="37" s="1"/>
  <c r="N99" i="37"/>
  <c r="N74" i="37"/>
  <c r="O63" i="37"/>
  <c r="N243" i="37"/>
  <c r="O221" i="37"/>
  <c r="M75" i="37"/>
  <c r="M78" i="37"/>
  <c r="M205" i="37"/>
  <c r="M206" i="37"/>
  <c r="Q21" i="37"/>
  <c r="R10" i="37"/>
  <c r="K152" i="37"/>
  <c r="K154" i="37"/>
  <c r="M247" i="37"/>
  <c r="M245" i="37"/>
  <c r="L150" i="37"/>
  <c r="M135" i="37"/>
  <c r="L115" i="37"/>
  <c r="L116" i="37"/>
  <c r="M112" i="37"/>
  <c r="M114" i="37"/>
  <c r="P25" i="37"/>
  <c r="P22" i="37"/>
  <c r="S10" i="37" l="1"/>
  <c r="S21" i="37" s="1"/>
  <c r="R21" i="37"/>
  <c r="O178" i="37"/>
  <c r="O202" i="37" s="1"/>
  <c r="O99" i="37"/>
  <c r="O74" i="37"/>
  <c r="P63" i="37"/>
  <c r="Q25" i="37"/>
  <c r="Q26" i="37" s="1"/>
  <c r="Q22" i="37"/>
  <c r="N75" i="37"/>
  <c r="N78" i="37"/>
  <c r="M150" i="37"/>
  <c r="N135" i="37"/>
  <c r="O243" i="37"/>
  <c r="P221" i="37"/>
  <c r="N114" i="37"/>
  <c r="N112" i="37"/>
  <c r="M115" i="37"/>
  <c r="M116" i="37"/>
  <c r="L154" i="37"/>
  <c r="L152" i="37"/>
  <c r="N245" i="37"/>
  <c r="N247" i="37"/>
  <c r="N205" i="37"/>
  <c r="N207" i="37" s="1"/>
  <c r="N206" i="37"/>
  <c r="M74" i="4"/>
  <c r="M75" i="4"/>
  <c r="M152" i="37" l="1"/>
  <c r="M154" i="37"/>
  <c r="O205" i="37"/>
  <c r="O207" i="37" s="1"/>
  <c r="O206" i="37"/>
  <c r="N116" i="37"/>
  <c r="N115" i="37"/>
  <c r="P243" i="37"/>
  <c r="Q221" i="37"/>
  <c r="P74" i="37"/>
  <c r="Q63" i="37"/>
  <c r="P178" i="37"/>
  <c r="P202" i="37" s="1"/>
  <c r="P99" i="37"/>
  <c r="R22" i="37"/>
  <c r="R25" i="37"/>
  <c r="R26" i="37" s="1"/>
  <c r="O135" i="37"/>
  <c r="N150" i="37"/>
  <c r="O114" i="37"/>
  <c r="O112" i="37"/>
  <c r="O245" i="37"/>
  <c r="O248" i="37" s="1"/>
  <c r="O247" i="37"/>
  <c r="O75" i="37"/>
  <c r="O78" i="37"/>
  <c r="S25" i="37"/>
  <c r="S26" i="37" s="1"/>
  <c r="S22" i="37"/>
  <c r="T21" i="37"/>
  <c r="T22" i="37" s="1"/>
  <c r="K74" i="4"/>
  <c r="N152" i="37" l="1"/>
  <c r="N154" i="37"/>
  <c r="Q243" i="37"/>
  <c r="R221" i="37"/>
  <c r="O150" i="37"/>
  <c r="P135" i="37"/>
  <c r="P205" i="37"/>
  <c r="P206" i="37"/>
  <c r="P245" i="37"/>
  <c r="P247" i="37"/>
  <c r="P114" i="37"/>
  <c r="P112" i="37"/>
  <c r="O115" i="37"/>
  <c r="O116" i="37"/>
  <c r="Q178" i="37"/>
  <c r="Q202" i="37" s="1"/>
  <c r="Q74" i="37"/>
  <c r="R63" i="37"/>
  <c r="Q99" i="37"/>
  <c r="P75" i="37"/>
  <c r="P78" i="37"/>
  <c r="Q247" i="37" l="1"/>
  <c r="Q245" i="37"/>
  <c r="P115" i="37"/>
  <c r="P116" i="37"/>
  <c r="Q205" i="37"/>
  <c r="Q206" i="37"/>
  <c r="Q112" i="37"/>
  <c r="Q114" i="37"/>
  <c r="P150" i="37"/>
  <c r="Q135" i="37"/>
  <c r="Q75" i="37"/>
  <c r="Q78" i="37"/>
  <c r="R243" i="37"/>
  <c r="S221" i="37"/>
  <c r="S243" i="37" s="1"/>
  <c r="R178" i="37"/>
  <c r="R202" i="37" s="1"/>
  <c r="R99" i="37"/>
  <c r="R74" i="37"/>
  <c r="S63" i="37"/>
  <c r="O152" i="37"/>
  <c r="O155" i="37" s="1"/>
  <c r="O154" i="37"/>
  <c r="M45" i="4"/>
  <c r="M49" i="4"/>
  <c r="M29" i="4"/>
  <c r="M21" i="4"/>
  <c r="M57" i="4"/>
  <c r="A16" i="2"/>
  <c r="A17" i="2" s="1"/>
  <c r="A18" i="2" s="1"/>
  <c r="A19" i="2" s="1"/>
  <c r="A20" i="2" s="1"/>
  <c r="A21" i="2" s="1"/>
  <c r="A22" i="2" s="1"/>
  <c r="R114" i="37" l="1"/>
  <c r="R112" i="37"/>
  <c r="R205" i="37"/>
  <c r="R206" i="37"/>
  <c r="Q115" i="37"/>
  <c r="Q116" i="37"/>
  <c r="S178" i="37"/>
  <c r="S202" i="37" s="1"/>
  <c r="S99" i="37"/>
  <c r="S74" i="37"/>
  <c r="S245" i="37"/>
  <c r="S247" i="37"/>
  <c r="T243" i="37"/>
  <c r="Q150" i="37"/>
  <c r="R135" i="37"/>
  <c r="R75" i="37"/>
  <c r="R78" i="37"/>
  <c r="R245" i="37"/>
  <c r="R248" i="37" s="1"/>
  <c r="R247" i="37"/>
  <c r="P154" i="37"/>
  <c r="P152" i="37"/>
  <c r="M82" i="4"/>
  <c r="M40" i="4"/>
  <c r="M39" i="4"/>
  <c r="M69" i="4"/>
  <c r="M30" i="4"/>
  <c r="M23" i="4"/>
  <c r="M83" i="4"/>
  <c r="M54" i="4"/>
  <c r="M31" i="4"/>
  <c r="M36" i="4"/>
  <c r="M37" i="4"/>
  <c r="M24" i="4"/>
  <c r="M65" i="4"/>
  <c r="M44" i="4"/>
  <c r="M22" i="4"/>
  <c r="M59" i="4"/>
  <c r="M58" i="4"/>
  <c r="M70" i="4"/>
  <c r="M51" i="4"/>
  <c r="M71" i="4"/>
  <c r="M53" i="4"/>
  <c r="M76" i="4"/>
  <c r="M43" i="4"/>
  <c r="M33" i="4"/>
  <c r="M61" i="4"/>
  <c r="M19" i="4"/>
  <c r="M38" i="4"/>
  <c r="M46" i="4"/>
  <c r="M35" i="4"/>
  <c r="M28" i="4"/>
  <c r="M48" i="4"/>
  <c r="M47" i="4"/>
  <c r="M52" i="4"/>
  <c r="M32" i="4"/>
  <c r="M27" i="4"/>
  <c r="M73" i="4"/>
  <c r="M26" i="4"/>
  <c r="M72" i="4"/>
  <c r="M42" i="4"/>
  <c r="M67" i="4"/>
  <c r="M60" i="4"/>
  <c r="M56" i="4"/>
  <c r="M66" i="4"/>
  <c r="M34" i="4"/>
  <c r="M81" i="4"/>
  <c r="M25" i="4"/>
  <c r="M64" i="4"/>
  <c r="M68" i="4"/>
  <c r="S205" i="37" l="1"/>
  <c r="S207" i="37" s="1"/>
  <c r="S206" i="37"/>
  <c r="T202" i="37"/>
  <c r="T205" i="37" s="1"/>
  <c r="R207" i="37"/>
  <c r="T207" i="37"/>
  <c r="S114" i="37"/>
  <c r="S112" i="37"/>
  <c r="R150" i="37"/>
  <c r="S135" i="37"/>
  <c r="S150" i="37" s="1"/>
  <c r="R116" i="37"/>
  <c r="R115" i="37"/>
  <c r="Q152" i="37"/>
  <c r="Q154" i="37"/>
  <c r="S75" i="37"/>
  <c r="S78" i="37"/>
  <c r="T74" i="37"/>
  <c r="U74" i="37"/>
  <c r="K76" i="4"/>
  <c r="M55" i="4"/>
  <c r="M41" i="4"/>
  <c r="M20" i="4"/>
  <c r="K83" i="4"/>
  <c r="R152" i="37" l="1"/>
  <c r="R155" i="37" s="1"/>
  <c r="R154" i="37"/>
  <c r="S115" i="37"/>
  <c r="S116" i="37"/>
  <c r="T112" i="37"/>
  <c r="T115" i="37" s="1"/>
  <c r="T78" i="37"/>
  <c r="T77" i="37"/>
  <c r="S152" i="37"/>
  <c r="S154" i="37"/>
  <c r="T150" i="37"/>
  <c r="M63" i="4"/>
  <c r="M78" i="4"/>
  <c r="M50" i="4"/>
  <c r="M79" i="4"/>
  <c r="M80" i="4"/>
  <c r="M62" i="4"/>
  <c r="M77" i="4" l="1"/>
  <c r="K77" i="4" l="1"/>
  <c r="K41" i="4"/>
  <c r="K81" i="4"/>
  <c r="K75" i="4"/>
  <c r="AC88" i="4" l="1"/>
  <c r="X88" i="4"/>
  <c r="X86" i="4"/>
  <c r="X84" i="4"/>
  <c r="W84" i="4"/>
  <c r="U84" i="4"/>
  <c r="W69" i="4"/>
  <c r="W64" i="4"/>
  <c r="W61" i="4"/>
  <c r="W58" i="4"/>
  <c r="W55" i="4"/>
  <c r="W32" i="4"/>
  <c r="X18" i="4"/>
  <c r="W17" i="4"/>
  <c r="W16" i="4"/>
  <c r="W15" i="4"/>
  <c r="W14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W13" i="4"/>
  <c r="L25" i="2"/>
  <c r="K19" i="2"/>
  <c r="M18" i="2"/>
  <c r="K18" i="2"/>
  <c r="K17" i="2"/>
  <c r="L17" i="2" s="1"/>
  <c r="J13" i="1"/>
  <c r="J12" i="1"/>
  <c r="K55" i="4" l="1"/>
  <c r="K42" i="4"/>
  <c r="K20" i="4"/>
  <c r="K80" i="4"/>
  <c r="K37" i="4"/>
  <c r="K46" i="4"/>
  <c r="K53" i="4"/>
  <c r="K23" i="4"/>
  <c r="K27" i="4"/>
  <c r="K34" i="4"/>
  <c r="K43" i="4"/>
  <c r="K47" i="4"/>
  <c r="K19" i="4"/>
  <c r="K22" i="4"/>
  <c r="K44" i="4"/>
  <c r="K48" i="4"/>
  <c r="K54" i="4"/>
  <c r="K73" i="4"/>
  <c r="K79" i="4"/>
  <c r="A41" i="4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K56" i="4"/>
  <c r="K24" i="4"/>
  <c r="K66" i="4"/>
  <c r="K29" i="4"/>
  <c r="K32" i="4"/>
  <c r="K28" i="4"/>
  <c r="K38" i="4"/>
  <c r="K51" i="4"/>
  <c r="K64" i="4"/>
  <c r="K36" i="4"/>
  <c r="K52" i="4"/>
  <c r="K58" i="4"/>
  <c r="K68" i="4"/>
  <c r="K78" i="4"/>
  <c r="K31" i="4"/>
  <c r="K39" i="4"/>
  <c r="K82" i="4"/>
  <c r="K21" i="4"/>
  <c r="K35" i="4"/>
  <c r="K40" i="4"/>
  <c r="K25" i="4"/>
  <c r="K26" i="4"/>
  <c r="K45" i="4"/>
  <c r="K50" i="4"/>
  <c r="K33" i="4"/>
  <c r="K67" i="4"/>
  <c r="K72" i="4"/>
  <c r="K30" i="4"/>
  <c r="K49" i="4"/>
  <c r="K71" i="4"/>
  <c r="K69" i="4"/>
  <c r="K65" i="4"/>
  <c r="K70" i="4"/>
  <c r="K60" i="4"/>
  <c r="K61" i="4"/>
  <c r="K62" i="4"/>
  <c r="K63" i="4"/>
  <c r="A52" i="4" l="1"/>
  <c r="A53" i="4" s="1"/>
  <c r="A54" i="4" s="1"/>
  <c r="A55" i="4" s="1"/>
  <c r="A56" i="4" s="1"/>
  <c r="A57" i="4" s="1"/>
  <c r="A58" i="4" s="1"/>
  <c r="A59" i="4" s="1"/>
  <c r="H15" i="2"/>
  <c r="K57" i="4"/>
  <c r="K59" i="4"/>
  <c r="A60" i="4" l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G15" i="1"/>
  <c r="H22" i="2" l="1"/>
  <c r="M17" i="4" l="1"/>
  <c r="H21" i="2"/>
  <c r="H19" i="2"/>
  <c r="K17" i="4" l="1"/>
  <c r="M18" i="4"/>
  <c r="M14" i="4"/>
  <c r="M15" i="4"/>
  <c r="M16" i="4"/>
  <c r="H20" i="2"/>
  <c r="H18" i="2"/>
  <c r="L18" i="2" s="1"/>
  <c r="L19" i="2" s="1"/>
  <c r="K15" i="4" l="1"/>
  <c r="K18" i="4"/>
  <c r="K16" i="4"/>
  <c r="K14" i="4"/>
  <c r="G13" i="4"/>
  <c r="M13" i="4" s="1"/>
  <c r="F84" i="4"/>
  <c r="H17" i="2"/>
  <c r="I84" i="4" l="1"/>
  <c r="H84" i="4"/>
  <c r="X87" i="4" s="1"/>
  <c r="M84" i="4"/>
  <c r="G16" i="1" s="1"/>
  <c r="G84" i="4"/>
  <c r="K13" i="4"/>
  <c r="P13" i="4" s="1"/>
  <c r="M17" i="2"/>
  <c r="K84" i="4" l="1"/>
  <c r="J11" i="1" s="1"/>
  <c r="G14" i="1"/>
  <c r="G12" i="1"/>
  <c r="G13" i="1"/>
  <c r="G11" i="1" l="1"/>
  <c r="D23" i="2" l="1"/>
  <c r="L23" i="2" s="1"/>
  <c r="H16" i="2" l="1"/>
  <c r="H14" i="2" s="1"/>
  <c r="E23" i="2"/>
  <c r="H23" i="2" s="1"/>
  <c r="E14" i="2"/>
  <c r="P64" i="4" l="1"/>
  <c r="P25" i="4"/>
  <c r="P61" i="4"/>
  <c r="P83" i="4"/>
  <c r="P38" i="4"/>
  <c r="P17" i="4"/>
  <c r="P39" i="4"/>
  <c r="P29" i="4"/>
  <c r="P57" i="4"/>
  <c r="P78" i="4"/>
  <c r="P77" i="4"/>
  <c r="P66" i="4"/>
  <c r="P79" i="4"/>
  <c r="P20" i="4"/>
  <c r="P21" i="4"/>
  <c r="P43" i="4"/>
  <c r="P46" i="4"/>
  <c r="P82" i="4"/>
  <c r="P54" i="4"/>
  <c r="P41" i="4"/>
  <c r="P32" i="4"/>
  <c r="P53" i="4"/>
  <c r="P74" i="4"/>
  <c r="P35" i="4"/>
  <c r="P68" i="4"/>
  <c r="P49" i="4"/>
  <c r="P45" i="4"/>
  <c r="P28" i="4"/>
  <c r="P56" i="4"/>
  <c r="P44" i="4"/>
  <c r="P81" i="4"/>
  <c r="P48" i="4"/>
  <c r="P76" i="4"/>
  <c r="P80" i="4"/>
  <c r="P37" i="4"/>
  <c r="P22" i="4"/>
  <c r="P23" i="4"/>
  <c r="P71" i="4"/>
  <c r="P24" i="4"/>
  <c r="P30" i="4"/>
  <c r="P31" i="4"/>
  <c r="P52" i="4"/>
  <c r="P60" i="4"/>
  <c r="P16" i="4"/>
  <c r="P47" i="4"/>
  <c r="P72" i="4"/>
  <c r="P51" i="4"/>
  <c r="P40" i="4"/>
  <c r="P36" i="4"/>
  <c r="P65" i="4"/>
  <c r="P34" i="4"/>
  <c r="P59" i="4"/>
  <c r="P67" i="4"/>
  <c r="P26" i="4"/>
  <c r="P75" i="4"/>
  <c r="P27" i="4"/>
  <c r="P58" i="4"/>
  <c r="P70" i="4"/>
  <c r="P73" i="4"/>
  <c r="Q60" i="4" l="1"/>
  <c r="R60" i="4" s="1"/>
  <c r="Q31" i="4"/>
  <c r="R31" i="4" s="1"/>
  <c r="Q24" i="4"/>
  <c r="R24" i="4" s="1"/>
  <c r="Q37" i="4"/>
  <c r="R37" i="4" s="1"/>
  <c r="Q44" i="4"/>
  <c r="R44" i="4" s="1"/>
  <c r="Q28" i="4"/>
  <c r="R28" i="4" s="1"/>
  <c r="Q72" i="4"/>
  <c r="R72" i="4" s="1"/>
  <c r="Q80" i="4"/>
  <c r="R80" i="4" s="1"/>
  <c r="Q81" i="4"/>
  <c r="R81" i="4" s="1"/>
  <c r="Q56" i="4"/>
  <c r="R56" i="4" s="1"/>
  <c r="Q82" i="4"/>
  <c r="R82" i="4" s="1"/>
  <c r="Q25" i="4"/>
  <c r="R25" i="4" s="1"/>
  <c r="Q38" i="4"/>
  <c r="R38" i="4" s="1"/>
  <c r="Q61" i="4"/>
  <c r="R61" i="4" s="1"/>
  <c r="V61" i="4" s="1"/>
  <c r="Q64" i="4"/>
  <c r="R64" i="4" s="1"/>
  <c r="V64" i="4" s="1"/>
  <c r="Q70" i="4"/>
  <c r="R70" i="4" s="1"/>
  <c r="Q27" i="4"/>
  <c r="R27" i="4" s="1"/>
  <c r="Q26" i="4"/>
  <c r="R26" i="4" s="1"/>
  <c r="Q40" i="4"/>
  <c r="R40" i="4" s="1"/>
  <c r="Q48" i="4"/>
  <c r="R48" i="4" s="1"/>
  <c r="Q83" i="4"/>
  <c r="R83" i="4" s="1"/>
  <c r="Q23" i="4"/>
  <c r="R23" i="4" s="1"/>
  <c r="Q59" i="4"/>
  <c r="R59" i="4" s="1"/>
  <c r="Q67" i="4"/>
  <c r="R67" i="4" s="1"/>
  <c r="Q34" i="4"/>
  <c r="R34" i="4" s="1"/>
  <c r="Q36" i="4"/>
  <c r="R36" i="4" s="1"/>
  <c r="Q16" i="4"/>
  <c r="R16" i="4" s="1"/>
  <c r="V16" i="4" s="1"/>
  <c r="Q45" i="4"/>
  <c r="R45" i="4" s="1"/>
  <c r="Q68" i="4"/>
  <c r="R68" i="4" s="1"/>
  <c r="P63" i="4"/>
  <c r="P55" i="4"/>
  <c r="P33" i="4"/>
  <c r="Q49" i="4"/>
  <c r="R49" i="4" s="1"/>
  <c r="Q35" i="4"/>
  <c r="R35" i="4" s="1"/>
  <c r="Q74" i="4"/>
  <c r="R74" i="4" s="1"/>
  <c r="Q32" i="4"/>
  <c r="R32" i="4" s="1"/>
  <c r="V32" i="4" s="1"/>
  <c r="Q54" i="4"/>
  <c r="R54" i="4" s="1"/>
  <c r="Q46" i="4"/>
  <c r="R46" i="4" s="1"/>
  <c r="Q21" i="4"/>
  <c r="R21" i="4" s="1"/>
  <c r="Q79" i="4"/>
  <c r="R79" i="4" s="1"/>
  <c r="Q66" i="4"/>
  <c r="R66" i="4" s="1"/>
  <c r="Q78" i="4"/>
  <c r="R78" i="4" s="1"/>
  <c r="Q57" i="4"/>
  <c r="R57" i="4" s="1"/>
  <c r="Q39" i="4"/>
  <c r="R39" i="4" s="1"/>
  <c r="P18" i="4"/>
  <c r="Q73" i="4"/>
  <c r="R73" i="4" s="1"/>
  <c r="Q58" i="4"/>
  <c r="R58" i="4" s="1"/>
  <c r="V58" i="4" s="1"/>
  <c r="Q75" i="4"/>
  <c r="R75" i="4" s="1"/>
  <c r="P42" i="4"/>
  <c r="Q65" i="4"/>
  <c r="R65" i="4" s="1"/>
  <c r="Q51" i="4"/>
  <c r="R51" i="4" s="1"/>
  <c r="Q47" i="4"/>
  <c r="R47" i="4" s="1"/>
  <c r="Q52" i="4"/>
  <c r="R52" i="4" s="1"/>
  <c r="Q30" i="4"/>
  <c r="R30" i="4" s="1"/>
  <c r="Q71" i="4"/>
  <c r="R71" i="4" s="1"/>
  <c r="Q22" i="4"/>
  <c r="R22" i="4" s="1"/>
  <c r="Q76" i="4"/>
  <c r="R76" i="4" s="1"/>
  <c r="P14" i="4"/>
  <c r="P19" i="4"/>
  <c r="P69" i="4"/>
  <c r="Q53" i="4"/>
  <c r="R53" i="4" s="1"/>
  <c r="Q41" i="4"/>
  <c r="R41" i="4" s="1"/>
  <c r="P62" i="4"/>
  <c r="Q43" i="4"/>
  <c r="R43" i="4" s="1"/>
  <c r="Q20" i="4"/>
  <c r="R20" i="4" s="1"/>
  <c r="Q77" i="4"/>
  <c r="R77" i="4" s="1"/>
  <c r="P15" i="4"/>
  <c r="Q29" i="4"/>
  <c r="R29" i="4" s="1"/>
  <c r="Q17" i="4"/>
  <c r="R17" i="4" s="1"/>
  <c r="V17" i="4" s="1"/>
  <c r="Q62" i="4" l="1"/>
  <c r="R62" i="4" s="1"/>
  <c r="Q55" i="4"/>
  <c r="R55" i="4" s="1"/>
  <c r="V55" i="4" s="1"/>
  <c r="V18" i="4" s="1"/>
  <c r="V84" i="4" s="1"/>
  <c r="Q33" i="4"/>
  <c r="R33" i="4" s="1"/>
  <c r="Q15" i="4"/>
  <c r="R15" i="4" s="1"/>
  <c r="V15" i="4" s="1"/>
  <c r="Q63" i="4"/>
  <c r="R63" i="4" s="1"/>
  <c r="O84" i="4"/>
  <c r="G20" i="1" s="1"/>
  <c r="P50" i="4"/>
  <c r="Q13" i="4"/>
  <c r="Q19" i="4"/>
  <c r="R19" i="4" s="1"/>
  <c r="Q14" i="4"/>
  <c r="R14" i="4" s="1"/>
  <c r="V14" i="4" s="1"/>
  <c r="Q42" i="4"/>
  <c r="R42" i="4" s="1"/>
  <c r="N84" i="4"/>
  <c r="Q69" i="4"/>
  <c r="R69" i="4" s="1"/>
  <c r="V69" i="4" s="1"/>
  <c r="Q18" i="4"/>
  <c r="R18" i="4" s="1"/>
  <c r="Q50" i="4" l="1"/>
  <c r="R50" i="4" s="1"/>
  <c r="P84" i="4"/>
  <c r="G18" i="1" s="1"/>
  <c r="G17" i="1" s="1"/>
  <c r="Q84" i="4"/>
  <c r="J17" i="1" s="1"/>
  <c r="R13" i="4"/>
  <c r="R84" i="4" l="1"/>
  <c r="V13" i="4"/>
  <c r="J14" i="1"/>
  <c r="G23" i="1"/>
  <c r="G22" i="1" s="1"/>
  <c r="J23" i="1" l="1"/>
  <c r="X89" i="4"/>
  <c r="V86" i="4"/>
</calcChain>
</file>

<file path=xl/sharedStrings.xml><?xml version="1.0" encoding="utf-8"?>
<sst xmlns="http://schemas.openxmlformats.org/spreadsheetml/2006/main" count="1915" uniqueCount="381">
  <si>
    <t>ក្រុមហ៊ុន កៅស៊ូ មេគង្គ ខូ អិលធីឌី</t>
  </si>
  <si>
    <t>ព្រះរាជាណាចក្រ កម្ពុជា</t>
  </si>
  <si>
    <t>CÔNG TY TNHH CAO SU MEKONG</t>
  </si>
  <si>
    <t>VƯƠNG QUỐC CAMPUCHIA</t>
  </si>
  <si>
    <t>រោងចក្រកែច្នៃ</t>
  </si>
  <si>
    <t>ជាតិ សាសនា ព្រះមហាក្សត្រ</t>
  </si>
  <si>
    <t>XƯỞNG CHẾ BIẾN</t>
  </si>
  <si>
    <t>Dân tộc - Tôn giáo - Quốc vương</t>
  </si>
  <si>
    <t>តារាងតុល្យភាពបំណុល</t>
  </si>
  <si>
    <t>BẢNG CÂN ĐỐI CÔNG NỢ</t>
  </si>
  <si>
    <t>Riel</t>
  </si>
  <si>
    <r>
      <rPr>
        <b/>
        <u/>
        <sz val="12"/>
        <rFont val="Khmer OS Battambang"/>
      </rPr>
      <t>II/</t>
    </r>
    <r>
      <rPr>
        <b/>
        <u/>
        <sz val="12"/>
        <rFont val="Khmer OS"/>
      </rPr>
      <t xml:space="preserve"> </t>
    </r>
    <r>
      <rPr>
        <b/>
        <u/>
        <sz val="12"/>
        <rFont val="Khmer OS Muol Light"/>
      </rPr>
      <t>ប្រាក់បានទទួល</t>
    </r>
    <r>
      <rPr>
        <u/>
        <sz val="12"/>
        <rFont val="Khmer OS"/>
      </rPr>
      <t xml:space="preserve"> </t>
    </r>
    <r>
      <rPr>
        <b/>
        <u/>
        <sz val="12"/>
        <rFont val="Times New Roman"/>
        <family val="1"/>
      </rPr>
      <t>(Các khoản đã nhận)</t>
    </r>
    <r>
      <rPr>
        <b/>
        <u/>
        <sz val="12"/>
        <rFont val="Khmer OS Muol Light"/>
      </rPr>
      <t>:</t>
    </r>
  </si>
  <si>
    <r>
      <rPr>
        <sz val="12"/>
        <rFont val="Khmer OS Battambang"/>
      </rPr>
      <t xml:space="preserve">1/ </t>
    </r>
    <r>
      <rPr>
        <sz val="12"/>
        <rFont val="Khmer OS"/>
      </rPr>
      <t>ពន្ធលើប្រាក់បៀវត្ស</t>
    </r>
    <r>
      <rPr>
        <sz val="12"/>
        <rFont val="Khmer OS Bokor"/>
      </rPr>
      <t xml:space="preserve"> </t>
    </r>
    <r>
      <rPr>
        <sz val="12"/>
        <rFont val="Times New Roman"/>
        <family val="1"/>
      </rPr>
      <t>(Thuế TNCN)</t>
    </r>
    <r>
      <rPr>
        <sz val="12"/>
        <rFont val="Khmer OS Bokor"/>
      </rPr>
      <t>:</t>
    </r>
  </si>
  <si>
    <t xml:space="preserve">ផ.ហិរ.គណនេយ្យ </t>
  </si>
  <si>
    <t>អ្នករៀបចំ</t>
  </si>
  <si>
    <t>PHÒNG TCKT</t>
  </si>
  <si>
    <t>Lập biểu</t>
  </si>
  <si>
    <t>Bùi Ngọc Triệu</t>
  </si>
  <si>
    <t>អនុម័តនាយកក្រុមហ៊ុន/DUYỆT GIÁM ĐỐC</t>
  </si>
  <si>
    <t xml:space="preserve">        ឯកតា/</t>
  </si>
  <si>
    <t>ĐVT៖ Riel</t>
  </si>
  <si>
    <t>ល.រ</t>
  </si>
  <si>
    <t xml:space="preserve">  រាយនាមការងារ  </t>
  </si>
  <si>
    <t xml:space="preserve"> តម្លៃ          </t>
  </si>
  <si>
    <r>
      <rPr>
        <b/>
        <sz val="12"/>
        <rFont val="Khmer OS Moul Light"/>
        <charset val="163"/>
      </rPr>
      <t>កម្លាំងថ្ងៃធម្មតា</t>
    </r>
    <r>
      <rPr>
        <b/>
        <sz val="12"/>
        <rFont val="Khmer OS"/>
      </rPr>
      <t xml:space="preserve">
</t>
    </r>
    <r>
      <rPr>
        <b/>
        <sz val="12"/>
        <rFont val="Times New Roman"/>
        <family val="1"/>
      </rPr>
      <t>Công ngày</t>
    </r>
  </si>
  <si>
    <r>
      <rPr>
        <b/>
        <sz val="12"/>
        <rFont val="Khmer OS Muol Light"/>
      </rPr>
      <t>កម្លាំងថែមម៉ោង</t>
    </r>
    <r>
      <rPr>
        <b/>
        <sz val="12"/>
        <rFont val="Khmer OS"/>
      </rPr>
      <t xml:space="preserve">
</t>
    </r>
    <r>
      <rPr>
        <b/>
        <sz val="12"/>
        <rFont val="Times New Roman"/>
        <family val="1"/>
      </rPr>
      <t>Công làm thêm giờ</t>
    </r>
  </si>
  <si>
    <t xml:space="preserve">សរុប       </t>
  </si>
  <si>
    <t>កំណត់ចំណាំ</t>
  </si>
  <si>
    <t>STT</t>
  </si>
  <si>
    <t>Hạng mục công việc</t>
  </si>
  <si>
    <t>Đơn​ giá</t>
  </si>
  <si>
    <r>
      <rPr>
        <b/>
        <sz val="12"/>
        <rFont val="Khmer OS Battambang"/>
      </rPr>
      <t>កម្លាំង</t>
    </r>
    <r>
      <rPr>
        <b/>
        <sz val="12"/>
        <rFont val="Times New Roman"/>
        <family val="1"/>
      </rPr>
      <t xml:space="preserve">
Công</t>
    </r>
  </si>
  <si>
    <r>
      <rPr>
        <b/>
        <sz val="12"/>
        <rFont val="Khmer OS Battambang"/>
      </rPr>
      <t>ជាប្រាក់</t>
    </r>
    <r>
      <rPr>
        <b/>
        <sz val="12"/>
        <rFont val="Times New Roman"/>
        <family val="1"/>
      </rPr>
      <t xml:space="preserve">
Thành tiền</t>
    </r>
  </si>
  <si>
    <t xml:space="preserve">Tổng cộng </t>
  </si>
  <si>
    <t>Ghi chú</t>
  </si>
  <si>
    <t>A</t>
  </si>
  <si>
    <t>B</t>
  </si>
  <si>
    <t>3=1x2</t>
  </si>
  <si>
    <t>5=4x1</t>
  </si>
  <si>
    <t>6=3+5</t>
  </si>
  <si>
    <r>
      <rPr>
        <sz val="12"/>
        <rFont val="Khmer OS Moul Light"/>
        <charset val="163"/>
      </rPr>
      <t>សន្ដិសុខការពារ</t>
    </r>
    <r>
      <rPr>
        <sz val="12"/>
        <rFont val="Khmer OS"/>
      </rPr>
      <t xml:space="preserve">​​​​​ </t>
    </r>
    <r>
      <rPr>
        <sz val="12"/>
        <rFont val="Times New Roman"/>
        <family val="1"/>
      </rPr>
      <t>(Bảo vệ)</t>
    </r>
  </si>
  <si>
    <r>
      <rPr>
        <sz val="12"/>
        <rFont val="Khmer OS Moul Light"/>
        <charset val="163"/>
      </rPr>
      <t>កម្មករ មេកានិច</t>
    </r>
    <r>
      <rPr>
        <sz val="12"/>
        <rFont val="Khmer OS"/>
      </rPr>
      <t xml:space="preserve"> </t>
    </r>
    <r>
      <rPr>
        <sz val="12"/>
        <rFont val="Khmer OS Battambang"/>
      </rPr>
      <t>(</t>
    </r>
    <r>
      <rPr>
        <sz val="12"/>
        <rFont val="Times New Roman"/>
        <family val="1"/>
      </rPr>
      <t>Công nhân cơ khí)</t>
    </r>
  </si>
  <si>
    <r>
      <rPr>
        <sz val="12"/>
        <color theme="1"/>
        <rFont val="Khmer OS Moul Light"/>
        <charset val="163"/>
      </rPr>
      <t>អ្នកបើកឡាន</t>
    </r>
    <r>
      <rPr>
        <sz val="12"/>
        <color theme="1"/>
        <rFont val="Khmer OS"/>
      </rPr>
      <t xml:space="preserve"> </t>
    </r>
    <r>
      <rPr>
        <sz val="12"/>
        <color indexed="8"/>
        <rFont val="Times New Roman"/>
        <family val="1"/>
      </rPr>
      <t>(Tài xế)</t>
    </r>
  </si>
  <si>
    <r>
      <rPr>
        <sz val="12"/>
        <rFont val="Khmer OS Moul Light"/>
        <charset val="163"/>
      </rPr>
      <t>សម្អាត</t>
    </r>
    <r>
      <rPr>
        <sz val="12"/>
        <rFont val="Khmer OS Battambang"/>
      </rPr>
      <t xml:space="preserve"> </t>
    </r>
    <r>
      <rPr>
        <sz val="12"/>
        <rFont val="Times New Roman"/>
        <family val="1"/>
      </rPr>
      <t>(Vệ sinh)</t>
    </r>
  </si>
  <si>
    <r>
      <rPr>
        <sz val="13"/>
        <rFont val="Khmer OS Moul Light"/>
        <charset val="163"/>
      </rPr>
      <t>អ្នកធ្វើការមិនរើសមុខ</t>
    </r>
    <r>
      <rPr>
        <i/>
        <sz val="13"/>
        <rFont val="Khmer OS Battambang"/>
      </rPr>
      <t xml:space="preserve"> </t>
    </r>
    <r>
      <rPr>
        <sz val="13"/>
        <rFont val="Calibri Light"/>
        <family val="2"/>
        <scheme val="major"/>
      </rPr>
      <t>(Tạp vụ)</t>
    </r>
  </si>
  <si>
    <r>
      <rPr>
        <sz val="12"/>
        <rFont val="Khmer OS Moul Light"/>
        <charset val="163"/>
      </rPr>
      <t>កម្លាំងផ្សេង</t>
    </r>
    <r>
      <rPr>
        <sz val="12"/>
        <rFont val="Khmer OS Battambang"/>
      </rPr>
      <t xml:space="preserve"> </t>
    </r>
    <r>
      <rPr>
        <sz val="12"/>
        <rFont val="Times New Roman"/>
        <family val="1"/>
      </rPr>
      <t>(Công Khác)</t>
    </r>
  </si>
  <si>
    <r>
      <rPr>
        <b/>
        <sz val="14"/>
        <rFont val="Khmer OS Moul Light"/>
        <charset val="163"/>
      </rPr>
      <t>សរុប</t>
    </r>
    <r>
      <rPr>
        <sz val="12"/>
        <rFont val="Khmer OS Muol Light"/>
      </rPr>
      <t xml:space="preserve"> </t>
    </r>
    <r>
      <rPr>
        <b/>
        <sz val="12"/>
        <rFont val="Khmer OS Bokor"/>
      </rPr>
      <t>(</t>
    </r>
    <r>
      <rPr>
        <b/>
        <sz val="12"/>
        <rFont val="Times New Roman"/>
        <family val="1"/>
      </rPr>
      <t xml:space="preserve">Tổng cộng)  </t>
    </r>
  </si>
  <si>
    <t xml:space="preserve"> សរុបបៀវត្សខែ ០៤/២០២៥ (Tổng lương tháng 04/2025)</t>
  </si>
  <si>
    <r>
      <rPr>
        <b/>
        <sz val="13"/>
        <rFont val="Khmer OS Muol Light"/>
      </rPr>
      <t>រោងចក្រកែច្នៃ</t>
    </r>
    <r>
      <rPr>
        <b/>
        <sz val="13"/>
        <rFont val="Khmer OS"/>
      </rPr>
      <t>/ XƯỞNG</t>
    </r>
    <r>
      <rPr>
        <b/>
        <sz val="13"/>
        <rFont val="Calibri Light"/>
        <family val="2"/>
        <scheme val="major"/>
      </rPr>
      <t xml:space="preserve"> CHẾ BIẾN</t>
    </r>
  </si>
  <si>
    <r>
      <rPr>
        <b/>
        <sz val="12"/>
        <rFont val="Khmer OS Muol Light"/>
      </rPr>
      <t>អ្នករៀបចំ</t>
    </r>
    <r>
      <rPr>
        <b/>
        <sz val="12"/>
        <rFont val="Khmer OS"/>
      </rPr>
      <t xml:space="preserve">/ </t>
    </r>
    <r>
      <rPr>
        <b/>
        <sz val="12"/>
        <rFont val="Calibri Light"/>
        <family val="2"/>
        <scheme val="major"/>
      </rPr>
      <t>LẬP BIỂU</t>
    </r>
  </si>
  <si>
    <r>
      <rPr>
        <b/>
        <sz val="13"/>
        <rFont val="Khmer OS Muol Light"/>
      </rPr>
      <t>ផ្នែក ចាត់តាំង រដ្ឋបាល</t>
    </r>
    <r>
      <rPr>
        <b/>
        <sz val="13"/>
        <rFont val="Khmer OS Muol Light"/>
      </rPr>
      <t xml:space="preserve">/ </t>
    </r>
    <r>
      <rPr>
        <b/>
        <sz val="14"/>
        <rFont val="Times New Roman"/>
        <family val="1"/>
      </rPr>
      <t>PHÒNG TCHC</t>
    </r>
  </si>
  <si>
    <r>
      <rPr>
        <b/>
        <sz val="13"/>
        <rFont val="Khmer OS Muol Light"/>
      </rPr>
      <t xml:space="preserve">ផ.ហិរ.គណនេយ្យ / </t>
    </r>
    <r>
      <rPr>
        <b/>
        <sz val="14"/>
        <rFont val="Times New Roman"/>
        <family val="1"/>
      </rPr>
      <t>PHÒNG TCKT</t>
    </r>
  </si>
  <si>
    <r>
      <rPr>
        <b/>
        <sz val="13"/>
        <rFont val="Khmer OS Muol Light"/>
      </rPr>
      <t>អនុម័តនាយកក្រុមហ៊ុន</t>
    </r>
    <r>
      <rPr>
        <b/>
        <sz val="13"/>
        <rFont val="Khmer OS"/>
      </rPr>
      <t xml:space="preserve">/ </t>
    </r>
    <r>
      <rPr>
        <b/>
        <sz val="14"/>
        <rFont val="Times New Roman"/>
        <family val="1"/>
      </rPr>
      <t>DUYỆT GIÁM ĐỐC</t>
    </r>
  </si>
  <si>
    <t>មី និងប្រេងឆាឲ្យកម្មករ (Mì, dầu ăn cho CN)</t>
  </si>
  <si>
    <t>Cộng</t>
  </si>
  <si>
    <t>រិន ច្រិប</t>
  </si>
  <si>
    <t xml:space="preserve">RIN CHRIB   </t>
  </si>
  <si>
    <t>កែវ សម្បត្តិ</t>
  </si>
  <si>
    <t>KEO SAMBATH</t>
  </si>
  <si>
    <t>គី គីន</t>
  </si>
  <si>
    <t xml:space="preserve">ផន ឃី </t>
  </si>
  <si>
    <t>PHORN KHY</t>
  </si>
  <si>
    <t>ថន ម៉ន</t>
  </si>
  <si>
    <t>THORN MORN</t>
  </si>
  <si>
    <t>សៃ រិទ្ធី</t>
  </si>
  <si>
    <t>SAI RITHY</t>
  </si>
  <si>
    <t>សាត រិទ្ធិសាក់</t>
  </si>
  <si>
    <t>SAT RITHYSAK</t>
  </si>
  <si>
    <t>ហឿង សុជឿន</t>
  </si>
  <si>
    <t>HOEUNG SOCHOEUN</t>
  </si>
  <si>
    <t>ថន សំណាង</t>
  </si>
  <si>
    <t>THAN SAMNANG</t>
  </si>
  <si>
    <t>សន ហ៊ុច</t>
  </si>
  <si>
    <t>SORN HUCH</t>
  </si>
  <si>
    <t>ថូរ សុភ័ណ្ឌ</t>
  </si>
  <si>
    <t>THO SOPHORN</t>
  </si>
  <si>
    <t>ធៀម សំនាង</t>
  </si>
  <si>
    <t>THEAM SAMNEANG</t>
  </si>
  <si>
    <t>អែល សាន់</t>
  </si>
  <si>
    <t xml:space="preserve">EL SANN </t>
  </si>
  <si>
    <t>អ៊ាវ ខាត់</t>
  </si>
  <si>
    <t>EAV KHATH</t>
  </si>
  <si>
    <t>ភី ផូ</t>
  </si>
  <si>
    <t>PHI PHO</t>
  </si>
  <si>
    <t>វុន វណ្ណនី</t>
  </si>
  <si>
    <t>VON VANNY</t>
  </si>
  <si>
    <t>លឿន ឆាលី</t>
  </si>
  <si>
    <t>LOEUN CHALY</t>
  </si>
  <si>
    <t>ហឿន សាវុធ</t>
  </si>
  <si>
    <t>HOEURN SAVUTH</t>
  </si>
  <si>
    <t>រឿន សារី</t>
  </si>
  <si>
    <t>ROEUN SARY</t>
  </si>
  <si>
    <t>ហ៊ុច សំណាង</t>
  </si>
  <si>
    <t>HOCH SOMNANG</t>
  </si>
  <si>
    <t>បាន ចន្ថា</t>
  </si>
  <si>
    <t>BAN CHANTHA</t>
  </si>
  <si>
    <t>សាន់ យូស័រ</t>
  </si>
  <si>
    <t>SAN YUSOR</t>
  </si>
  <si>
    <t>វុន វណ្ណា</t>
  </si>
  <si>
    <t>VUN VANNA</t>
  </si>
  <si>
    <t>ជឿន នីន</t>
  </si>
  <si>
    <t>CHOEUN NIN</t>
  </si>
  <si>
    <t xml:space="preserve">ហឿង ហេង </t>
  </si>
  <si>
    <t>HOEUNG HENG</t>
  </si>
  <si>
    <t xml:space="preserve">គង់ ចាន់ទ្រឿន </t>
  </si>
  <si>
    <t>KONG CHANTROEUN</t>
  </si>
  <si>
    <t>ជឿន ថា</t>
  </si>
  <si>
    <t>CHOEUN THA</t>
  </si>
  <si>
    <t>ហ៊ុន ម៉ៅ</t>
  </si>
  <si>
    <t>HUN MAO</t>
  </si>
  <si>
    <t>ជឿន ថី</t>
  </si>
  <si>
    <t>CHOEUN THEY</t>
  </si>
  <si>
    <t>ឆឹម ខុន</t>
  </si>
  <si>
    <t>CHHEOM KHON</t>
  </si>
  <si>
    <t>ថន សុខធា</t>
  </si>
  <si>
    <t>THON SOKHTHEA</t>
  </si>
  <si>
    <t>នី គីន</t>
  </si>
  <si>
    <t>NY KIN</t>
  </si>
  <si>
    <t xml:space="preserve"> វុន ហួន</t>
  </si>
  <si>
    <t>VUN HOUN</t>
  </si>
  <si>
    <t>លី​ ប៊ុនយ៉េន</t>
  </si>
  <si>
    <t>LY BUNYEN</t>
  </si>
  <si>
    <t>ធឿន​ វុឌ្ឍី</t>
  </si>
  <si>
    <t>THOEUN VUTHY</t>
  </si>
  <si>
    <t>ម៉ៅ ថី</t>
  </si>
  <si>
    <t>MAO THEY</t>
  </si>
  <si>
    <t>ហៀង ហ័ង</t>
  </si>
  <si>
    <t>HEANG HORNG</t>
  </si>
  <si>
    <t>មឿន សេន</t>
  </si>
  <si>
    <t>MOEURN SEN</t>
  </si>
  <si>
    <t>SOUR SALOUTH</t>
  </si>
  <si>
    <t>ហ៊ីម មករា</t>
  </si>
  <si>
    <t>HIM MAKRA</t>
  </si>
  <si>
    <t>ហុក តុងសេង</t>
  </si>
  <si>
    <t>HUK TUNGSENG</t>
  </si>
  <si>
    <t>ម៉ុក សុធា</t>
  </si>
  <si>
    <t>MOK SOTHEA</t>
  </si>
  <si>
    <t xml:space="preserve">គួន ធី </t>
  </si>
  <si>
    <t xml:space="preserve">KOURN THY </t>
  </si>
  <si>
    <t xml:space="preserve">អៀង អ៊ា </t>
  </si>
  <si>
    <t xml:space="preserve">EANG EAR </t>
  </si>
  <si>
    <t>ម៉ៅ សុខនី</t>
  </si>
  <si>
    <t>MAO SOKNY</t>
  </si>
  <si>
    <t>ម៉ឹង គា</t>
  </si>
  <si>
    <t xml:space="preserve">MOENG KEA </t>
  </si>
  <si>
    <t>ម៉ៅ សុខម៉េង</t>
  </si>
  <si>
    <t>MAO SOKMENG</t>
  </si>
  <si>
    <t>គា​ ទីណូ</t>
  </si>
  <si>
    <t>KHEA TINO</t>
  </si>
  <si>
    <t>ធួន ធីម</t>
  </si>
  <si>
    <t>THUN THIM</t>
  </si>
  <si>
    <t>មាស ភា</t>
  </si>
  <si>
    <t>MEAS PHEA</t>
  </si>
  <si>
    <t>សេន សីហា</t>
  </si>
  <si>
    <t>SEN SEYHA</t>
  </si>
  <si>
    <t>មេង បូរី</t>
  </si>
  <si>
    <t>MENG BOREY</t>
  </si>
  <si>
    <t>មាស សៀក</t>
  </si>
  <si>
    <t>MEAS SEAK</t>
  </si>
  <si>
    <t>សន ម៉ាប់</t>
  </si>
  <si>
    <t>SORN MAB</t>
  </si>
  <si>
    <t>ម៉ន ពឿយ</t>
  </si>
  <si>
    <t>MORN POEUY</t>
  </si>
  <si>
    <t>ថន ចារី</t>
  </si>
  <si>
    <t>THON CHAREY</t>
  </si>
  <si>
    <t>រឿន រឿង</t>
  </si>
  <si>
    <t>អ៊ឹម ថាច</t>
  </si>
  <si>
    <t>OEM THACH</t>
  </si>
  <si>
    <t>សន ចាន់រី</t>
  </si>
  <si>
    <t>SORN CHANRY</t>
  </si>
  <si>
    <t>សន ឆៃលី</t>
  </si>
  <si>
    <t>SORN CHHAILY</t>
  </si>
  <si>
    <t>សរុប (Tổng cộng)</t>
  </si>
  <si>
    <r>
      <rPr>
        <b/>
        <sz val="13"/>
        <rFont val="Khmer OS Muol Light"/>
      </rPr>
      <t xml:space="preserve">រោងចក្រកែច្នៃ/ </t>
    </r>
    <r>
      <rPr>
        <b/>
        <sz val="14"/>
        <rFont val="Times New Roman"/>
        <family val="1"/>
      </rPr>
      <t>XƯỞNG CHẾ BIẾN</t>
    </r>
  </si>
  <si>
    <t>ឯកតា/</t>
  </si>
  <si>
    <t>ĐVT: Riel</t>
  </si>
  <si>
    <t>ល.រ
STT</t>
  </si>
  <si>
    <t xml:space="preserve">
បៀវត្សដាច់ឆ្នាំ 
(Lương 
thâm niên)</t>
  </si>
  <si>
    <t>Tạm ứng 
lương</t>
  </si>
  <si>
    <t>Thực lãnh</t>
  </si>
  <si>
    <t>Gia cảnh</t>
  </si>
  <si>
    <t>C</t>
  </si>
  <si>
    <t>D</t>
  </si>
  <si>
    <t>040322767</t>
  </si>
  <si>
    <t>020520213</t>
  </si>
  <si>
    <t>150429482 (01)</t>
  </si>
  <si>
    <t>150469703 (01)</t>
  </si>
  <si>
    <t>150360208 (01)</t>
  </si>
  <si>
    <t>សួរ សាលូត</t>
  </si>
  <si>
    <t>150306182 (01)</t>
  </si>
  <si>
    <t>150523495 (01)</t>
  </si>
  <si>
    <t>ROEUN ROEUNG</t>
  </si>
  <si>
    <r>
      <rPr>
        <sz val="12"/>
        <color indexed="8"/>
        <rFont val="Khmer OS Muol Light"/>
      </rPr>
      <t>សរុប</t>
    </r>
    <r>
      <rPr>
        <b/>
        <sz val="12"/>
        <color indexed="8"/>
        <rFont val="Times New Roman"/>
        <family val="1"/>
      </rPr>
      <t xml:space="preserve"> (Tổng cộng)</t>
    </r>
  </si>
  <si>
    <r>
      <rPr>
        <b/>
        <sz val="14"/>
        <color theme="1"/>
        <rFont val="Khmer OS Muol Light"/>
      </rPr>
      <t xml:space="preserve">អ្នករៀបចំ / </t>
    </r>
    <r>
      <rPr>
        <b/>
        <sz val="14"/>
        <color theme="1"/>
        <rFont val="Times New Roman"/>
        <family val="1"/>
      </rPr>
      <t>Lập biểu</t>
    </r>
  </si>
  <si>
    <t>CÔNG TY TNHH CAO SU VRG MEKONG</t>
  </si>
  <si>
    <t xml:space="preserve">តារាងវត្តមានកម្មករប៉ុសិ៏កិនជ័រកៅស៊ូ 
</t>
  </si>
  <si>
    <t>BẢNG PHÂN CHIA KHỐI LƯỢNG CÔNG NHÂN LÀM MỦ CÁN VẮT TỔ 1</t>
  </si>
  <si>
    <t>ត្រកូលនិងឈ្មោះ
HỌ VÀ TÊN</t>
  </si>
  <si>
    <t>ឯកតា
ĐVT</t>
  </si>
  <si>
    <r>
      <rPr>
        <sz val="9"/>
        <rFont val="Khmer OS Muol Light"/>
      </rPr>
      <t>សម្គាល់</t>
    </r>
    <r>
      <rPr>
        <b/>
        <sz val="9"/>
        <rFont val="Times New Roman"/>
        <family val="1"/>
      </rPr>
      <t xml:space="preserve">
GHI CHÚ</t>
    </r>
  </si>
  <si>
    <t>ហត្ថលេខាទទួល
Ký nhận</t>
  </si>
  <si>
    <r>
      <rPr>
        <sz val="10"/>
        <color indexed="8"/>
        <rFont val="Khmer OS Battambang"/>
      </rPr>
      <t xml:space="preserve">តោន </t>
    </r>
    <r>
      <rPr>
        <sz val="10"/>
        <color indexed="8"/>
        <rFont val="Times New Roman"/>
        <family val="1"/>
      </rPr>
      <t>(Tấn)</t>
    </r>
  </si>
  <si>
    <t>-</t>
  </si>
  <si>
    <t xml:space="preserve">Cộng </t>
  </si>
  <si>
    <t>BẢNG PHÂN CHIA KHỐI LƯỢNG CÔNG NHÂN LÀM MỦ CÁN VẮT TỔ 2</t>
  </si>
  <si>
    <t>Ký
 nhận</t>
  </si>
  <si>
    <r>
      <rPr>
        <sz val="11"/>
        <color indexed="8"/>
        <rFont val="Khmer OS Battambang"/>
      </rPr>
      <t xml:space="preserve">តោន </t>
    </r>
    <r>
      <rPr>
        <sz val="11"/>
        <color indexed="8"/>
        <rFont val="Times New Roman"/>
        <family val="1"/>
      </rPr>
      <t>(Tấn)</t>
    </r>
  </si>
  <si>
    <r>
      <rPr>
        <sz val="10"/>
        <rFont val="Khmer OS Muol Light"/>
      </rPr>
      <t>សម្គាល់</t>
    </r>
    <r>
      <rPr>
        <b/>
        <sz val="10"/>
        <rFont val="Times New Roman"/>
        <family val="1"/>
      </rPr>
      <t xml:space="preserve">
GHI CHÚ</t>
    </r>
  </si>
  <si>
    <t>Ký nhận</t>
  </si>
  <si>
    <t>`</t>
  </si>
  <si>
    <t>លេខអត្តសញ្ញាណ​បណ្ណ
Số CMND</t>
  </si>
  <si>
    <t xml:space="preserve">សរុប
TỔNG 
CỘNG </t>
  </si>
  <si>
    <t>Vắng Đ 1</t>
  </si>
  <si>
    <t>Vắng Đ 2</t>
  </si>
  <si>
    <t>X</t>
  </si>
  <si>
    <t>Làm thêm giờ</t>
  </si>
  <si>
    <t>/</t>
  </si>
  <si>
    <t>គ្រឿន រិត</t>
  </si>
  <si>
    <t>KROEUN RITH</t>
  </si>
  <si>
    <t>ទៀង ឡៃស៊ីម</t>
  </si>
  <si>
    <t>TIENG LAISIM</t>
  </si>
  <si>
    <t>ម៉ៅ ឆូន</t>
  </si>
  <si>
    <t>MAO CHHAUN</t>
  </si>
  <si>
    <r>
      <rPr>
        <sz val="12"/>
        <rFont val="Khmer OS Muol Light"/>
      </rPr>
      <t>សម្គាល់</t>
    </r>
    <r>
      <rPr>
        <b/>
        <sz val="12"/>
        <rFont val="Times New Roman"/>
        <family val="1"/>
      </rPr>
      <t xml:space="preserve">
GHI CHÚ</t>
    </r>
  </si>
  <si>
    <r>
      <rPr>
        <b/>
        <sz val="13"/>
        <rFont val="Khmer OS Muol Light"/>
      </rPr>
      <t>ល.រ</t>
    </r>
    <r>
      <rPr>
        <b/>
        <sz val="13"/>
        <rFont val="Times New Roman"/>
        <family val="1"/>
      </rPr>
      <t xml:space="preserve">
STT</t>
    </r>
  </si>
  <si>
    <r>
      <rPr>
        <b/>
        <sz val="12"/>
        <rFont val="Khmer OS Muol Light"/>
      </rPr>
      <t>បំណុល</t>
    </r>
    <r>
      <rPr>
        <b/>
        <sz val="11"/>
        <rFont val="Khmer OS Muol Light"/>
      </rPr>
      <t xml:space="preserve">/ </t>
    </r>
    <r>
      <rPr>
        <b/>
        <sz val="12"/>
        <rFont val="Khmer OS Muol Light"/>
      </rPr>
      <t>Công nợ</t>
    </r>
  </si>
  <si>
    <t xml:space="preserve">ភាគទានប្រាក់សោធន​​​/ BHXH </t>
  </si>
  <si>
    <t>ភាគទានប្រាក់សោធនវគ្គទី២​​​/ BHXH đợt 2</t>
  </si>
  <si>
    <r>
      <rPr>
        <b/>
        <sz val="11"/>
        <color indexed="8"/>
        <rFont val="Khmer OS Muol Light"/>
      </rPr>
      <t xml:space="preserve">អក្សរខ្មែរ
</t>
    </r>
    <r>
      <rPr>
        <sz val="11"/>
        <color indexed="8"/>
        <rFont val="Times New Roman"/>
        <family val="1"/>
      </rPr>
      <t xml:space="preserve"> </t>
    </r>
    <r>
      <rPr>
        <b/>
        <sz val="11"/>
        <color indexed="8"/>
        <rFont val="Times New Roman"/>
        <family val="1"/>
      </rPr>
      <t>(Khmer)</t>
    </r>
  </si>
  <si>
    <r>
      <rPr>
        <b/>
        <sz val="11"/>
        <color indexed="8"/>
        <rFont val="Khmer OS Muol Light"/>
      </rPr>
      <t>អក្សរ ឡាតាំង</t>
    </r>
    <r>
      <rPr>
        <sz val="11"/>
        <color indexed="8"/>
        <rFont val="Khmer OS Muol Light"/>
      </rPr>
      <t xml:space="preserve"> 
</t>
    </r>
    <r>
      <rPr>
        <b/>
        <sz val="11"/>
        <color indexed="8"/>
        <rFont val="Times New Roman"/>
        <family val="1"/>
      </rPr>
      <t>(La tinh)</t>
    </r>
  </si>
  <si>
    <r>
      <rPr>
        <b/>
        <sz val="12"/>
        <rFont val="Khmer OS Muol Light"/>
      </rPr>
      <t>ត្រកូល និង ឈ្មោះ</t>
    </r>
    <r>
      <rPr>
        <b/>
        <sz val="11"/>
        <rFont val="Khmer OS Muol Light"/>
      </rPr>
      <t xml:space="preserve"> 
</t>
    </r>
    <r>
      <rPr>
        <b/>
        <sz val="11"/>
        <rFont val="Times New Roman"/>
        <family val="1"/>
      </rPr>
      <t xml:space="preserve">/ </t>
    </r>
    <r>
      <rPr>
        <b/>
        <sz val="12"/>
        <rFont val="Times New Roman"/>
        <family val="1"/>
      </rPr>
      <t>Họ và tên</t>
    </r>
  </si>
  <si>
    <r>
      <rPr>
        <b/>
        <sz val="11"/>
        <color rgb="FF000000"/>
        <rFont val="Khmer OS Muol Light"/>
      </rPr>
      <t>លេខអត្តសញ្ញាណ​បណ្ណ</t>
    </r>
    <r>
      <rPr>
        <sz val="11"/>
        <color indexed="8"/>
        <rFont val="Khmer OS Muol Light"/>
      </rPr>
      <t xml:space="preserve">
</t>
    </r>
    <r>
      <rPr>
        <b/>
        <sz val="11"/>
        <color rgb="FF000000"/>
        <rFont val="Times New Roman"/>
        <family val="1"/>
      </rPr>
      <t>Số CMND</t>
    </r>
  </si>
  <si>
    <r>
      <rPr>
        <b/>
        <sz val="12"/>
        <rFont val="Khmer OS Muol Light"/>
      </rPr>
      <t>បទដ្ឋាន</t>
    </r>
    <r>
      <rPr>
        <b/>
        <sz val="11"/>
        <rFont val="Khmer OS Muol Light"/>
      </rPr>
      <t xml:space="preserve">
</t>
    </r>
    <r>
      <rPr>
        <b/>
        <sz val="12"/>
        <rFont val="Times New Roman"/>
        <family val="1"/>
      </rPr>
      <t>Định 
mức
 31.947 
Riel/
công</t>
    </r>
  </si>
  <si>
    <r>
      <t xml:space="preserve">កម្លាំង
</t>
    </r>
    <r>
      <rPr>
        <b/>
        <sz val="12"/>
        <rFont val="Times New Roman"/>
        <family val="1"/>
      </rPr>
      <t xml:space="preserve">Công </t>
    </r>
  </si>
  <si>
    <r>
      <t xml:space="preserve">ជាប្រាក់
</t>
    </r>
    <r>
      <rPr>
        <b/>
        <sz val="12"/>
        <rFont val="Times New Roman"/>
        <family val="1"/>
      </rPr>
      <t>Thành
 Tiền</t>
    </r>
  </si>
  <si>
    <r>
      <t xml:space="preserve">សរុប
</t>
    </r>
    <r>
      <rPr>
        <b/>
        <sz val="11"/>
        <rFont val="Times New Roman"/>
        <family val="1"/>
      </rPr>
      <t>Tổng lương</t>
    </r>
  </si>
  <si>
    <r>
      <t xml:space="preserve">បុរេប្រទាន
បៀវត្ស
</t>
    </r>
    <r>
      <rPr>
        <b/>
        <sz val="10"/>
        <rFont val="Times New Roman"/>
        <family val="1"/>
      </rPr>
      <t>T/ứ lương</t>
    </r>
  </si>
  <si>
    <r>
      <t>ពន្ធលើប្រាក់បៀវត្ស/</t>
    </r>
    <r>
      <rPr>
        <b/>
        <sz val="10"/>
        <rFont val="Times New Roman"/>
        <family val="1"/>
      </rPr>
      <t xml:space="preserve"> TNCN</t>
    </r>
  </si>
  <si>
    <r>
      <t xml:space="preserve">សរុបបំណុល
</t>
    </r>
    <r>
      <rPr>
        <b/>
        <sz val="11"/>
        <rFont val="Times New Roman"/>
        <family val="1"/>
      </rPr>
      <t>Tổng nợ</t>
    </r>
  </si>
  <si>
    <r>
      <t xml:space="preserve">ត្រូវទទួល
</t>
    </r>
    <r>
      <rPr>
        <b/>
        <sz val="11"/>
        <rFont val="Times New Roman"/>
        <family val="1"/>
      </rPr>
      <t>Thực nhận</t>
    </r>
  </si>
  <si>
    <r>
      <t xml:space="preserve">ហត្ថលេខាទទួល
</t>
    </r>
    <r>
      <rPr>
        <b/>
        <sz val="11"/>
        <color theme="1"/>
        <rFont val="Times New Roman"/>
        <family val="1"/>
      </rPr>
      <t>KÝ NHẬN</t>
    </r>
  </si>
  <si>
    <r>
      <t xml:space="preserve">ល.រ
</t>
    </r>
    <r>
      <rPr>
        <b/>
        <sz val="10"/>
        <rFont val="Times New Roman"/>
        <family val="1"/>
      </rPr>
      <t>STT</t>
    </r>
  </si>
  <si>
    <r>
      <t xml:space="preserve">ត្រកូលនិងឈ្មោះ
</t>
    </r>
    <r>
      <rPr>
        <b/>
        <sz val="12"/>
        <rFont val="Times New Roman"/>
        <family val="1"/>
      </rPr>
      <t>Họ và tên</t>
    </r>
  </si>
  <si>
    <r>
      <rPr>
        <b/>
        <sz val="10"/>
        <color rgb="FF000000"/>
        <rFont val="Khmer OS Muol Light"/>
      </rPr>
      <t>អក្សរខ្មែរ</t>
    </r>
    <r>
      <rPr>
        <sz val="10"/>
        <color rgb="FF000000"/>
        <rFont val="Khmer OS Muol Light"/>
      </rPr>
      <t xml:space="preserve"> </t>
    </r>
    <r>
      <rPr>
        <sz val="10"/>
        <color indexed="8"/>
        <rFont val="Khmer OS Muol Light"/>
      </rPr>
      <t xml:space="preserve">
</t>
    </r>
    <r>
      <rPr>
        <sz val="10"/>
        <color rgb="FF000000"/>
        <rFont val="Times New Roman"/>
        <family val="1"/>
      </rPr>
      <t>(Khmer)</t>
    </r>
  </si>
  <si>
    <r>
      <rPr>
        <b/>
        <sz val="11"/>
        <color rgb="FF000000"/>
        <rFont val="Khmer OS Muol Light"/>
      </rPr>
      <t>អក្សរ ឡាតាំង</t>
    </r>
    <r>
      <rPr>
        <b/>
        <sz val="11"/>
        <color indexed="8"/>
        <rFont val="Khmer OS Muol Light"/>
      </rPr>
      <t xml:space="preserve">
</t>
    </r>
    <r>
      <rPr>
        <sz val="11"/>
        <color indexed="8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(La tinh)</t>
    </r>
  </si>
  <si>
    <r>
      <t xml:space="preserve">ជ័រកិន 
</t>
    </r>
    <r>
      <rPr>
        <b/>
        <sz val="12"/>
        <rFont val="Times New Roman"/>
        <family val="1"/>
      </rPr>
      <t>(Làm mủ
 cán vắt)</t>
    </r>
  </si>
  <si>
    <r>
      <t xml:space="preserve">បរិមាណ
</t>
    </r>
    <r>
      <rPr>
        <b/>
        <sz val="10"/>
        <rFont val="Times New Roman"/>
        <family val="1"/>
      </rPr>
      <t xml:space="preserve">Khối 
lượng </t>
    </r>
  </si>
  <si>
    <r>
      <t xml:space="preserve">កម្លាំង
</t>
    </r>
    <r>
      <rPr>
        <b/>
        <sz val="10"/>
        <rFont val="Times New Roman"/>
        <family val="1"/>
      </rPr>
      <t>Công</t>
    </r>
  </si>
  <si>
    <r>
      <t xml:space="preserve">ជ័រសម្រេច 
</t>
    </r>
    <r>
      <rPr>
        <b/>
        <sz val="12"/>
        <rFont val="Times New Roman"/>
        <family val="1"/>
      </rPr>
      <t>(Làm mủ 
Thành phẩm)</t>
    </r>
  </si>
  <si>
    <r>
      <t xml:space="preserve">អ្នកធ្វើការមិនរើសមុខ 
</t>
    </r>
    <r>
      <rPr>
        <b/>
        <sz val="10"/>
        <rFont val="Times New Roman"/>
        <family val="1"/>
      </rPr>
      <t>(Tạp vụ)</t>
    </r>
  </si>
  <si>
    <r>
      <t xml:space="preserve">សន្ដិសុខការពារ​​​​​
</t>
    </r>
    <r>
      <rPr>
        <b/>
        <sz val="10"/>
        <rFont val="Times New Roman"/>
        <family val="1"/>
      </rPr>
      <t xml:space="preserve"> (Bảo vệ)</t>
    </r>
  </si>
  <si>
    <r>
      <t xml:space="preserve">អ្នកបើកឡាន 
</t>
    </r>
    <r>
      <rPr>
        <b/>
        <sz val="10"/>
        <rFont val="Times New Roman"/>
        <family val="1"/>
      </rPr>
      <t>(Tài xế)</t>
    </r>
  </si>
  <si>
    <r>
      <t xml:space="preserve">សម្អាត
</t>
    </r>
    <r>
      <rPr>
        <b/>
        <sz val="10"/>
        <rFont val="Times New Roman"/>
        <family val="1"/>
      </rPr>
      <t xml:space="preserve"> (Vệ sinh)</t>
    </r>
  </si>
  <si>
    <r>
      <t xml:space="preserve">កម្មករ មេកានិច
</t>
    </r>
    <r>
      <rPr>
        <b/>
        <sz val="10"/>
        <rFont val="Times New Roman"/>
        <family val="1"/>
      </rPr>
      <t xml:space="preserve"> (Công nhân 
cơ khí)</t>
    </r>
  </si>
  <si>
    <r>
      <t xml:space="preserve">កម្លាំងកាត់ស្មៅបាញ់ថ្នាំស្មៅ
; ពេលនាំចេញជ័រទៅលក់/ </t>
    </r>
    <r>
      <rPr>
        <b/>
        <sz val="10"/>
        <rFont val="Times New Roman"/>
        <family val="1"/>
      </rPr>
      <t>(Công phát cỏ, xịt cỏ; xuất hàng)</t>
    </r>
  </si>
  <si>
    <r>
      <t xml:space="preserve">សរុប
</t>
    </r>
    <r>
      <rPr>
        <b/>
        <sz val="10"/>
        <rFont val="Times New Roman"/>
        <family val="1"/>
      </rPr>
      <t>Tổng
  công</t>
    </r>
  </si>
  <si>
    <r>
      <t>1/ ប្រាក់បៀវត្សទី ១</t>
    </r>
    <r>
      <rPr>
        <sz val="12"/>
        <rFont val="Times New Roman"/>
        <family val="1"/>
      </rPr>
      <t xml:space="preserve"> (Tiền lương đợt 1) ៖</t>
    </r>
  </si>
  <si>
    <r>
      <t>2/ ប្រាក់បៀវត្សទី ២</t>
    </r>
    <r>
      <rPr>
        <sz val="12"/>
        <rFont val="Times New Roman"/>
        <family val="1"/>
      </rPr>
      <t xml:space="preserve"> (Tiền lương đợt 2) ៖</t>
    </r>
  </si>
  <si>
    <r>
      <t xml:space="preserve">1/ទូទាត់ប្រាក់បៀវត្សលើកទី ១ </t>
    </r>
    <r>
      <rPr>
        <sz val="12"/>
        <rFont val="Times New Roman"/>
        <family val="1"/>
      </rPr>
      <t>(Thanh toán lương đợt 1) ៖</t>
    </r>
  </si>
  <si>
    <r>
      <rPr>
        <sz val="11"/>
        <rFont val="Khmer OS Battambang"/>
      </rPr>
      <t xml:space="preserve">2/ </t>
    </r>
    <r>
      <rPr>
        <sz val="11"/>
        <rFont val="Khmer OS"/>
      </rPr>
      <t xml:space="preserve">ភាគទានប្រាក់សោធនវគ្គទី១​​​/ </t>
    </r>
    <r>
      <rPr>
        <sz val="11"/>
        <rFont val="Times New Roman"/>
        <family val="1"/>
      </rPr>
      <t>BHXH Đợt 1</t>
    </r>
  </si>
  <si>
    <r>
      <rPr>
        <b/>
        <u/>
        <sz val="12"/>
        <rFont val="Khmer OS Battambang"/>
      </rPr>
      <t xml:space="preserve">III/ </t>
    </r>
    <r>
      <rPr>
        <b/>
        <u/>
        <sz val="12"/>
        <rFont val="Khmer OS Muol Light"/>
      </rPr>
      <t>ប្រាក់ត្រូវប្រមូល</t>
    </r>
    <r>
      <rPr>
        <b/>
        <u/>
        <sz val="12"/>
        <rFont val="Times New Roman"/>
        <family val="1"/>
      </rPr>
      <t xml:space="preserve"> (Các khoản phải thu):</t>
    </r>
  </si>
  <si>
    <r>
      <rPr>
        <sz val="11"/>
        <rFont val="Khmer OS Battambang"/>
      </rPr>
      <t xml:space="preserve">2/ </t>
    </r>
    <r>
      <rPr>
        <sz val="11"/>
        <rFont val="Khmer OS"/>
      </rPr>
      <t xml:space="preserve">ភាគទានប្រាក់សោធនវគ្គទី២​​​/ </t>
    </r>
    <r>
      <rPr>
        <sz val="11"/>
        <rFont val="Times New Roman"/>
        <family val="1"/>
      </rPr>
      <t>BHXH Đợt 2</t>
    </r>
  </si>
  <si>
    <r>
      <rPr>
        <sz val="12"/>
        <rFont val="Khmer OS Battambang"/>
      </rPr>
      <t xml:space="preserve">3/ </t>
    </r>
    <r>
      <rPr>
        <sz val="12"/>
        <rFont val="Khmer OS"/>
      </rPr>
      <t>បុរេប្រទានផ្ទាល់ខ្លួន</t>
    </r>
    <r>
      <rPr>
        <sz val="12"/>
        <rFont val="Khmer OS Bokor"/>
      </rPr>
      <t xml:space="preserve"> </t>
    </r>
    <r>
      <rPr>
        <sz val="12"/>
        <rFont val="Times New Roman"/>
        <family val="1"/>
      </rPr>
      <t>(Tạm ứng cá nhân):</t>
    </r>
  </si>
  <si>
    <r>
      <rPr>
        <b/>
        <u/>
        <sz val="12"/>
        <rFont val="Khmer OS Battambang"/>
      </rPr>
      <t>IV/</t>
    </r>
    <r>
      <rPr>
        <b/>
        <u/>
        <sz val="12"/>
        <rFont val="Khmer OS Muol Light"/>
      </rPr>
      <t xml:space="preserve"> ប្រាក់ត្រូវទទួល</t>
    </r>
    <r>
      <rPr>
        <b/>
        <u/>
        <sz val="12"/>
        <rFont val="Times New Roman"/>
        <family val="1"/>
      </rPr>
      <t xml:space="preserve"> (Thực nhận):</t>
    </r>
  </si>
  <si>
    <r>
      <rPr>
        <sz val="12"/>
        <rFont val="Khmer OS Battambang"/>
      </rPr>
      <t xml:space="preserve">1/ </t>
    </r>
    <r>
      <rPr>
        <sz val="12"/>
        <rFont val="Khmer OS"/>
      </rPr>
      <t>ប្រាក់បៀវត្សត្រូវទទួល</t>
    </r>
    <r>
      <rPr>
        <sz val="12"/>
        <rFont val="Times New Roman"/>
        <family val="1"/>
      </rPr>
      <t xml:space="preserve"> (Tiền lương thực nhận):</t>
    </r>
  </si>
  <si>
    <t>សាញ់ ខុម</t>
  </si>
  <si>
    <t>SANH KHOM</t>
  </si>
  <si>
    <t xml:space="preserve">ត្រកូលនិងឈ្មោះ
</t>
  </si>
  <si>
    <t>HỌ VÀ TÊN</t>
  </si>
  <si>
    <r>
      <rPr>
        <b/>
        <sz val="11"/>
        <color indexed="8"/>
        <rFont val="Times New Roman"/>
        <family val="1"/>
      </rPr>
      <t>ថ្ងៃខែឆ្នាំកំណើត</t>
    </r>
    <r>
      <rPr>
        <sz val="11"/>
        <color indexed="8"/>
        <rFont val="Times New Roman"/>
        <family val="1"/>
      </rPr>
      <t xml:space="preserve">
Năm sinh</t>
    </r>
  </si>
  <si>
    <t xml:space="preserve">អង្គភាពអនុវត្ត </t>
  </si>
  <si>
    <t>ĐƠN VỊ THỰC HIỆN</t>
  </si>
  <si>
    <t>លាងសម្អាតធុងសម្ងួតជ័រ/ vệ sinh thùng sấy mủ</t>
  </si>
  <si>
    <r>
      <rPr>
        <b/>
        <sz val="12"/>
        <rFont val="Khmer OS Muol Light"/>
      </rPr>
      <t>សរុប</t>
    </r>
    <r>
      <rPr>
        <b/>
        <sz val="12"/>
        <rFont val="Times New Roman"/>
        <family val="1"/>
      </rPr>
      <t xml:space="preserve">
TỔNG CỘNG </t>
    </r>
  </si>
  <si>
    <r>
      <rPr>
        <b/>
        <sz val="9"/>
        <rFont val="Khmer OS Muol Light"/>
      </rPr>
      <t>សរុប</t>
    </r>
    <r>
      <rPr>
        <b/>
        <sz val="9"/>
        <rFont val="Times New Roman"/>
        <family val="1"/>
      </rPr>
      <t xml:space="preserve">
TỔNG CỘNG </t>
    </r>
  </si>
  <si>
    <r>
      <rPr>
        <b/>
        <sz val="10"/>
        <rFont val="Khmer OS Muol Light"/>
      </rPr>
      <t>សរុប</t>
    </r>
    <r>
      <rPr>
        <b/>
        <sz val="10"/>
        <rFont val="Times New Roman"/>
        <family val="1"/>
      </rPr>
      <t xml:space="preserve">
TỔNG CỘNG </t>
    </r>
  </si>
  <si>
    <r>
      <t xml:space="preserve">រោងចក្រកែច្នៃ / </t>
    </r>
    <r>
      <rPr>
        <b/>
        <sz val="12"/>
        <color theme="1"/>
        <rFont val="Times New Roman"/>
        <family val="1"/>
      </rPr>
      <t>XƯỞNG CHẾ BIẾN</t>
    </r>
  </si>
  <si>
    <r>
      <t xml:space="preserve">អ្នករៀបចំ / </t>
    </r>
    <r>
      <rPr>
        <b/>
        <sz val="12"/>
        <color theme="1"/>
        <rFont val="Times New Roman"/>
        <family val="1"/>
      </rPr>
      <t>Lập biểu</t>
    </r>
  </si>
  <si>
    <t>ម៉ុន ម៉ោល</t>
  </si>
  <si>
    <t>MON MORL</t>
  </si>
  <si>
    <t>កែវ ប្រុសសុទ្ធ</t>
  </si>
  <si>
    <t>KEO BROSSOTH</t>
  </si>
  <si>
    <t>ទៀង ចាន់ថា</t>
  </si>
  <si>
    <t>TIENG CHANTHA</t>
  </si>
  <si>
    <t xml:space="preserve">កិក រក្សា </t>
  </si>
  <si>
    <t>KEK REAKSA</t>
  </si>
  <si>
    <t>ផាត ចាន់លី</t>
  </si>
  <si>
    <t>PHAT CHANLY</t>
  </si>
  <si>
    <r>
      <rPr>
        <sz val="10"/>
        <rFont val="Khmer OS Muol Light"/>
      </rPr>
      <t>ល.រ</t>
    </r>
    <r>
      <rPr>
        <b/>
        <sz val="10"/>
        <rFont val="Khmer OS Muol Light"/>
      </rPr>
      <t xml:space="preserve">
</t>
    </r>
    <r>
      <rPr>
        <b/>
        <sz val="10"/>
        <rFont val="Times New Roman"/>
        <family val="1"/>
      </rPr>
      <t>STT</t>
    </r>
  </si>
  <si>
    <r>
      <rPr>
        <sz val="10"/>
        <rFont val="Khmer OS Muol Light"/>
      </rPr>
      <t xml:space="preserve">រាយនាមការងារ/ </t>
    </r>
    <r>
      <rPr>
        <b/>
        <sz val="10"/>
        <rFont val="Times New Roman"/>
        <family val="1"/>
      </rPr>
      <t>Hạng mục công việc</t>
    </r>
  </si>
  <si>
    <r>
      <rPr>
        <sz val="10"/>
        <rFont val="Khmer OS Muol Light"/>
      </rPr>
      <t>ឯកតា</t>
    </r>
    <r>
      <rPr>
        <b/>
        <sz val="10"/>
        <rFont val="Khmer OS Muol Light"/>
      </rPr>
      <t xml:space="preserve">
</t>
    </r>
    <r>
      <rPr>
        <b/>
        <sz val="10"/>
        <rFont val="Times New Roman"/>
        <family val="1"/>
      </rPr>
      <t>ĐVT</t>
    </r>
  </si>
  <si>
    <r>
      <rPr>
        <sz val="10"/>
        <rFont val="Khmer OS Muol Light"/>
      </rPr>
      <t>កម្រិត</t>
    </r>
    <r>
      <rPr>
        <b/>
        <sz val="10"/>
        <rFont val="Khmer OS Muol Light"/>
      </rPr>
      <t xml:space="preserve">
</t>
    </r>
    <r>
      <rPr>
        <b/>
        <sz val="10"/>
        <rFont val="Times New Roman"/>
        <family val="1"/>
      </rPr>
      <t>Định mức</t>
    </r>
  </si>
  <si>
    <r>
      <t>អនុវត្ត/</t>
    </r>
    <r>
      <rPr>
        <b/>
        <sz val="10"/>
        <rFont val="Times New Roman"/>
        <family val="1"/>
      </rPr>
      <t>THỰC HIỆN</t>
    </r>
  </si>
  <si>
    <r>
      <rPr>
        <sz val="10"/>
        <rFont val="Khmer OS Muol Light"/>
      </rPr>
      <t xml:space="preserve">សម្គាល់/ </t>
    </r>
    <r>
      <rPr>
        <b/>
        <sz val="10"/>
        <rFont val="Times New Roman"/>
        <family val="1"/>
      </rPr>
      <t>Ghi chú</t>
    </r>
  </si>
  <si>
    <t>Đợt 1</t>
  </si>
  <si>
    <r>
      <rPr>
        <sz val="10"/>
        <rFont val="Khmer OS Muol Light"/>
      </rPr>
      <t xml:space="preserve">បរិមាណ/ </t>
    </r>
    <r>
      <rPr>
        <b/>
        <sz val="10"/>
        <rFont val="Times New Roman"/>
        <family val="1"/>
      </rPr>
      <t>Khối lượng</t>
    </r>
    <r>
      <rPr>
        <b/>
        <sz val="10"/>
        <rFont val="Khmer OS Muol Light"/>
      </rPr>
      <t xml:space="preserve"> </t>
    </r>
  </si>
  <si>
    <r>
      <rPr>
        <sz val="10"/>
        <rFont val="Khmer OS Muol Light"/>
      </rPr>
      <t xml:space="preserve">កម្លាំង / </t>
    </r>
    <r>
      <rPr>
        <b/>
        <sz val="10"/>
        <rFont val="Times New Roman"/>
        <family val="1"/>
      </rPr>
      <t>Công</t>
    </r>
  </si>
  <si>
    <t>BC hàng ngày</t>
  </si>
  <si>
    <r>
      <t xml:space="preserve">ជ័រកិន </t>
    </r>
    <r>
      <rPr>
        <sz val="13"/>
        <rFont val="Times New Roman"/>
        <family val="1"/>
      </rPr>
      <t>/Mủ cán vắt ( Gồm phụ cấp phụ trợ trực tiếp 10%)</t>
    </r>
  </si>
  <si>
    <r>
      <t xml:space="preserve">តោន </t>
    </r>
    <r>
      <rPr>
        <sz val="13"/>
        <rFont val="Times New Roman"/>
        <family val="1"/>
      </rPr>
      <t>(Tấn)</t>
    </r>
  </si>
  <si>
    <r>
      <t>ជ័រសម្រេច/</t>
    </r>
    <r>
      <rPr>
        <sz val="13"/>
        <rFont val="Times New Roman"/>
        <family val="1"/>
      </rPr>
      <t>Mủ Thành phẩm  (Gồm phụ cấp phụ trợ trực tiếp 15%)</t>
    </r>
  </si>
  <si>
    <r>
      <rPr>
        <sz val="12"/>
        <rFont val="Khmer OS Battambang"/>
      </rPr>
      <t xml:space="preserve">សន្ដិសុខការពារ​​​​​ </t>
    </r>
    <r>
      <rPr>
        <sz val="12"/>
        <rFont val="Times New Roman"/>
        <family val="1"/>
      </rPr>
      <t>(Bảo vệ)</t>
    </r>
  </si>
  <si>
    <r>
      <rPr>
        <sz val="13"/>
        <rFont val="Khmer OS Battambang"/>
      </rPr>
      <t>កម្លាំង</t>
    </r>
    <r>
      <rPr>
        <sz val="13"/>
        <rFont val="Times New Roman"/>
        <family val="1"/>
      </rPr>
      <t xml:space="preserve"> (Công)</t>
    </r>
  </si>
  <si>
    <t>+</t>
  </si>
  <si>
    <r>
      <rPr>
        <i/>
        <sz val="12"/>
        <rFont val="Khmer OS Battambang"/>
      </rPr>
      <t xml:space="preserve">សន្ដិសុខការពារ​​​​​ </t>
    </r>
    <r>
      <rPr>
        <i/>
        <sz val="12"/>
        <rFont val="Times New Roman"/>
        <family val="1"/>
      </rPr>
      <t>(Bảo vệ)</t>
    </r>
  </si>
  <si>
    <r>
      <t xml:space="preserve">ថ្ងៃ </t>
    </r>
    <r>
      <rPr>
        <i/>
        <sz val="13"/>
        <rFont val="Times New Roman"/>
        <family val="1"/>
      </rPr>
      <t>(Ngày)</t>
    </r>
  </si>
  <si>
    <t>1 người</t>
  </si>
  <si>
    <r>
      <rPr>
        <i/>
        <sz val="12"/>
        <rFont val="Khmer OS Battambang"/>
      </rPr>
      <t xml:space="preserve">សន្ដិសុខការពារ​​​​​ </t>
    </r>
    <r>
      <rPr>
        <i/>
        <sz val="12"/>
        <rFont val="Times New Roman"/>
        <family val="1"/>
      </rPr>
      <t>(Bảo vệ biết TV)</t>
    </r>
  </si>
  <si>
    <r>
      <rPr>
        <sz val="12"/>
        <rFont val="Khmer OS Battambang"/>
      </rPr>
      <t>កម្មករ មេកានិច (</t>
    </r>
    <r>
      <rPr>
        <sz val="12"/>
        <rFont val="Times New Roman"/>
        <family val="1"/>
      </rPr>
      <t>Công nhân cơ khí)</t>
    </r>
  </si>
  <si>
    <t>2 người</t>
  </si>
  <si>
    <r>
      <t xml:space="preserve">អ្នកបើកឡាន </t>
    </r>
    <r>
      <rPr>
        <sz val="12"/>
        <color indexed="8"/>
        <rFont val="Times New Roman"/>
        <family val="1"/>
      </rPr>
      <t>(Tài xế)</t>
    </r>
  </si>
  <si>
    <t>4 người</t>
  </si>
  <si>
    <r>
      <t xml:space="preserve">សម្អាត </t>
    </r>
    <r>
      <rPr>
        <sz val="12"/>
        <rFont val="Times New Roman"/>
        <family val="1"/>
      </rPr>
      <t>(Vệ sinh)</t>
    </r>
  </si>
  <si>
    <t>អ្នកធ្វើការមិនរើសមុខ (Tạp vụ)</t>
  </si>
  <si>
    <r>
      <t xml:space="preserve">កម្លាំងលើកជញ្ជូន </t>
    </r>
    <r>
      <rPr>
        <sz val="12"/>
        <rFont val="Times New Roman"/>
        <family val="1"/>
      </rPr>
      <t>(Công khác)</t>
    </r>
  </si>
  <si>
    <t>8.1</t>
  </si>
  <si>
    <t>កម្លាំងធ្វើបន្ថែមម៉ោងកម្លាំងឆ្កឹះជ័រឆៅចេញ ពេលនាំចេញជ័រទៅលក់
 (Công xịt cỏ; phát cỏ; lễ mủ sống xuất hàng)</t>
  </si>
  <si>
    <t>8.3</t>
  </si>
  <si>
    <t>8.4</t>
  </si>
  <si>
    <r>
      <rPr>
        <sz val="13"/>
        <rFont val="Khmer OS Battambang"/>
      </rPr>
      <t xml:space="preserve">កេះ </t>
    </r>
    <r>
      <rPr>
        <sz val="13"/>
        <rFont val="Times New Roman"/>
        <family val="1"/>
      </rPr>
      <t>(Thùng)</t>
    </r>
  </si>
  <si>
    <r>
      <rPr>
        <sz val="13"/>
        <rFont val="Khmer OS Muol Light"/>
      </rPr>
      <t>សរុប</t>
    </r>
    <r>
      <rPr>
        <b/>
        <sz val="13"/>
        <rFont val="Times New Roman"/>
        <family val="1"/>
      </rPr>
      <t>/Tổng cộng</t>
    </r>
  </si>
  <si>
    <t xml:space="preserve">      អ្នករៀបចំ / Lập biểu      </t>
  </si>
  <si>
    <t>អង្គភាពអនុវត្ត /ĐƠN VỊ THỰC HIỆN</t>
  </si>
  <si>
    <t xml:space="preserve"> PHÒNG TCKT  </t>
  </si>
  <si>
    <r>
      <t xml:space="preserve">ហត្ថលេខា
</t>
    </r>
    <r>
      <rPr>
        <b/>
        <sz val="10"/>
        <rFont val="Times New Roman"/>
        <family val="1"/>
      </rPr>
      <t>KÝ  TÊN</t>
    </r>
  </si>
  <si>
    <t>មាស ស៊ីន​</t>
  </si>
  <si>
    <t>MEAS SIN</t>
  </si>
  <si>
    <r>
      <rPr>
        <sz val="10"/>
        <rFont val="Khmer OS Muol Light"/>
      </rPr>
      <t>សម្គាល់</t>
    </r>
    <r>
      <rPr>
        <b/>
        <sz val="10"/>
        <rFont val="Times New Roman"/>
        <family val="1"/>
      </rPr>
      <t xml:space="preserve">
GHI 
CHÚ</t>
    </r>
  </si>
  <si>
    <t>8.2</t>
  </si>
  <si>
    <t>BẢNG TỔNG HỢP KHỐI LƯỢNG (ĐỢT 1)</t>
  </si>
  <si>
    <t>តារាងបរិមាណកម្មករ រោងចក្រកែច្នៃជ័រកៅស៊ូ ខែ ១២ ឆ្នាំ ២០២៥</t>
  </si>
  <si>
    <t xml:space="preserve"> ចាប់ពីថ្ងៃ ០១-១៥ ខែ ១២ ឆ្នាំ ២០២៥ (វគ្គទី ១)</t>
  </si>
  <si>
    <t>BẢNG KHỐI LƯỢNG CÔNG NHÂN XƯỞNG CHẾ BIẾN THÁNG 12 NĂM 2025</t>
  </si>
  <si>
    <t xml:space="preserve"> TỪ NGÀY 01-15 THÁNG 12 NĂM 2025 (ĐỢT 1)</t>
  </si>
  <si>
    <r>
      <t xml:space="preserve">ជ័រកិន </t>
    </r>
    <r>
      <rPr>
        <sz val="13"/>
        <rFont val="Times New Roman"/>
        <family val="1"/>
      </rPr>
      <t>/Mủ cán vắt 
( Gồm phụ cấp phụ trợ trực tiếp 10%)</t>
    </r>
  </si>
  <si>
    <r>
      <t>ជ័រសម្រេច/</t>
    </r>
    <r>
      <rPr>
        <sz val="13"/>
        <rFont val="Times New Roman"/>
        <family val="1"/>
      </rPr>
      <t>Mủ Thành phẩm
(Gồm phụ cấp phụ trợ trực tiếp 15%)</t>
    </r>
  </si>
  <si>
    <t>អ្នករៀបចំ/Lập biểu</t>
  </si>
  <si>
    <t xml:space="preserve">DOU DIN </t>
  </si>
  <si>
    <t>ឌូ ឌីន</t>
  </si>
  <si>
    <t>សាមសិបប្រាំបួនលាន ប្រាំម៉ឺន ប្រាំពីរពាន់ ប្រាំរយ ហាសិបបួន រៀល</t>
  </si>
  <si>
    <t>( Bằng chữ: Ba mươi chín triệu không trăm năm mươi bảy nghìn năm trăm năm mươi bốn riel)</t>
  </si>
  <si>
    <t>តារាងបែងចែកប្រាក់បៀវត្សកម្មករ​រោងចក្រកែច្នៃជ័រកៅស៊ូខែ ១២ ឆ្នាំ​ ២០២៥(វគ្គទី ២)</t>
  </si>
  <si>
    <t>BẢNG PHÂN TOÁN  LƯƠNG CÔNG NHÂN XƯỞNG CHẾ BIẾN THÁNG 12 NĂM 2025​​​ ( ĐỢT 2)</t>
  </si>
  <si>
    <r>
      <t>បៀវត្សថ្ងៃធម្មតា
 វគ្គទី​​​២</t>
    </r>
    <r>
      <rPr>
        <sz val="11"/>
        <rFont val="Khmer OS Muol Light"/>
      </rPr>
      <t xml:space="preserve">
</t>
    </r>
    <r>
      <rPr>
        <b/>
        <sz val="13"/>
        <rFont val="Times New Roman"/>
        <family val="1"/>
      </rPr>
      <t xml:space="preserve">Lương ngày </t>
    </r>
  </si>
  <si>
    <r>
      <rPr>
        <b/>
        <sz val="10"/>
        <rFont val="Khmer OS Muol Light"/>
      </rPr>
      <t xml:space="preserve">បៀវត្សថ្ងៃធម្មតា 
</t>
    </r>
    <r>
      <rPr>
        <b/>
        <sz val="10"/>
        <color rgb="FFFF0000"/>
        <rFont val="Khmer OS Muol Light"/>
      </rPr>
      <t>វគ្គទី១</t>
    </r>
    <r>
      <rPr>
        <sz val="11"/>
        <rFont val="Khmer OS Muol Light"/>
      </rPr>
      <t xml:space="preserve">
</t>
    </r>
    <r>
      <rPr>
        <b/>
        <sz val="13"/>
        <rFont val="Times New Roman"/>
        <family val="1"/>
      </rPr>
      <t xml:space="preserve">Lương ngày </t>
    </r>
  </si>
  <si>
    <r>
      <t xml:space="preserve">ភាគទានប្រាក់សោធនវគ្គទី១​​​/ </t>
    </r>
    <r>
      <rPr>
        <b/>
        <sz val="10"/>
        <rFont val="Times New Roman"/>
        <family val="1"/>
      </rPr>
      <t xml:space="preserve">BHXH
</t>
    </r>
    <r>
      <rPr>
        <b/>
        <sz val="11"/>
        <rFont val="Times New Roman"/>
        <family val="1"/>
      </rPr>
      <t xml:space="preserve"> đợt 1</t>
    </r>
  </si>
  <si>
    <t>ស៊ុត លី</t>
  </si>
  <si>
    <t>SOTLY</t>
  </si>
  <si>
    <t>តារាងបែងចែកបរិមាណ កម្មករធើ្វជ័រកិនរមូរ ក្រុម ១</t>
  </si>
  <si>
    <t xml:space="preserve">ថ្ងៃ  ០១-១៥ ខែ ០១ ឆ្នាំ ២០២៦ </t>
  </si>
  <si>
    <t xml:space="preserve">តារាងបែងចែកបរិមាណ កម្មករធើ្វជ័រកិនរមូរ ក្រុម ២ </t>
  </si>
  <si>
    <t>តារាងបែងចែកបរិមាណ កម្មករធើ្វជ័រកិន ក្រុម ១ (ផលិតផលសម្រេច)</t>
  </si>
  <si>
    <t>BẢNG PHÂN CHIA KHỐI LƯỢNG CÔNG NHÂN LÀM MỦ CÁN VẮT  (TỔ 1 -TP)</t>
  </si>
  <si>
    <t>តារាងបែងចែកបរិមាណ កម្មករធើ្វជ័រកិន ក្រុម ២ (ផលិតផលសម្រេច)</t>
  </si>
  <si>
    <t>BẢNG PHÂN CHIA KHỐI LƯỢNG CÔNG NHÂN LÀM MỦ CÁN VẮT  (TỔ 2 -TP)</t>
  </si>
  <si>
    <t>BẢNG PHÂN CHIA KHỐI LƯỢNG CÔNG NHÂN LÀM MỦ THÀNH PHẨM  TỔ 1</t>
  </si>
  <si>
    <t>BẢNG PHÂN CHIA KHỐI LƯỢNG CÔNG NHÂN LÀM MỦ THÀNH PHẨM  TỔ 2</t>
  </si>
  <si>
    <t>តារាងបូកសរុបបរិមាណ​ ចាប់ពីថ្ងៃ ០១-១៥ ខែ ១២ ឆ្នាំ ២០២៦ (វគ្គទី ១)</t>
  </si>
  <si>
    <t>NGÀY​​​​ 01 ĐẾN 15 THÁNG 01 NĂM 2026</t>
  </si>
  <si>
    <t>ថ្លឹង កៅស៊ូ ប៉េអឺ ដើម្បីធើ្វសារពើភ័ណ្ឌ ថ្ងៃ ៣១/១២/២០២៥/
Cân thảm kiểm kê VT</t>
  </si>
  <si>
    <r>
      <t xml:space="preserve">កំពង់ធំ, ថ្ងៃ </t>
    </r>
    <r>
      <rPr>
        <i/>
        <sz val="12"/>
        <rFont val="Tui"/>
      </rPr>
      <t xml:space="preserve">(ngày) </t>
    </r>
    <r>
      <rPr>
        <i/>
        <sz val="12"/>
        <rFont val="Khmer OS Battambang"/>
      </rPr>
      <t xml:space="preserve"> 31 ខែ </t>
    </r>
    <r>
      <rPr>
        <i/>
        <sz val="12"/>
        <rFont val="Times New Roman"/>
        <family val="1"/>
      </rPr>
      <t xml:space="preserve">(tháng) 01 </t>
    </r>
    <r>
      <rPr>
        <i/>
        <sz val="12"/>
        <rFont val="Khmer OS Battambang"/>
      </rPr>
      <t xml:space="preserve">ឆ្នាំ </t>
    </r>
    <r>
      <rPr>
        <i/>
        <sz val="12"/>
        <rFont val="Times New Roman"/>
        <family val="1"/>
      </rPr>
      <t>(năm)</t>
    </r>
    <r>
      <rPr>
        <i/>
        <sz val="12"/>
        <rFont val="Khmer OS Battambang"/>
      </rPr>
      <t xml:space="preserve">  2026</t>
    </r>
  </si>
  <si>
    <t>Xcv</t>
  </si>
  <si>
    <t>Xịt cỏ, phát cỏ, tưới bùn</t>
  </si>
  <si>
    <t xml:space="preserve">Vệ sinh thùng, </t>
  </si>
  <si>
    <t>Cân thảm kiểm kê VT</t>
  </si>
  <si>
    <t>*</t>
  </si>
  <si>
    <t xml:space="preserve">តារាងទូទាត់បៀវត្សកម្មកររោងចក្រកែច្នៃជ័រកៅស៊ូ ខែ ០១  ឆ្នាំ ២០២៦ </t>
  </si>
  <si>
    <t xml:space="preserve"> ចាប់ពីថ្ងៃ ០១-១៥ ខែ ០១ ឆ្នាំ ២០២៦ (វគ្គទី ១)</t>
  </si>
  <si>
    <t>BẢNG THANH TOÁN LƯƠNG CÔNG NHÂN XƯỞNG CHẾ BIẾN THÁNG 01 NĂM 2026​​ (ĐỢT 1)</t>
  </si>
  <si>
    <t xml:space="preserve"> TỪ NGÀY 01-15 THÁNG​ 01 NĂM 2026 </t>
  </si>
  <si>
    <t>I/ សរុបបៀវត្សខែ ០១/២០២៦ (Tổng lương tháng 01/2026):</t>
  </si>
  <si>
    <t>( Bằng chữ: Bốn mươi lăm triệu, bảy trăm bảy mươi lăm nghìn năm trăm bảy mươi chín riel)</t>
  </si>
  <si>
    <t>កំពង់ធំ, ថ្ងៃ (ngày)  31 ខែ (tháng) 01 ឆ្នាំ (năm)  2026</t>
  </si>
  <si>
    <t>បៀវត្សកម្មកររោងចក្រកែច្នៃជ័រកៅស៊ូ ខែ ០១ ឆ្នាំ​ ២០២៦ (វគ្គទី១)</t>
  </si>
  <si>
    <t>LƯƠNG CÔNG NHÂN XƯỞNG CHẾ BIẾN THÁNG 01 NĂM 2026 (ĐỢT 1)</t>
  </si>
  <si>
    <r>
      <rPr>
        <b/>
        <u/>
        <sz val="12"/>
        <rFont val="Khmer OS Battambang"/>
      </rPr>
      <t xml:space="preserve">I/ </t>
    </r>
    <r>
      <rPr>
        <b/>
        <u/>
        <sz val="12"/>
        <rFont val="Khmer OS Moul Light"/>
        <charset val="163"/>
      </rPr>
      <t>សរុបបៀវត្សខែ ០១/២០២៦</t>
    </r>
    <r>
      <rPr>
        <b/>
        <u/>
        <sz val="12"/>
        <rFont val="Khmer OS Muol Light"/>
      </rPr>
      <t xml:space="preserve"> </t>
    </r>
    <r>
      <rPr>
        <b/>
        <u/>
        <sz val="12"/>
        <rFont val="Calibri Light"/>
        <family val="2"/>
        <scheme val="major"/>
      </rPr>
      <t>(Tổng lương tháng 01/2026):</t>
    </r>
  </si>
  <si>
    <r>
      <rPr>
        <i/>
        <sz val="12"/>
        <rFont val="Khmer OS"/>
      </rPr>
      <t>កំពង់ធំ, ថ្ងៃ</t>
    </r>
    <r>
      <rPr>
        <i/>
        <sz val="12"/>
        <rFont val="Times New Roman"/>
        <family val="1"/>
      </rPr>
      <t xml:space="preserve"> (ngày) 31</t>
    </r>
    <r>
      <rPr>
        <i/>
        <sz val="12"/>
        <rFont val="Khmer OS"/>
      </rPr>
      <t xml:space="preserve"> ខែ </t>
    </r>
    <r>
      <rPr>
        <i/>
        <sz val="12"/>
        <rFont val="Times New Roman"/>
        <family val="1"/>
      </rPr>
      <t xml:space="preserve">(tháng) 01 </t>
    </r>
    <r>
      <rPr>
        <i/>
        <sz val="12"/>
        <rFont val="Khmer OS"/>
      </rPr>
      <t xml:space="preserve">ឆ្នាំ </t>
    </r>
    <r>
      <rPr>
        <i/>
        <sz val="12"/>
        <rFont val="Times New Roman"/>
        <family val="1"/>
      </rPr>
      <t>(năm)  2026</t>
    </r>
  </si>
  <si>
    <t>សែសិបប្រាំលាន ប្រាំពីររយចិតសិបប្រាំពាន់ ប្រាំរយចិតសិបប្រាំបួន រៀលគត់។</t>
  </si>
  <si>
    <t>( Bằng chữ:  Bốn mươi bốn triệu tám trăm bốn mươi ba nghìn một trăm mười lăm riel)</t>
  </si>
  <si>
    <t>សែសិបបួនលាន ប្រាំបីរយសែសិបបីពាន់ មួយរយដប់ប្រាំមួយ រៀលគត់។</t>
  </si>
  <si>
    <t>( Bằng chữ:  Bốn mươi bốn triệu tám trăm bốn mươi ba nghìn một trăm mười sáu riel)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</si>
</sst>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-* #,##0.00\ _₫_-;\-* #,##0.00\ _₫_-;_-* &quot;-&quot;??\ _₫_-;_-@_-"/>
    <numFmt numFmtId="164" formatCode="_(* #,##0.00_);_(* \(#,##0.00\);_(* &quot;-&quot;??_);_(@_)"/>
    <numFmt numFmtId="165" formatCode="_-* #,##0.00_-;\-* #,##0.00_-;_-* &quot;-&quot;??_-;_-@_-"/>
    <numFmt numFmtId="166" formatCode="#,##0.0"/>
    <numFmt numFmtId="167" formatCode="#,##0.0000"/>
    <numFmt numFmtId="168" formatCode="0.0"/>
    <numFmt numFmtId="169" formatCode="#,##0.000"/>
    <numFmt numFmtId="170" formatCode="0.000"/>
    <numFmt numFmtId="171" formatCode="#,##0.000_ ;\-#,##0.000\ "/>
    <numFmt numFmtId="172" formatCode="#,##0_ ;\-#,##0\ "/>
    <numFmt numFmtId="173" formatCode="_(* #,##0_);_(* \(#,##0\);_(* &quot;-&quot;??_);_(@_)"/>
    <numFmt numFmtId="174" formatCode="_(* #,##0.0_);_(* \(#,##0.0\);_(* &quot;-&quot;??_);_(@_)"/>
  </numFmts>
  <fonts count="198">
    <font>
      <sz val="11"/>
      <color theme="1"/>
      <name val="Arial"/>
      <charset val="134"/>
    </font>
    <font>
      <sz val="16"/>
      <name val="Khmer OS Muol Light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Khmer OS Muol Light"/>
    </font>
    <font>
      <sz val="12"/>
      <color theme="1"/>
      <name val="Khmer OS Muol Light"/>
    </font>
    <font>
      <b/>
      <sz val="12"/>
      <color theme="1"/>
      <name val="Times New Roman"/>
      <family val="1"/>
    </font>
    <font>
      <sz val="13"/>
      <color theme="1"/>
      <name val="Khmer OS Muol Light"/>
    </font>
    <font>
      <sz val="11"/>
      <color theme="1"/>
      <name val="Khmer OS Muol Light"/>
    </font>
    <font>
      <b/>
      <sz val="11"/>
      <color theme="1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20"/>
      <name val="Khmer OS Muol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Khmer OS Muol Light"/>
    </font>
    <font>
      <sz val="12"/>
      <color theme="1"/>
      <name val="Khmer OS Battambang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sz val="10"/>
      <color theme="1"/>
      <name val="Khmer OS Battambang"/>
    </font>
    <font>
      <sz val="10"/>
      <color theme="1"/>
      <name val="Times New Roman"/>
      <family val="1"/>
    </font>
    <font>
      <sz val="11"/>
      <color theme="1"/>
      <name val="Khmer OS Battambang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sz val="8"/>
      <color rgb="FFFF0000"/>
      <name val="Times New Roman"/>
      <family val="1"/>
    </font>
    <font>
      <sz val="11"/>
      <color rgb="FF081B3A"/>
      <name val="Times New Roman"/>
      <family val="1"/>
    </font>
    <font>
      <sz val="10"/>
      <color rgb="FF081B3A"/>
      <name val="Segoe UI"/>
      <family val="2"/>
    </font>
    <font>
      <sz val="14"/>
      <color rgb="FFFF0000"/>
      <name val="Times New Roman"/>
      <family val="1"/>
    </font>
    <font>
      <sz val="11"/>
      <name val="Khmer OS Battambang"/>
    </font>
    <font>
      <sz val="11"/>
      <name val="Times New Roman"/>
      <family val="1"/>
    </font>
    <font>
      <b/>
      <sz val="13"/>
      <color rgb="FFFF0000"/>
      <name val="Khmer OS Muol Light"/>
    </font>
    <font>
      <sz val="13"/>
      <name val="Khmer OS Muol Light"/>
    </font>
    <font>
      <b/>
      <i/>
      <sz val="12"/>
      <name val="Khmer OS Muol Light"/>
    </font>
    <font>
      <b/>
      <sz val="10"/>
      <name val="Khmer OS Muol Light"/>
    </font>
    <font>
      <b/>
      <sz val="12"/>
      <color theme="1"/>
      <name val="Khmer OS Battambang"/>
    </font>
    <font>
      <b/>
      <sz val="12"/>
      <name val="Khmer OS Battambang"/>
    </font>
    <font>
      <b/>
      <sz val="12"/>
      <color rgb="FFFF0000"/>
      <name val="Times New Roman"/>
      <family val="1"/>
    </font>
    <font>
      <b/>
      <sz val="16"/>
      <color theme="1"/>
      <name val="Khmer OS Muol Light"/>
    </font>
    <font>
      <vertAlign val="superscript"/>
      <sz val="20"/>
      <name val="Khmer OS Muol Light"/>
    </font>
    <font>
      <b/>
      <sz val="11"/>
      <name val="Times New Roman"/>
      <family val="1"/>
    </font>
    <font>
      <sz val="10"/>
      <color indexed="8"/>
      <name val="Times New Roman"/>
      <family val="1"/>
    </font>
    <font>
      <sz val="12"/>
      <name val="Khmer OS Battambang"/>
    </font>
    <font>
      <sz val="9"/>
      <color theme="1"/>
      <name val="Times New Roman"/>
      <family val="1"/>
    </font>
    <font>
      <b/>
      <sz val="11"/>
      <color theme="1"/>
      <name val="Khmer OS Battambang"/>
    </font>
    <font>
      <sz val="11"/>
      <color indexed="8"/>
      <name val="Times New Roman"/>
      <family val="1"/>
    </font>
    <font>
      <b/>
      <sz val="11"/>
      <name val="Khmer OS Muol Light"/>
    </font>
    <font>
      <b/>
      <sz val="14"/>
      <color theme="1"/>
      <name val="Times New Roman"/>
      <family val="1"/>
    </font>
    <font>
      <b/>
      <sz val="9"/>
      <name val="Times New Roman"/>
      <family val="1"/>
    </font>
    <font>
      <sz val="13"/>
      <name val="Times New Roman"/>
      <family val="1"/>
    </font>
    <font>
      <b/>
      <sz val="14"/>
      <color theme="1"/>
      <name val="Khmer OS Battambang"/>
    </font>
    <font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4"/>
      <color theme="1"/>
      <name val="Khmer OS Muol Light"/>
    </font>
    <font>
      <sz val="12"/>
      <color theme="1"/>
      <name val="Arial"/>
      <family val="2"/>
    </font>
    <font>
      <sz val="11"/>
      <name val="Khmer OS"/>
    </font>
    <font>
      <sz val="14"/>
      <name val="Calibri"/>
      <family val="2"/>
      <scheme val="minor"/>
    </font>
    <font>
      <sz val="13"/>
      <color theme="1"/>
      <name val="Times New Roman"/>
      <family val="1"/>
    </font>
    <font>
      <b/>
      <sz val="15"/>
      <color theme="1"/>
      <name val="Khmer OS Muol Light"/>
    </font>
    <font>
      <b/>
      <sz val="12"/>
      <color theme="1"/>
      <name val="Khmer OS"/>
    </font>
    <font>
      <b/>
      <sz val="15"/>
      <name val="Khmer OS Muol Light"/>
    </font>
    <font>
      <b/>
      <sz val="13"/>
      <name val="Times New Roman"/>
      <family val="1"/>
    </font>
    <font>
      <sz val="12"/>
      <name val="Khmer OS Muol Light"/>
    </font>
    <font>
      <b/>
      <sz val="12"/>
      <name val="Khmer OS"/>
    </font>
    <font>
      <b/>
      <sz val="13"/>
      <name val="Khmer OS Muol Light"/>
    </font>
    <font>
      <b/>
      <sz val="13"/>
      <name val="Khmer OS"/>
    </font>
    <font>
      <b/>
      <sz val="10"/>
      <name val="Khmer OS"/>
    </font>
    <font>
      <sz val="12"/>
      <color theme="0"/>
      <name val="Times New Roman"/>
      <family val="1"/>
    </font>
    <font>
      <b/>
      <sz val="12"/>
      <color indexed="8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Khmer OS"/>
    </font>
    <font>
      <sz val="14"/>
      <name val="Khmer OS"/>
    </font>
    <font>
      <b/>
      <sz val="14"/>
      <name val="Calibri Light"/>
      <family val="2"/>
      <scheme val="major"/>
    </font>
    <font>
      <sz val="11"/>
      <name val="Calibri"/>
      <family val="2"/>
      <scheme val="minor"/>
    </font>
    <font>
      <sz val="14"/>
      <color theme="1"/>
      <name val="Khmer OS Battambang"/>
    </font>
    <font>
      <b/>
      <sz val="14"/>
      <color theme="1"/>
      <name val="Khmer OS"/>
    </font>
    <font>
      <i/>
      <sz val="12"/>
      <name val="Khmer OS"/>
    </font>
    <font>
      <b/>
      <sz val="11"/>
      <name val="Khmer OS"/>
    </font>
    <font>
      <sz val="14"/>
      <color theme="1"/>
      <name val="Calibri"/>
      <family val="2"/>
      <scheme val="minor"/>
    </font>
    <font>
      <b/>
      <sz val="16"/>
      <name val="Khmer OS Muol Light"/>
    </font>
    <font>
      <b/>
      <sz val="12"/>
      <name val="Times New Roman"/>
      <family val="1"/>
    </font>
    <font>
      <sz val="9"/>
      <name val="Khmer OS Bokor"/>
    </font>
    <font>
      <sz val="13"/>
      <color rgb="FFFF0000"/>
      <name val="Times New Roman"/>
      <family val="1"/>
    </font>
    <font>
      <b/>
      <sz val="14"/>
      <name val="Khmer OS Muol Light"/>
    </font>
    <font>
      <sz val="14"/>
      <name val="Khmer OS Muol Light"/>
    </font>
    <font>
      <b/>
      <i/>
      <sz val="14"/>
      <name val="Times New Roman"/>
      <family val="1"/>
    </font>
    <font>
      <b/>
      <sz val="8"/>
      <name val="Khmer OS Bokor"/>
    </font>
    <font>
      <i/>
      <sz val="12"/>
      <name val="Times New Roman"/>
      <family val="1"/>
    </font>
    <font>
      <b/>
      <sz val="11"/>
      <name val="Khmer OS Battambang"/>
    </font>
    <font>
      <b/>
      <sz val="11"/>
      <color theme="1"/>
      <name val="Khmer OS Muol Light"/>
    </font>
    <font>
      <sz val="14"/>
      <color theme="1"/>
      <name val="Arial"/>
      <family val="2"/>
    </font>
    <font>
      <b/>
      <sz val="12"/>
      <name val="Khmer OS Muol Light"/>
    </font>
    <font>
      <sz val="13"/>
      <name val="Khmer OS Battambang"/>
    </font>
    <font>
      <i/>
      <sz val="13"/>
      <name val="Khmer OS Battambang"/>
    </font>
    <font>
      <b/>
      <sz val="13"/>
      <name val="Khmer OS Battambang"/>
    </font>
    <font>
      <i/>
      <sz val="13"/>
      <name val="Times New Roman"/>
      <family val="1"/>
    </font>
    <font>
      <b/>
      <sz val="12"/>
      <name val="VNI-Times"/>
    </font>
    <font>
      <sz val="13"/>
      <name val="Khmer OS"/>
    </font>
    <font>
      <sz val="13"/>
      <name val="Calibri"/>
      <family val="2"/>
      <scheme val="minor"/>
    </font>
    <font>
      <sz val="13"/>
      <name val="VNI-Times"/>
    </font>
    <font>
      <b/>
      <sz val="16"/>
      <name val="Times New Roman"/>
      <family val="1"/>
    </font>
    <font>
      <b/>
      <u/>
      <sz val="12"/>
      <name val="Khmer OS Battambang"/>
    </font>
    <font>
      <b/>
      <sz val="12"/>
      <name val="Khmer OS Moul Light"/>
      <charset val="163"/>
    </font>
    <font>
      <sz val="14"/>
      <name val="VNI-Times"/>
    </font>
    <font>
      <sz val="12"/>
      <name val="Times New Roman"/>
      <family val="1"/>
    </font>
    <font>
      <b/>
      <sz val="12"/>
      <color theme="1"/>
      <name val="Arial"/>
      <family val="2"/>
    </font>
    <font>
      <i/>
      <sz val="14"/>
      <name val="Khmer OS"/>
    </font>
    <font>
      <i/>
      <sz val="14"/>
      <color rgb="FFFF0000"/>
      <name val="Khmer OS"/>
    </font>
    <font>
      <i/>
      <sz val="14"/>
      <name val="Times New Roman"/>
      <family val="1"/>
    </font>
    <font>
      <vertAlign val="superscript"/>
      <sz val="13"/>
      <name val="Times New Roman"/>
      <family val="1"/>
    </font>
    <font>
      <b/>
      <sz val="12"/>
      <name val="Calibri"/>
      <family val="2"/>
      <scheme val="minor"/>
    </font>
    <font>
      <b/>
      <sz val="13"/>
      <name val="Calibri"/>
      <family val="2"/>
      <scheme val="minor"/>
    </font>
    <font>
      <i/>
      <sz val="13"/>
      <name val="Khmer OS"/>
    </font>
    <font>
      <sz val="12"/>
      <color theme="1"/>
      <name val="Khmer OS"/>
    </font>
    <font>
      <b/>
      <sz val="14"/>
      <name val="Khmer OS Battambang"/>
    </font>
    <font>
      <b/>
      <u/>
      <sz val="12"/>
      <name val="Khmer OS Muol Light"/>
    </font>
    <font>
      <b/>
      <u/>
      <sz val="14"/>
      <color theme="1"/>
      <name val="Times New Roman"/>
      <family val="1"/>
    </font>
    <font>
      <sz val="12"/>
      <name val="Khmer OS Bokor"/>
    </font>
    <font>
      <b/>
      <u/>
      <sz val="12"/>
      <name val="VNI-Times"/>
    </font>
    <font>
      <b/>
      <sz val="14"/>
      <name val="VNI-Times"/>
    </font>
    <font>
      <sz val="12"/>
      <name val="VNI-Times"/>
    </font>
    <font>
      <b/>
      <u/>
      <sz val="14"/>
      <name val="Times New Roman"/>
      <family val="1"/>
    </font>
    <font>
      <u/>
      <sz val="12"/>
      <name val="VNI-Times"/>
    </font>
    <font>
      <sz val="11"/>
      <name val="Khmer OS Bokor"/>
    </font>
    <font>
      <sz val="14"/>
      <name val="Khmer OS Bokor"/>
    </font>
    <font>
      <b/>
      <u/>
      <sz val="14"/>
      <name val="VNI-Times"/>
    </font>
    <font>
      <sz val="13"/>
      <color theme="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u/>
      <sz val="12"/>
      <name val="Khmer OS Moul Light"/>
      <charset val="163"/>
    </font>
    <font>
      <b/>
      <u/>
      <sz val="12"/>
      <name val="Calibri Light"/>
      <family val="2"/>
      <scheme val="major"/>
    </font>
    <font>
      <sz val="12"/>
      <name val="Khmer OS Moul Light"/>
      <charset val="163"/>
    </font>
    <font>
      <sz val="12"/>
      <name val="Khmer OS"/>
    </font>
    <font>
      <b/>
      <sz val="14"/>
      <name val="Khmer OS Moul Light"/>
      <charset val="163"/>
    </font>
    <font>
      <b/>
      <sz val="12"/>
      <name val="Khmer OS Bokor"/>
    </font>
    <font>
      <sz val="10"/>
      <color indexed="8"/>
      <name val="Khmer OS Battambang"/>
    </font>
    <font>
      <b/>
      <sz val="12"/>
      <name val="Calibri Light"/>
      <family val="2"/>
      <scheme val="major"/>
    </font>
    <font>
      <sz val="11"/>
      <name val="Khmer OS Muol Light"/>
    </font>
    <font>
      <sz val="11"/>
      <color indexed="8"/>
      <name val="Khmer OS Battambang"/>
    </font>
    <font>
      <b/>
      <u/>
      <sz val="12"/>
      <name val="Khmer OS"/>
    </font>
    <font>
      <u/>
      <sz val="12"/>
      <name val="Khmer OS"/>
    </font>
    <font>
      <b/>
      <u/>
      <sz val="12"/>
      <name val="Times New Roman"/>
      <family val="1"/>
    </font>
    <font>
      <sz val="13"/>
      <name val="Khmer OS Moul Light"/>
      <charset val="163"/>
    </font>
    <font>
      <sz val="13"/>
      <name val="Calibri Light"/>
      <family val="2"/>
      <scheme val="major"/>
    </font>
    <font>
      <b/>
      <sz val="13"/>
      <name val="Calibri Light"/>
      <family val="2"/>
      <scheme val="major"/>
    </font>
    <font>
      <b/>
      <sz val="11"/>
      <color indexed="8"/>
      <name val="Times New Roman"/>
      <family val="1"/>
    </font>
    <font>
      <sz val="12"/>
      <color indexed="8"/>
      <name val="Khmer OS Muol Light"/>
    </font>
    <font>
      <sz val="12"/>
      <color indexed="8"/>
      <name val="Times New Roman"/>
      <family val="1"/>
    </font>
    <font>
      <sz val="12"/>
      <color theme="1"/>
      <name val="Khmer OS Moul Light"/>
      <charset val="163"/>
    </font>
    <font>
      <b/>
      <sz val="9"/>
      <name val="Khmer OS Muol Light"/>
    </font>
    <font>
      <sz val="9"/>
      <name val="Khmer OS Muol Light"/>
    </font>
    <font>
      <b/>
      <sz val="11"/>
      <color rgb="FF000000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2"/>
    </font>
    <font>
      <sz val="11"/>
      <color theme="1"/>
      <name val="Arial"/>
      <family val="2"/>
      <charset val="163"/>
    </font>
    <font>
      <sz val="11"/>
      <color theme="1"/>
      <name val="Times New Roman"/>
      <family val="1"/>
      <charset val="163"/>
    </font>
    <font>
      <sz val="11"/>
      <color rgb="FF081B3A"/>
      <name val="Segoe UI"/>
      <family val="2"/>
    </font>
    <font>
      <sz val="12"/>
      <color theme="1"/>
      <name val="Times New Roman"/>
      <family val="1"/>
      <charset val="163"/>
    </font>
    <font>
      <sz val="12"/>
      <color theme="1"/>
      <name val="Calibri Light"/>
      <family val="1"/>
      <charset val="163"/>
      <scheme val="major"/>
    </font>
    <font>
      <sz val="10"/>
      <color theme="1"/>
      <name val="Times New Roman"/>
      <family val="1"/>
      <charset val="163"/>
    </font>
    <font>
      <sz val="12"/>
      <color rgb="FFFF0000"/>
      <name val="Calibri Light"/>
      <family val="1"/>
      <charset val="163"/>
      <scheme val="major"/>
    </font>
    <font>
      <sz val="12"/>
      <color rgb="FF202124"/>
      <name val="Inherit"/>
    </font>
    <font>
      <sz val="11"/>
      <color theme="1"/>
      <name val="Khmer OS"/>
    </font>
    <font>
      <b/>
      <sz val="11"/>
      <color theme="1"/>
      <name val="Khmer OS"/>
    </font>
    <font>
      <sz val="11"/>
      <color indexed="8"/>
      <name val="Khmer OS Muol Light"/>
    </font>
    <font>
      <b/>
      <sz val="11"/>
      <color rgb="FF000000"/>
      <name val="Khmer OS Muol Light"/>
    </font>
    <font>
      <b/>
      <sz val="11"/>
      <color indexed="8"/>
      <name val="Khmer OS Muol Light"/>
    </font>
    <font>
      <b/>
      <sz val="10"/>
      <color rgb="FFFF0000"/>
      <name val="Khmer OS Muol Light"/>
    </font>
    <font>
      <sz val="10"/>
      <color indexed="8"/>
      <name val="Khmer OS Muol Light"/>
    </font>
    <font>
      <b/>
      <sz val="10"/>
      <color rgb="FF000000"/>
      <name val="Khmer OS Muol Light"/>
    </font>
    <font>
      <sz val="10"/>
      <color rgb="FF000000"/>
      <name val="Khmer OS Muol Light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FF0000"/>
      <name val="Khmer OS Muol Light"/>
    </font>
    <font>
      <i/>
      <sz val="12"/>
      <name val="Khmer OS Muol Light"/>
    </font>
    <font>
      <i/>
      <sz val="12"/>
      <name val="Khmer OS Battambang"/>
    </font>
    <font>
      <i/>
      <sz val="14"/>
      <color rgb="FFFF0000"/>
      <name val="Times New Roman"/>
      <family val="1"/>
    </font>
    <font>
      <b/>
      <i/>
      <sz val="12"/>
      <color rgb="FFFF0000"/>
      <name val="Khmer OS Muol Light"/>
    </font>
    <font>
      <b/>
      <i/>
      <sz val="13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  <charset val="163"/>
    </font>
    <font>
      <i/>
      <sz val="12"/>
      <name val="Tui"/>
    </font>
    <font>
      <sz val="12"/>
      <name val="Calibri Light"/>
      <family val="1"/>
      <charset val="163"/>
      <scheme val="major"/>
    </font>
    <font>
      <sz val="8"/>
      <name val="Times New Roman"/>
      <family val="1"/>
    </font>
    <font>
      <sz val="10"/>
      <name val="Khmer OS Battambang"/>
    </font>
    <font>
      <sz val="10"/>
      <name val="Segoe UI"/>
      <family val="2"/>
    </font>
    <font>
      <sz val="11"/>
      <name val="Segoe UI"/>
      <family val="2"/>
    </font>
    <font>
      <sz val="14"/>
      <color theme="1"/>
      <name val="Khmer OS Muol Light"/>
    </font>
    <font>
      <sz val="11"/>
      <name val="Times New Roman"/>
      <family val="1"/>
      <charset val="163"/>
    </font>
    <font>
      <sz val="12"/>
      <name val="Times New Roman"/>
      <family val="1"/>
      <charset val="163"/>
    </font>
    <font>
      <sz val="10"/>
      <name val="Times New Roman"/>
      <family val="1"/>
      <charset val="163"/>
    </font>
    <font>
      <vertAlign val="superscript"/>
      <sz val="16"/>
      <name val="Khmer OS Muol Light"/>
    </font>
    <font>
      <b/>
      <vertAlign val="superscript"/>
      <sz val="14"/>
      <name val="Times New Roman"/>
      <family val="1"/>
    </font>
    <font>
      <b/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164" fontId="124" fillId="0" borderId="0" applyFont="0" applyFill="0" applyBorder="0" applyAlignment="0" applyProtection="0"/>
    <xf numFmtId="43" fontId="156" fillId="0" borderId="0" applyFont="0" applyFill="0" applyBorder="0" applyAlignment="0" applyProtection="0"/>
    <xf numFmtId="165" fontId="131" fillId="0" borderId="0" applyFont="0" applyFill="0" applyBorder="0" applyAlignment="0" applyProtection="0"/>
    <xf numFmtId="0" fontId="20" fillId="0" borderId="0"/>
    <xf numFmtId="0" fontId="132" fillId="0" borderId="0"/>
    <xf numFmtId="0" fontId="124" fillId="0" borderId="0"/>
    <xf numFmtId="0" fontId="157" fillId="0" borderId="0"/>
    <xf numFmtId="0" fontId="158" fillId="0" borderId="0"/>
    <xf numFmtId="43" fontId="132" fillId="0" borderId="0" applyFont="0" applyFill="0" applyBorder="0" applyAlignment="0" applyProtection="0"/>
  </cellStyleXfs>
  <cellXfs count="89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21" fillId="0" borderId="1" xfId="5" applyFont="1" applyBorder="1" applyAlignment="1">
      <alignment horizontal="center" vertical="center" wrapText="1"/>
    </xf>
    <xf numFmtId="0" fontId="21" fillId="0" borderId="1" xfId="5" applyFont="1" applyFill="1" applyBorder="1" applyAlignment="1">
      <alignment horizontal="center" vertical="center" wrapText="1"/>
    </xf>
    <xf numFmtId="0" fontId="30" fillId="0" borderId="1" xfId="5" applyFont="1" applyFill="1" applyBorder="1" applyAlignment="1">
      <alignment horizontal="center" vertical="center" wrapText="1"/>
    </xf>
    <xf numFmtId="0" fontId="24" fillId="0" borderId="1" xfId="5" applyFont="1" applyBorder="1" applyAlignment="1">
      <alignment vertical="center"/>
    </xf>
    <xf numFmtId="0" fontId="4" fillId="0" borderId="0" xfId="0" applyFont="1" applyBorder="1"/>
    <xf numFmtId="0" fontId="3" fillId="0" borderId="1" xfId="0" applyFont="1" applyBorder="1" applyAlignment="1">
      <alignment horizontal="center" vertical="center" wrapText="1"/>
    </xf>
    <xf numFmtId="3" fontId="4" fillId="0" borderId="0" xfId="0" applyNumberFormat="1" applyFont="1"/>
    <xf numFmtId="0" fontId="18" fillId="0" borderId="0" xfId="0" applyFont="1" applyFill="1"/>
    <xf numFmtId="0" fontId="18" fillId="0" borderId="0" xfId="0" applyFont="1"/>
    <xf numFmtId="0" fontId="32" fillId="0" borderId="0" xfId="0" applyFont="1"/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2" fillId="0" borderId="1" xfId="0" applyFont="1" applyBorder="1" applyAlignment="1">
      <alignment horizontal="center" vertical="center" wrapText="1"/>
    </xf>
    <xf numFmtId="0" fontId="17" fillId="0" borderId="1" xfId="5" applyFont="1" applyBorder="1" applyAlignment="1">
      <alignment horizontal="left" vertical="center" wrapText="1"/>
    </xf>
    <xf numFmtId="3" fontId="18" fillId="0" borderId="0" xfId="0" applyNumberFormat="1" applyFont="1" applyFill="1"/>
    <xf numFmtId="0" fontId="37" fillId="0" borderId="0" xfId="0" applyFont="1"/>
    <xf numFmtId="0" fontId="7" fillId="0" borderId="0" xfId="0" applyFont="1"/>
    <xf numFmtId="0" fontId="20" fillId="0" borderId="0" xfId="0" applyFont="1"/>
    <xf numFmtId="0" fontId="4" fillId="0" borderId="1" xfId="0" applyFont="1" applyBorder="1" applyAlignment="1">
      <alignment vertical="center"/>
    </xf>
    <xf numFmtId="3" fontId="32" fillId="0" borderId="0" xfId="0" applyNumberFormat="1" applyFont="1"/>
    <xf numFmtId="3" fontId="18" fillId="0" borderId="0" xfId="0" applyNumberFormat="1" applyFont="1"/>
    <xf numFmtId="0" fontId="58" fillId="0" borderId="0" xfId="0" applyFont="1"/>
    <xf numFmtId="0" fontId="38" fillId="0" borderId="0" xfId="0" applyFont="1"/>
    <xf numFmtId="0" fontId="4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60" fillId="0" borderId="0" xfId="0" applyFont="1"/>
    <xf numFmtId="0" fontId="61" fillId="0" borderId="0" xfId="0" applyFont="1"/>
    <xf numFmtId="0" fontId="20" fillId="0" borderId="0" xfId="0" applyFont="1" applyAlignment="1">
      <alignment horizontal="center" vertical="center"/>
    </xf>
    <xf numFmtId="173" fontId="18" fillId="0" borderId="0" xfId="0" applyNumberFormat="1" applyFont="1"/>
    <xf numFmtId="0" fontId="63" fillId="0" borderId="0" xfId="0" applyFont="1" applyAlignment="1">
      <alignment horizontal="center"/>
    </xf>
    <xf numFmtId="0" fontId="5" fillId="0" borderId="0" xfId="0" applyFont="1"/>
    <xf numFmtId="0" fontId="51" fillId="0" borderId="0" xfId="0" applyFont="1"/>
    <xf numFmtId="0" fontId="32" fillId="0" borderId="0" xfId="0" applyFont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  <xf numFmtId="0" fontId="66" fillId="0" borderId="1" xfId="0" applyFont="1" applyBorder="1" applyAlignment="1">
      <alignment horizontal="center" vertical="center" wrapText="1"/>
    </xf>
    <xf numFmtId="3" fontId="37" fillId="0" borderId="0" xfId="0" applyNumberFormat="1" applyFont="1" applyAlignment="1">
      <alignment vertical="top"/>
    </xf>
    <xf numFmtId="0" fontId="37" fillId="0" borderId="0" xfId="0" applyFont="1" applyAlignment="1">
      <alignment vertical="top"/>
    </xf>
    <xf numFmtId="3" fontId="3" fillId="0" borderId="0" xfId="0" applyNumberFormat="1" applyFont="1"/>
    <xf numFmtId="0" fontId="63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top"/>
    </xf>
    <xf numFmtId="0" fontId="68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73" fontId="4" fillId="0" borderId="0" xfId="0" applyNumberFormat="1" applyFont="1"/>
    <xf numFmtId="3" fontId="44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0" fillId="0" borderId="5" xfId="6" applyFont="1" applyBorder="1" applyAlignment="1">
      <alignment vertical="center" wrapText="1"/>
    </xf>
    <xf numFmtId="0" fontId="70" fillId="0" borderId="3" xfId="6" applyFont="1" applyBorder="1" applyAlignment="1">
      <alignment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71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vertical="center"/>
    </xf>
    <xf numFmtId="3" fontId="71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3" fontId="25" fillId="0" borderId="0" xfId="0" applyNumberFormat="1" applyFont="1"/>
    <xf numFmtId="173" fontId="4" fillId="0" borderId="0" xfId="0" applyNumberFormat="1" applyFont="1" applyAlignment="1">
      <alignment vertical="center"/>
    </xf>
    <xf numFmtId="0" fontId="17" fillId="0" borderId="1" xfId="5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0" fontId="73" fillId="0" borderId="0" xfId="0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5" fillId="0" borderId="0" xfId="0" applyFont="1" applyAlignment="1">
      <alignment horizontal="center" vertical="center"/>
    </xf>
    <xf numFmtId="0" fontId="21" fillId="0" borderId="0" xfId="0" applyFont="1"/>
    <xf numFmtId="3" fontId="2" fillId="0" borderId="0" xfId="0" applyNumberFormat="1" applyFont="1" applyAlignment="1">
      <alignment horizontal="center"/>
    </xf>
    <xf numFmtId="0" fontId="77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0" fontId="65" fillId="0" borderId="0" xfId="0" applyFont="1"/>
    <xf numFmtId="0" fontId="42" fillId="0" borderId="0" xfId="0" applyFont="1"/>
    <xf numFmtId="0" fontId="42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3" fontId="4" fillId="0" borderId="0" xfId="1" applyNumberFormat="1" applyFont="1" applyFill="1" applyBorder="1" applyAlignment="1">
      <alignment horizontal="right" vertical="center"/>
    </xf>
    <xf numFmtId="173" fontId="14" fillId="0" borderId="0" xfId="0" applyNumberFormat="1" applyFont="1" applyAlignment="1">
      <alignment horizontal="right" vertical="center"/>
    </xf>
    <xf numFmtId="0" fontId="79" fillId="0" borderId="0" xfId="0" applyFont="1" applyAlignment="1">
      <alignment horizontal="center" vertical="top"/>
    </xf>
    <xf numFmtId="3" fontId="19" fillId="0" borderId="0" xfId="0" applyNumberFormat="1" applyFont="1"/>
    <xf numFmtId="3" fontId="2" fillId="0" borderId="0" xfId="0" applyNumberFormat="1" applyFont="1" applyBorder="1" applyAlignment="1">
      <alignment vertical="center"/>
    </xf>
    <xf numFmtId="0" fontId="19" fillId="0" borderId="0" xfId="0" applyFont="1"/>
    <xf numFmtId="3" fontId="75" fillId="0" borderId="0" xfId="0" applyNumberFormat="1" applyFont="1" applyBorder="1" applyAlignment="1">
      <alignment vertical="center"/>
    </xf>
    <xf numFmtId="3" fontId="60" fillId="0" borderId="0" xfId="0" applyNumberFormat="1" applyFont="1"/>
    <xf numFmtId="0" fontId="60" fillId="0" borderId="0" xfId="0" applyFont="1" applyBorder="1"/>
    <xf numFmtId="3" fontId="2" fillId="0" borderId="0" xfId="0" applyNumberFormat="1" applyFont="1"/>
    <xf numFmtId="3" fontId="3" fillId="0" borderId="0" xfId="0" applyNumberFormat="1" applyFont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173" fontId="4" fillId="0" borderId="0" xfId="3" applyNumberFormat="1" applyFont="1" applyFill="1" applyBorder="1" applyAlignment="1">
      <alignment horizontal="center" vertical="center" wrapText="1"/>
    </xf>
    <xf numFmtId="3" fontId="18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168" fontId="18" fillId="0" borderId="0" xfId="0" applyNumberFormat="1" applyFont="1"/>
    <xf numFmtId="0" fontId="80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81" fillId="0" borderId="0" xfId="0" applyFont="1" applyAlignment="1">
      <alignment horizontal="center" vertical="center"/>
    </xf>
    <xf numFmtId="0" fontId="81" fillId="0" borderId="0" xfId="0" applyFont="1" applyAlignment="1">
      <alignment vertical="center"/>
    </xf>
    <xf numFmtId="3" fontId="65" fillId="0" borderId="0" xfId="0" applyNumberFormat="1" applyFont="1" applyAlignment="1">
      <alignment horizontal="center"/>
    </xf>
    <xf numFmtId="3" fontId="65" fillId="0" borderId="0" xfId="0" applyNumberFormat="1" applyFont="1"/>
    <xf numFmtId="0" fontId="68" fillId="0" borderId="0" xfId="0" applyFont="1"/>
    <xf numFmtId="0" fontId="82" fillId="0" borderId="0" xfId="0" applyFont="1"/>
    <xf numFmtId="164" fontId="4" fillId="0" borderId="0" xfId="0" applyNumberFormat="1" applyFont="1"/>
    <xf numFmtId="3" fontId="21" fillId="0" borderId="0" xfId="0" applyNumberFormat="1" applyFont="1"/>
    <xf numFmtId="173" fontId="75" fillId="0" borderId="0" xfId="0" applyNumberFormat="1" applyFont="1" applyAlignment="1">
      <alignment vertical="center"/>
    </xf>
    <xf numFmtId="173" fontId="21" fillId="0" borderId="0" xfId="0" applyNumberFormat="1" applyFont="1"/>
    <xf numFmtId="0" fontId="21" fillId="0" borderId="0" xfId="6" applyFont="1"/>
    <xf numFmtId="169" fontId="21" fillId="0" borderId="0" xfId="6" applyNumberFormat="1" applyFont="1"/>
    <xf numFmtId="0" fontId="87" fillId="0" borderId="0" xfId="6" applyFont="1"/>
    <xf numFmtId="0" fontId="88" fillId="0" borderId="0" xfId="6" applyFont="1"/>
    <xf numFmtId="0" fontId="2" fillId="0" borderId="0" xfId="6" applyFont="1"/>
    <xf numFmtId="0" fontId="2" fillId="0" borderId="0" xfId="6" applyFont="1" applyAlignment="1">
      <alignment horizontal="center"/>
    </xf>
    <xf numFmtId="0" fontId="89" fillId="0" borderId="0" xfId="6" applyFont="1"/>
    <xf numFmtId="0" fontId="94" fillId="0" borderId="0" xfId="0" applyFont="1"/>
    <xf numFmtId="3" fontId="66" fillId="0" borderId="1" xfId="0" applyNumberFormat="1" applyFont="1" applyBorder="1" applyAlignment="1">
      <alignment horizontal="left" vertical="center" wrapText="1"/>
    </xf>
    <xf numFmtId="0" fontId="17" fillId="0" borderId="1" xfId="4" applyFont="1" applyBorder="1" applyAlignment="1">
      <alignment horizontal="left" vertical="center" wrapText="1"/>
    </xf>
    <xf numFmtId="3" fontId="44" fillId="0" borderId="1" xfId="0" applyNumberFormat="1" applyFont="1" applyBorder="1" applyAlignment="1">
      <alignment horizontal="left" vertical="center" wrapText="1"/>
    </xf>
    <xf numFmtId="3" fontId="97" fillId="0" borderId="1" xfId="0" applyNumberFormat="1" applyFont="1" applyBorder="1" applyAlignment="1">
      <alignment horizontal="left" vertical="center" wrapText="1"/>
    </xf>
    <xf numFmtId="166" fontId="4" fillId="0" borderId="0" xfId="0" applyNumberFormat="1" applyFont="1"/>
    <xf numFmtId="4" fontId="21" fillId="0" borderId="0" xfId="0" applyNumberFormat="1" applyFont="1"/>
    <xf numFmtId="0" fontId="65" fillId="0" borderId="0" xfId="0" applyFont="1" applyAlignment="1">
      <alignment wrapText="1"/>
    </xf>
    <xf numFmtId="0" fontId="51" fillId="0" borderId="0" xfId="0" applyFont="1" applyAlignment="1">
      <alignment wrapText="1"/>
    </xf>
    <xf numFmtId="0" fontId="100" fillId="0" borderId="0" xfId="0" applyFont="1" applyAlignment="1">
      <alignment vertical="center"/>
    </xf>
    <xf numFmtId="0" fontId="101" fillId="0" borderId="0" xfId="0" applyFont="1"/>
    <xf numFmtId="0" fontId="98" fillId="0" borderId="0" xfId="0" applyFont="1"/>
    <xf numFmtId="0" fontId="102" fillId="0" borderId="0" xfId="0" applyFont="1"/>
    <xf numFmtId="0" fontId="103" fillId="0" borderId="0" xfId="0" applyFont="1"/>
    <xf numFmtId="3" fontId="103" fillId="0" borderId="0" xfId="0" applyNumberFormat="1" applyFont="1"/>
    <xf numFmtId="0" fontId="65" fillId="0" borderId="0" xfId="0" applyFont="1" applyAlignment="1">
      <alignment horizontal="center"/>
    </xf>
    <xf numFmtId="0" fontId="105" fillId="0" borderId="0" xfId="0" applyFont="1" applyAlignment="1">
      <alignment vertical="center"/>
    </xf>
    <xf numFmtId="166" fontId="96" fillId="0" borderId="0" xfId="0" applyNumberFormat="1" applyFont="1" applyAlignment="1">
      <alignment horizontal="center" vertical="center"/>
    </xf>
    <xf numFmtId="0" fontId="106" fillId="0" borderId="6" xfId="0" applyFont="1" applyBorder="1" applyAlignment="1">
      <alignment horizont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84" fillId="0" borderId="1" xfId="0" applyFont="1" applyBorder="1" applyAlignment="1">
      <alignment horizontal="center" vertical="center" wrapText="1"/>
    </xf>
    <xf numFmtId="173" fontId="65" fillId="0" borderId="1" xfId="0" applyNumberFormat="1" applyFont="1" applyBorder="1" applyAlignment="1">
      <alignment horizontal="center" vertical="center" wrapText="1"/>
    </xf>
    <xf numFmtId="4" fontId="51" fillId="0" borderId="3" xfId="0" applyNumberFormat="1" applyFont="1" applyBorder="1" applyAlignment="1">
      <alignment horizontal="right" vertical="center" wrapText="1"/>
    </xf>
    <xf numFmtId="173" fontId="21" fillId="0" borderId="1" xfId="0" applyNumberFormat="1" applyFont="1" applyBorder="1" applyAlignment="1">
      <alignment horizontal="right" vertical="center"/>
    </xf>
    <xf numFmtId="173" fontId="107" fillId="0" borderId="1" xfId="1" applyNumberFormat="1" applyFont="1" applyFill="1" applyBorder="1" applyAlignment="1">
      <alignment horizontal="right" vertical="center" wrapText="1"/>
    </xf>
    <xf numFmtId="3" fontId="108" fillId="0" borderId="1" xfId="0" applyNumberFormat="1" applyFont="1" applyBorder="1" applyAlignment="1">
      <alignment horizontal="left" vertical="center" wrapText="1"/>
    </xf>
    <xf numFmtId="173" fontId="2" fillId="0" borderId="1" xfId="0" applyNumberFormat="1" applyFont="1" applyBorder="1" applyAlignment="1">
      <alignment horizontal="right" vertical="center"/>
    </xf>
    <xf numFmtId="3" fontId="84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73" fontId="100" fillId="0" borderId="4" xfId="1" applyNumberFormat="1" applyFont="1" applyFill="1" applyBorder="1" applyAlignment="1">
      <alignment horizontal="right" vertical="center"/>
    </xf>
    <xf numFmtId="4" fontId="109" fillId="0" borderId="4" xfId="0" applyNumberFormat="1" applyFont="1" applyBorder="1" applyAlignment="1">
      <alignment horizontal="right" vertical="center"/>
    </xf>
    <xf numFmtId="3" fontId="109" fillId="0" borderId="4" xfId="0" applyNumberFormat="1" applyFont="1" applyBorder="1" applyAlignment="1">
      <alignment horizontal="right" vertical="center"/>
    </xf>
    <xf numFmtId="0" fontId="51" fillId="0" borderId="0" xfId="0" applyFont="1" applyAlignment="1">
      <alignment horizontal="center"/>
    </xf>
    <xf numFmtId="0" fontId="112" fillId="0" borderId="0" xfId="0" applyFont="1" applyAlignment="1">
      <alignment horizontal="right" vertical="top"/>
    </xf>
    <xf numFmtId="2" fontId="65" fillId="0" borderId="0" xfId="0" applyNumberFormat="1" applyFont="1"/>
    <xf numFmtId="3" fontId="113" fillId="0" borderId="0" xfId="0" applyNumberFormat="1" applyFont="1"/>
    <xf numFmtId="3" fontId="51" fillId="0" borderId="0" xfId="0" applyNumberFormat="1" applyFont="1"/>
    <xf numFmtId="0" fontId="65" fillId="0" borderId="0" xfId="0" applyFont="1" applyAlignment="1">
      <alignment horizontal="left" vertical="center"/>
    </xf>
    <xf numFmtId="3" fontId="65" fillId="0" borderId="0" xfId="0" applyNumberFormat="1" applyFont="1" applyAlignment="1">
      <alignment wrapText="1"/>
    </xf>
    <xf numFmtId="3" fontId="51" fillId="0" borderId="0" xfId="0" applyNumberFormat="1" applyFont="1" applyAlignment="1">
      <alignment wrapText="1"/>
    </xf>
    <xf numFmtId="0" fontId="100" fillId="0" borderId="4" xfId="0" applyFont="1" applyBorder="1" applyAlignment="1">
      <alignment vertical="center"/>
    </xf>
    <xf numFmtId="3" fontId="100" fillId="0" borderId="0" xfId="0" applyNumberFormat="1" applyFont="1" applyAlignment="1">
      <alignment vertical="center"/>
    </xf>
    <xf numFmtId="4" fontId="114" fillId="0" borderId="0" xfId="0" applyNumberFormat="1" applyFont="1" applyAlignment="1">
      <alignment vertical="center" wrapText="1"/>
    </xf>
    <xf numFmtId="0" fontId="17" fillId="0" borderId="0" xfId="0" applyFont="1"/>
    <xf numFmtId="43" fontId="78" fillId="0" borderId="0" xfId="0" applyNumberFormat="1" applyFont="1" applyAlignment="1">
      <alignment vertical="center"/>
    </xf>
    <xf numFmtId="0" fontId="78" fillId="0" borderId="0" xfId="0" applyFont="1" applyAlignment="1">
      <alignment vertical="center"/>
    </xf>
    <xf numFmtId="4" fontId="103" fillId="0" borderId="0" xfId="0" applyNumberFormat="1" applyFont="1"/>
    <xf numFmtId="4" fontId="115" fillId="0" borderId="0" xfId="0" applyNumberFormat="1" applyFont="1" applyAlignment="1">
      <alignment wrapText="1"/>
    </xf>
    <xf numFmtId="0" fontId="99" fillId="0" borderId="0" xfId="0" applyFont="1"/>
    <xf numFmtId="4" fontId="51" fillId="0" borderId="0" xfId="0" applyNumberFormat="1" applyFont="1"/>
    <xf numFmtId="0" fontId="116" fillId="0" borderId="0" xfId="0" applyFont="1"/>
    <xf numFmtId="4" fontId="98" fillId="0" borderId="0" xfId="0" applyNumberFormat="1" applyFont="1"/>
    <xf numFmtId="3" fontId="98" fillId="0" borderId="0" xfId="0" applyNumberFormat="1" applyFont="1"/>
    <xf numFmtId="3" fontId="101" fillId="0" borderId="0" xfId="0" applyNumberFormat="1" applyFont="1"/>
    <xf numFmtId="0" fontId="46" fillId="0" borderId="0" xfId="0" applyFont="1"/>
    <xf numFmtId="0" fontId="94" fillId="0" borderId="0" xfId="0" applyFont="1" applyFill="1"/>
    <xf numFmtId="0" fontId="107" fillId="0" borderId="0" xfId="0" applyFont="1"/>
    <xf numFmtId="0" fontId="92" fillId="0" borderId="0" xfId="0" applyFont="1"/>
    <xf numFmtId="0" fontId="118" fillId="0" borderId="0" xfId="0" applyFont="1" applyAlignment="1">
      <alignment vertical="top"/>
    </xf>
    <xf numFmtId="4" fontId="94" fillId="0" borderId="0" xfId="0" applyNumberFormat="1" applyFont="1"/>
    <xf numFmtId="166" fontId="18" fillId="0" borderId="0" xfId="0" applyNumberFormat="1" applyFont="1"/>
    <xf numFmtId="0" fontId="119" fillId="0" borderId="0" xfId="0" applyFont="1" applyAlignment="1">
      <alignment vertical="center"/>
    </xf>
    <xf numFmtId="3" fontId="120" fillId="0" borderId="0" xfId="0" applyNumberFormat="1" applyFont="1"/>
    <xf numFmtId="0" fontId="107" fillId="0" borderId="0" xfId="0" applyFont="1" applyFill="1"/>
    <xf numFmtId="0" fontId="121" fillId="0" borderId="0" xfId="0" applyFont="1" applyFill="1" applyAlignment="1">
      <alignment vertical="center"/>
    </xf>
    <xf numFmtId="0" fontId="122" fillId="0" borderId="0" xfId="0" applyFont="1" applyFill="1"/>
    <xf numFmtId="0" fontId="100" fillId="0" borderId="0" xfId="0" applyFont="1" applyFill="1"/>
    <xf numFmtId="0" fontId="123" fillId="0" borderId="0" xfId="0" applyFont="1" applyFill="1"/>
    <xf numFmtId="3" fontId="21" fillId="0" borderId="0" xfId="1" applyNumberFormat="1" applyFont="1" applyFill="1" applyAlignment="1"/>
    <xf numFmtId="0" fontId="21" fillId="0" borderId="0" xfId="0" applyFont="1" applyFill="1"/>
    <xf numFmtId="0" fontId="119" fillId="0" borderId="0" xfId="0" applyFont="1"/>
    <xf numFmtId="0" fontId="124" fillId="0" borderId="0" xfId="0" applyFont="1"/>
    <xf numFmtId="174" fontId="124" fillId="0" borderId="0" xfId="1" applyNumberFormat="1" applyFont="1" applyFill="1"/>
    <xf numFmtId="3" fontId="125" fillId="0" borderId="0" xfId="1" applyNumberFormat="1" applyFont="1" applyFill="1"/>
    <xf numFmtId="0" fontId="121" fillId="0" borderId="0" xfId="0" applyFont="1" applyAlignment="1">
      <alignment vertical="center"/>
    </xf>
    <xf numFmtId="0" fontId="126" fillId="0" borderId="0" xfId="0" applyFont="1"/>
    <xf numFmtId="3" fontId="21" fillId="0" borderId="0" xfId="1" applyNumberFormat="1" applyFont="1" applyFill="1" applyAlignment="1">
      <alignment vertical="center"/>
    </xf>
    <xf numFmtId="3" fontId="21" fillId="0" borderId="0" xfId="0" applyNumberFormat="1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122" fillId="0" borderId="0" xfId="0" applyFont="1"/>
    <xf numFmtId="3" fontId="21" fillId="0" borderId="0" xfId="0" applyNumberFormat="1" applyFont="1" applyAlignment="1">
      <alignment vertical="center"/>
    </xf>
    <xf numFmtId="3" fontId="125" fillId="0" borderId="0" xfId="0" applyNumberFormat="1" applyFont="1" applyAlignment="1">
      <alignment horizontal="right" vertical="center"/>
    </xf>
    <xf numFmtId="0" fontId="121" fillId="0" borderId="0" xfId="0" applyFont="1"/>
    <xf numFmtId="3" fontId="21" fillId="0" borderId="0" xfId="0" applyNumberFormat="1" applyFont="1" applyAlignment="1">
      <alignment horizontal="right" vertical="center"/>
    </xf>
    <xf numFmtId="0" fontId="107" fillId="0" borderId="0" xfId="0" applyFont="1" applyBorder="1"/>
    <xf numFmtId="0" fontId="128" fillId="0" borderId="0" xfId="0" applyFont="1" applyBorder="1"/>
    <xf numFmtId="0" fontId="129" fillId="0" borderId="0" xfId="0" applyFont="1" applyBorder="1"/>
    <xf numFmtId="3" fontId="21" fillId="0" borderId="0" xfId="0" applyNumberFormat="1" applyFont="1" applyBorder="1" applyAlignment="1">
      <alignment horizontal="right"/>
    </xf>
    <xf numFmtId="0" fontId="21" fillId="0" borderId="0" xfId="0" applyFont="1" applyBorder="1"/>
    <xf numFmtId="4" fontId="4" fillId="0" borderId="0" xfId="0" applyNumberFormat="1" applyFont="1"/>
    <xf numFmtId="0" fontId="88" fillId="0" borderId="0" xfId="0" applyFont="1"/>
    <xf numFmtId="3" fontId="94" fillId="0" borderId="0" xfId="0" applyNumberFormat="1" applyFont="1"/>
    <xf numFmtId="3" fontId="130" fillId="0" borderId="0" xfId="0" applyNumberFormat="1" applyFont="1" applyFill="1"/>
    <xf numFmtId="3" fontId="94" fillId="0" borderId="0" xfId="0" applyNumberFormat="1" applyFont="1" applyFill="1"/>
    <xf numFmtId="166" fontId="18" fillId="0" borderId="0" xfId="0" applyNumberFormat="1" applyFont="1" applyFill="1"/>
    <xf numFmtId="3" fontId="130" fillId="0" borderId="0" xfId="0" applyNumberFormat="1" applyFont="1"/>
    <xf numFmtId="3" fontId="107" fillId="0" borderId="0" xfId="0" applyNumberFormat="1" applyFont="1" applyAlignment="1">
      <alignment wrapText="1"/>
    </xf>
    <xf numFmtId="3" fontId="107" fillId="0" borderId="0" xfId="0" applyNumberFormat="1" applyFont="1" applyFill="1" applyAlignment="1">
      <alignment wrapText="1"/>
    </xf>
    <xf numFmtId="3" fontId="21" fillId="0" borderId="0" xfId="0" applyNumberFormat="1" applyFont="1" applyAlignment="1">
      <alignment horizontal="right"/>
    </xf>
    <xf numFmtId="3" fontId="102" fillId="0" borderId="0" xfId="0" applyNumberFormat="1" applyFont="1"/>
    <xf numFmtId="0" fontId="17" fillId="0" borderId="0" xfId="0" applyFont="1" applyAlignment="1">
      <alignment vertical="center"/>
    </xf>
    <xf numFmtId="3" fontId="102" fillId="0" borderId="0" xfId="0" applyNumberFormat="1" applyFont="1" applyBorder="1"/>
    <xf numFmtId="3" fontId="91" fillId="0" borderId="0" xfId="0" applyNumberFormat="1" applyFont="1"/>
    <xf numFmtId="166" fontId="92" fillId="0" borderId="0" xfId="0" applyNumberFormat="1" applyFont="1"/>
    <xf numFmtId="3" fontId="92" fillId="0" borderId="0" xfId="0" applyNumberFormat="1" applyFont="1"/>
    <xf numFmtId="166" fontId="65" fillId="0" borderId="0" xfId="0" applyNumberFormat="1" applyFont="1"/>
    <xf numFmtId="166" fontId="51" fillId="0" borderId="0" xfId="0" applyNumberFormat="1" applyFont="1"/>
    <xf numFmtId="0" fontId="38" fillId="0" borderId="0" xfId="0" applyFont="1" applyAlignment="1">
      <alignment vertical="top"/>
    </xf>
    <xf numFmtId="166" fontId="38" fillId="0" borderId="0" xfId="0" applyNumberFormat="1" applyFont="1" applyAlignment="1">
      <alignment vertical="top"/>
    </xf>
    <xf numFmtId="3" fontId="38" fillId="0" borderId="0" xfId="0" applyNumberFormat="1" applyFont="1" applyAlignment="1">
      <alignment vertical="top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7" fillId="0" borderId="0" xfId="5" applyFont="1"/>
    <xf numFmtId="0" fontId="6" fillId="0" borderId="0" xfId="5" applyFont="1" applyAlignment="1">
      <alignment vertical="top"/>
    </xf>
    <xf numFmtId="0" fontId="4" fillId="0" borderId="0" xfId="5" applyFont="1"/>
    <xf numFmtId="3" fontId="96" fillId="0" borderId="1" xfId="5" applyNumberFormat="1" applyFont="1" applyBorder="1" applyAlignment="1">
      <alignment horizontal="left" vertical="center" wrapText="1"/>
    </xf>
    <xf numFmtId="167" fontId="35" fillId="0" borderId="0" xfId="5" applyNumberFormat="1" applyFont="1" applyAlignment="1">
      <alignment horizontal="center" vertical="center" wrapText="1"/>
    </xf>
    <xf numFmtId="4" fontId="35" fillId="0" borderId="0" xfId="5" applyNumberFormat="1" applyFont="1" applyAlignment="1">
      <alignment horizontal="center" vertical="center" wrapText="1"/>
    </xf>
    <xf numFmtId="3" fontId="35" fillId="0" borderId="0" xfId="5" applyNumberFormat="1" applyFont="1" applyAlignment="1">
      <alignment horizontal="right" vertical="center" wrapText="1"/>
    </xf>
    <xf numFmtId="3" fontId="4" fillId="0" borderId="0" xfId="5" applyNumberFormat="1" applyFont="1"/>
    <xf numFmtId="3" fontId="32" fillId="0" borderId="0" xfId="5" applyNumberFormat="1" applyFont="1"/>
    <xf numFmtId="0" fontId="24" fillId="0" borderId="1" xfId="8" applyFont="1" applyBorder="1" applyAlignment="1">
      <alignment horizontal="left" vertical="center" wrapText="1"/>
    </xf>
    <xf numFmtId="0" fontId="159" fillId="0" borderId="1" xfId="8" applyFont="1" applyBorder="1" applyAlignment="1">
      <alignment horizontal="left" vertical="center" wrapText="1"/>
    </xf>
    <xf numFmtId="0" fontId="31" fillId="0" borderId="1" xfId="8" applyFont="1" applyBorder="1" applyAlignment="1">
      <alignment horizontal="left" vertical="center" wrapText="1"/>
    </xf>
    <xf numFmtId="0" fontId="159" fillId="0" borderId="1" xfId="8" applyFont="1" applyBorder="1" applyAlignment="1">
      <alignment horizontal="left" vertical="center"/>
    </xf>
    <xf numFmtId="0" fontId="159" fillId="0" borderId="1" xfId="8" applyFont="1" applyBorder="1" applyAlignment="1">
      <alignment vertical="center"/>
    </xf>
    <xf numFmtId="0" fontId="24" fillId="0" borderId="1" xfId="8" applyFont="1" applyBorder="1" applyAlignment="1">
      <alignment vertical="center"/>
    </xf>
    <xf numFmtId="0" fontId="24" fillId="3" borderId="1" xfId="8" applyFont="1" applyFill="1" applyBorder="1" applyAlignment="1">
      <alignment horizontal="left" vertical="center" wrapText="1"/>
    </xf>
    <xf numFmtId="0" fontId="159" fillId="3" borderId="1" xfId="8" applyFont="1" applyFill="1" applyBorder="1" applyAlignment="1">
      <alignment horizontal="left" vertical="center" wrapText="1"/>
    </xf>
    <xf numFmtId="0" fontId="32" fillId="0" borderId="0" xfId="6" applyFont="1"/>
    <xf numFmtId="0" fontId="32" fillId="0" borderId="0" xfId="5" applyFont="1"/>
    <xf numFmtId="0" fontId="3" fillId="0" borderId="0" xfId="5" applyFont="1"/>
    <xf numFmtId="0" fontId="1" fillId="0" borderId="0" xfId="5" applyFont="1"/>
    <xf numFmtId="0" fontId="2" fillId="0" borderId="0" xfId="5" applyFont="1"/>
    <xf numFmtId="0" fontId="13" fillId="0" borderId="0" xfId="5" applyFont="1" applyAlignment="1">
      <alignment vertical="center" wrapText="1"/>
    </xf>
    <xf numFmtId="0" fontId="14" fillId="0" borderId="0" xfId="5" applyFont="1" applyAlignment="1">
      <alignment vertical="center" wrapText="1"/>
    </xf>
    <xf numFmtId="0" fontId="3" fillId="0" borderId="1" xfId="5" applyFont="1" applyBorder="1" applyAlignment="1">
      <alignment horizontal="center" vertical="center" wrapText="1"/>
    </xf>
    <xf numFmtId="0" fontId="4" fillId="0" borderId="1" xfId="5" applyFont="1" applyBorder="1" applyAlignment="1">
      <alignment horizontal="center" vertical="center" wrapText="1"/>
    </xf>
    <xf numFmtId="0" fontId="17" fillId="0" borderId="1" xfId="8" applyFont="1" applyBorder="1" applyAlignment="1">
      <alignment horizontal="left" vertical="center" wrapText="1"/>
    </xf>
    <xf numFmtId="0" fontId="161" fillId="0" borderId="1" xfId="8" applyFont="1" applyBorder="1" applyAlignment="1">
      <alignment horizontal="left" vertical="center" wrapText="1"/>
    </xf>
    <xf numFmtId="0" fontId="43" fillId="0" borderId="1" xfId="5" applyFont="1" applyBorder="1" applyAlignment="1">
      <alignment horizontal="center" vertical="center" wrapText="1"/>
    </xf>
    <xf numFmtId="3" fontId="21" fillId="0" borderId="1" xfId="5" applyNumberFormat="1" applyFont="1" applyFill="1" applyBorder="1" applyAlignment="1">
      <alignment horizontal="center" vertical="center" wrapText="1"/>
    </xf>
    <xf numFmtId="4" fontId="21" fillId="0" borderId="1" xfId="5" quotePrefix="1" applyNumberFormat="1" applyFont="1" applyBorder="1" applyAlignment="1">
      <alignment horizontal="center" vertical="center" wrapText="1"/>
    </xf>
    <xf numFmtId="3" fontId="21" fillId="0" borderId="1" xfId="5" applyNumberFormat="1" applyFont="1" applyBorder="1" applyAlignment="1">
      <alignment horizontal="right" vertical="center" wrapText="1"/>
    </xf>
    <xf numFmtId="0" fontId="4" fillId="0" borderId="1" xfId="5" applyFont="1" applyBorder="1"/>
    <xf numFmtId="2" fontId="4" fillId="0" borderId="0" xfId="5" applyNumberFormat="1" applyFont="1"/>
    <xf numFmtId="169" fontId="4" fillId="0" borderId="0" xfId="5" applyNumberFormat="1" applyFont="1"/>
    <xf numFmtId="14" fontId="4" fillId="0" borderId="0" xfId="5" applyNumberFormat="1" applyFont="1"/>
    <xf numFmtId="0" fontId="44" fillId="0" borderId="1" xfId="8" applyFont="1" applyBorder="1" applyAlignment="1">
      <alignment horizontal="left" vertical="center" wrapText="1"/>
    </xf>
    <xf numFmtId="0" fontId="161" fillId="0" borderId="1" xfId="8" applyFont="1" applyBorder="1" applyAlignment="1">
      <alignment horizontal="left" vertical="center"/>
    </xf>
    <xf numFmtId="0" fontId="162" fillId="0" borderId="1" xfId="5" applyFont="1" applyBorder="1" applyAlignment="1">
      <alignment vertical="center"/>
    </xf>
    <xf numFmtId="0" fontId="163" fillId="0" borderId="1" xfId="8" applyFont="1" applyBorder="1" applyAlignment="1">
      <alignment horizontal="left" vertical="center" wrapText="1"/>
    </xf>
    <xf numFmtId="0" fontId="161" fillId="0" borderId="1" xfId="8" applyFont="1" applyBorder="1" applyAlignment="1">
      <alignment vertical="center"/>
    </xf>
    <xf numFmtId="0" fontId="4" fillId="0" borderId="1" xfId="5" applyFont="1" applyFill="1" applyBorder="1" applyAlignment="1">
      <alignment horizontal="center" vertical="center" wrapText="1"/>
    </xf>
    <xf numFmtId="0" fontId="23" fillId="0" borderId="1" xfId="5" applyFont="1" applyFill="1" applyBorder="1" applyAlignment="1">
      <alignment horizontal="center" vertical="center" wrapText="1"/>
    </xf>
    <xf numFmtId="3" fontId="10" fillId="0" borderId="1" xfId="5" applyNumberFormat="1" applyFont="1" applyFill="1" applyBorder="1" applyAlignment="1">
      <alignment horizontal="center" vertical="center"/>
    </xf>
    <xf numFmtId="169" fontId="3" fillId="0" borderId="1" xfId="5" quotePrefix="1" applyNumberFormat="1" applyFont="1" applyFill="1" applyBorder="1" applyAlignment="1">
      <alignment horizontal="center" vertical="center" wrapText="1"/>
    </xf>
    <xf numFmtId="3" fontId="3" fillId="0" borderId="1" xfId="5" quotePrefix="1" applyNumberFormat="1" applyFont="1" applyFill="1" applyBorder="1" applyAlignment="1">
      <alignment horizontal="center" vertical="center" wrapText="1"/>
    </xf>
    <xf numFmtId="0" fontId="4" fillId="0" borderId="1" xfId="5" applyFont="1" applyFill="1" applyBorder="1"/>
    <xf numFmtId="0" fontId="4" fillId="0" borderId="0" xfId="5" applyFont="1" applyFill="1"/>
    <xf numFmtId="170" fontId="4" fillId="0" borderId="0" xfId="5" applyNumberFormat="1" applyFont="1" applyFill="1"/>
    <xf numFmtId="3" fontId="4" fillId="0" borderId="0" xfId="5" applyNumberFormat="1" applyFont="1" applyFill="1"/>
    <xf numFmtId="0" fontId="20" fillId="0" borderId="0" xfId="5" applyFont="1" applyFill="1"/>
    <xf numFmtId="0" fontId="46" fillId="0" borderId="0" xfId="5" applyFont="1" applyFill="1"/>
    <xf numFmtId="3" fontId="20" fillId="0" borderId="0" xfId="5" applyNumberFormat="1" applyFont="1" applyFill="1" applyAlignment="1">
      <alignment horizontal="center" vertical="center"/>
    </xf>
    <xf numFmtId="3" fontId="20" fillId="0" borderId="0" xfId="5" quotePrefix="1" applyNumberFormat="1" applyFont="1" applyFill="1" applyAlignment="1">
      <alignment horizontal="center" vertical="center" wrapText="1"/>
    </xf>
    <xf numFmtId="14" fontId="18" fillId="0" borderId="0" xfId="5" applyNumberFormat="1" applyFont="1" applyFill="1"/>
    <xf numFmtId="3" fontId="20" fillId="0" borderId="0" xfId="5" applyNumberFormat="1" applyFont="1" applyFill="1"/>
    <xf numFmtId="0" fontId="18" fillId="0" borderId="0" xfId="5" applyFont="1" applyFill="1"/>
    <xf numFmtId="0" fontId="10" fillId="0" borderId="0" xfId="5" applyFont="1" applyFill="1"/>
    <xf numFmtId="3" fontId="10" fillId="0" borderId="0" xfId="5" applyNumberFormat="1" applyFont="1" applyFill="1"/>
    <xf numFmtId="0" fontId="45" fillId="0" borderId="0" xfId="5" applyFont="1" applyFill="1"/>
    <xf numFmtId="3" fontId="18" fillId="0" borderId="0" xfId="5" applyNumberFormat="1" applyFont="1" applyFill="1"/>
    <xf numFmtId="0" fontId="13" fillId="0" borderId="0" xfId="5" applyFont="1" applyFill="1"/>
    <xf numFmtId="168" fontId="13" fillId="0" borderId="0" xfId="5" applyNumberFormat="1" applyFont="1" applyFill="1"/>
    <xf numFmtId="0" fontId="32" fillId="0" borderId="0" xfId="5" applyFont="1" applyFill="1"/>
    <xf numFmtId="0" fontId="11" fillId="0" borderId="0" xfId="5" applyFont="1"/>
    <xf numFmtId="0" fontId="11" fillId="0" borderId="0" xfId="5" applyFont="1" applyAlignment="1">
      <alignment horizontal="center"/>
    </xf>
    <xf numFmtId="0" fontId="42" fillId="0" borderId="1" xfId="5" applyFont="1" applyBorder="1" applyAlignment="1">
      <alignment horizontal="center" vertical="center" wrapText="1"/>
    </xf>
    <xf numFmtId="0" fontId="50" fillId="0" borderId="1" xfId="5" applyFont="1" applyBorder="1" applyAlignment="1">
      <alignment horizontal="center" vertical="center" wrapText="1"/>
    </xf>
    <xf numFmtId="0" fontId="47" fillId="0" borderId="1" xfId="5" applyFont="1" applyBorder="1" applyAlignment="1">
      <alignment horizontal="center" vertical="center" wrapText="1"/>
    </xf>
    <xf numFmtId="169" fontId="51" fillId="0" borderId="1" xfId="5" quotePrefix="1" applyNumberFormat="1" applyFont="1" applyBorder="1" applyAlignment="1">
      <alignment horizontal="center" vertical="center" wrapText="1"/>
    </xf>
    <xf numFmtId="0" fontId="21" fillId="0" borderId="1" xfId="5" applyFont="1" applyBorder="1" applyAlignment="1">
      <alignment vertical="center"/>
    </xf>
    <xf numFmtId="0" fontId="160" fillId="0" borderId="0" xfId="5" applyFont="1" applyAlignment="1">
      <alignment vertical="center"/>
    </xf>
    <xf numFmtId="0" fontId="49" fillId="0" borderId="1" xfId="5" applyFont="1" applyBorder="1" applyAlignment="1">
      <alignment horizontal="center" vertical="center" wrapText="1"/>
    </xf>
    <xf numFmtId="3" fontId="7" fillId="0" borderId="1" xfId="5" applyNumberFormat="1" applyFont="1" applyBorder="1" applyAlignment="1">
      <alignment horizontal="center" vertical="center" wrapText="1"/>
    </xf>
    <xf numFmtId="169" fontId="7" fillId="0" borderId="1" xfId="5" applyNumberFormat="1" applyFont="1" applyBorder="1" applyAlignment="1">
      <alignment horizontal="right" vertical="center" wrapText="1"/>
    </xf>
    <xf numFmtId="0" fontId="49" fillId="0" borderId="1" xfId="5" applyFont="1" applyBorder="1"/>
    <xf numFmtId="0" fontId="18" fillId="0" borderId="0" xfId="5" applyFont="1"/>
    <xf numFmtId="14" fontId="18" fillId="0" borderId="0" xfId="5" applyNumberFormat="1" applyFont="1"/>
    <xf numFmtId="0" fontId="37" fillId="0" borderId="0" xfId="5" applyFont="1"/>
    <xf numFmtId="3" fontId="53" fillId="0" borderId="0" xfId="5" applyNumberFormat="1" applyFont="1" applyAlignment="1">
      <alignment horizontal="center" vertical="center"/>
    </xf>
    <xf numFmtId="168" fontId="54" fillId="0" borderId="0" xfId="5" applyNumberFormat="1" applyFont="1"/>
    <xf numFmtId="166" fontId="55" fillId="0" borderId="0" xfId="5" applyNumberFormat="1" applyFont="1"/>
    <xf numFmtId="0" fontId="55" fillId="0" borderId="0" xfId="5" applyFont="1"/>
    <xf numFmtId="2" fontId="18" fillId="0" borderId="0" xfId="5" applyNumberFormat="1" applyFont="1"/>
    <xf numFmtId="169" fontId="45" fillId="0" borderId="0" xfId="5" applyNumberFormat="1" applyFont="1"/>
    <xf numFmtId="0" fontId="45" fillId="0" borderId="0" xfId="5" applyFont="1"/>
    <xf numFmtId="0" fontId="20" fillId="0" borderId="0" xfId="5" applyFont="1"/>
    <xf numFmtId="3" fontId="20" fillId="0" borderId="0" xfId="5" applyNumberFormat="1" applyFont="1"/>
    <xf numFmtId="4" fontId="20" fillId="0" borderId="0" xfId="5" applyNumberFormat="1" applyFont="1"/>
    <xf numFmtId="166" fontId="20" fillId="0" borderId="0" xfId="5" applyNumberFormat="1" applyFont="1"/>
    <xf numFmtId="170" fontId="4" fillId="0" borderId="0" xfId="5" applyNumberFormat="1" applyFont="1"/>
    <xf numFmtId="0" fontId="15" fillId="0" borderId="1" xfId="5" applyFont="1" applyBorder="1" applyAlignment="1">
      <alignment horizontal="center" vertical="center" wrapText="1"/>
    </xf>
    <xf numFmtId="0" fontId="20" fillId="0" borderId="1" xfId="5" applyFont="1" applyBorder="1" applyAlignment="1">
      <alignment vertical="center" wrapText="1"/>
    </xf>
    <xf numFmtId="3" fontId="51" fillId="0" borderId="1" xfId="5" applyNumberFormat="1" applyFont="1" applyBorder="1" applyAlignment="1">
      <alignment horizontal="right" vertical="center" wrapText="1"/>
    </xf>
    <xf numFmtId="0" fontId="164" fillId="0" borderId="1" xfId="5" applyFont="1" applyFill="1" applyBorder="1" applyAlignment="1">
      <alignment vertical="center"/>
    </xf>
    <xf numFmtId="0" fontId="164" fillId="0" borderId="1" xfId="5" applyFont="1" applyBorder="1" applyAlignment="1">
      <alignment vertical="center"/>
    </xf>
    <xf numFmtId="0" fontId="26" fillId="0" borderId="1" xfId="5" applyFont="1" applyBorder="1" applyAlignment="1">
      <alignment vertical="center"/>
    </xf>
    <xf numFmtId="0" fontId="27" fillId="0" borderId="1" xfId="5" applyFont="1" applyBorder="1" applyAlignment="1">
      <alignment vertical="center" wrapText="1"/>
    </xf>
    <xf numFmtId="0" fontId="4" fillId="2" borderId="0" xfId="5" applyFont="1" applyFill="1" applyAlignment="1">
      <alignment horizontal="center"/>
    </xf>
    <xf numFmtId="0" fontId="17" fillId="0" borderId="1" xfId="5" applyFont="1" applyFill="1" applyBorder="1" applyAlignment="1">
      <alignment horizontal="left" vertical="center"/>
    </xf>
    <xf numFmtId="0" fontId="20" fillId="0" borderId="1" xfId="5" applyFont="1" applyFill="1" applyBorder="1" applyAlignment="1">
      <alignment horizontal="left" vertical="center"/>
    </xf>
    <xf numFmtId="0" fontId="24" fillId="0" borderId="1" xfId="5" applyFont="1" applyBorder="1" applyAlignment="1">
      <alignment horizontal="left" vertical="center"/>
    </xf>
    <xf numFmtId="0" fontId="26" fillId="0" borderId="1" xfId="5" applyFont="1" applyBorder="1" applyAlignment="1">
      <alignment horizontal="left" vertical="center"/>
    </xf>
    <xf numFmtId="0" fontId="23" fillId="0" borderId="1" xfId="5" applyFont="1" applyBorder="1" applyAlignment="1">
      <alignment horizontal="left" vertical="center"/>
    </xf>
    <xf numFmtId="0" fontId="22" fillId="0" borderId="1" xfId="5" applyFont="1" applyBorder="1" applyAlignment="1">
      <alignment vertical="center"/>
    </xf>
    <xf numFmtId="0" fontId="24" fillId="3" borderId="1" xfId="5" applyFont="1" applyFill="1" applyBorder="1" applyAlignment="1">
      <alignment horizontal="left" vertical="center"/>
    </xf>
    <xf numFmtId="0" fontId="23" fillId="3" borderId="1" xfId="5" applyFont="1" applyFill="1" applyBorder="1" applyAlignment="1">
      <alignment horizontal="left" vertical="center"/>
    </xf>
    <xf numFmtId="3" fontId="21" fillId="0" borderId="0" xfId="5" applyNumberFormat="1" applyFont="1" applyFill="1" applyBorder="1" applyAlignment="1">
      <alignment horizontal="center" vertical="center" wrapText="1"/>
    </xf>
    <xf numFmtId="0" fontId="20" fillId="3" borderId="1" xfId="5" applyFont="1" applyFill="1" applyBorder="1" applyAlignment="1">
      <alignment horizontal="left" vertical="center"/>
    </xf>
    <xf numFmtId="0" fontId="28" fillId="3" borderId="1" xfId="5" applyFont="1" applyFill="1" applyBorder="1" applyAlignment="1">
      <alignment vertical="center"/>
    </xf>
    <xf numFmtId="0" fontId="29" fillId="0" borderId="1" xfId="5" applyFont="1" applyBorder="1" applyAlignment="1">
      <alignment vertical="center"/>
    </xf>
    <xf numFmtId="0" fontId="14" fillId="0" borderId="0" xfId="5" applyFont="1" applyFill="1" applyBorder="1"/>
    <xf numFmtId="0" fontId="15" fillId="0" borderId="0" xfId="5" applyFont="1" applyBorder="1" applyAlignment="1">
      <alignment horizontal="center" vertical="center"/>
    </xf>
    <xf numFmtId="3" fontId="56" fillId="0" borderId="0" xfId="5" applyNumberFormat="1" applyFont="1" applyFill="1" applyBorder="1" applyAlignment="1">
      <alignment vertical="center"/>
    </xf>
    <xf numFmtId="3" fontId="15" fillId="0" borderId="0" xfId="5" applyNumberFormat="1" applyFont="1" applyFill="1" applyBorder="1" applyAlignment="1">
      <alignment vertical="center"/>
    </xf>
    <xf numFmtId="166" fontId="14" fillId="0" borderId="0" xfId="5" quotePrefix="1" applyNumberFormat="1" applyFont="1" applyBorder="1" applyAlignment="1">
      <alignment horizontal="center" vertical="center" wrapText="1"/>
    </xf>
    <xf numFmtId="3" fontId="18" fillId="0" borderId="0" xfId="5" applyNumberFormat="1" applyFont="1"/>
    <xf numFmtId="0" fontId="14" fillId="0" borderId="0" xfId="5" applyFont="1" applyFill="1"/>
    <xf numFmtId="4" fontId="32" fillId="0" borderId="0" xfId="5" applyNumberFormat="1" applyFont="1" applyFill="1"/>
    <xf numFmtId="3" fontId="32" fillId="0" borderId="0" xfId="5" applyNumberFormat="1" applyFont="1" applyFill="1"/>
    <xf numFmtId="166" fontId="14" fillId="0" borderId="0" xfId="5" applyNumberFormat="1" applyFont="1" applyFill="1"/>
    <xf numFmtId="4" fontId="14" fillId="0" borderId="0" xfId="5" applyNumberFormat="1" applyFont="1" applyFill="1"/>
    <xf numFmtId="3" fontId="14" fillId="0" borderId="0" xfId="5" applyNumberFormat="1" applyFont="1" applyFill="1"/>
    <xf numFmtId="0" fontId="32" fillId="0" borderId="1" xfId="5" applyFont="1" applyBorder="1" applyAlignment="1">
      <alignment vertical="center"/>
    </xf>
    <xf numFmtId="171" fontId="51" fillId="0" borderId="1" xfId="9" applyNumberFormat="1" applyFont="1" applyBorder="1" applyAlignment="1">
      <alignment horizontal="center" vertical="center" wrapText="1"/>
    </xf>
    <xf numFmtId="172" fontId="51" fillId="0" borderId="1" xfId="9" applyNumberFormat="1" applyFont="1" applyBorder="1" applyAlignment="1">
      <alignment horizontal="center" vertical="center" wrapText="1"/>
    </xf>
    <xf numFmtId="0" fontId="4" fillId="2" borderId="0" xfId="5" applyFont="1" applyFill="1"/>
    <xf numFmtId="0" fontId="14" fillId="0" borderId="1" xfId="5" applyFont="1" applyBorder="1" applyAlignment="1">
      <alignment vertical="center"/>
    </xf>
    <xf numFmtId="0" fontId="23" fillId="0" borderId="1" xfId="5" applyFont="1" applyBorder="1" applyAlignment="1">
      <alignment vertical="center"/>
    </xf>
    <xf numFmtId="0" fontId="20" fillId="0" borderId="1" xfId="5" applyFont="1" applyBorder="1" applyAlignment="1">
      <alignment vertical="center"/>
    </xf>
    <xf numFmtId="3" fontId="39" fillId="0" borderId="1" xfId="5" applyNumberFormat="1" applyFont="1" applyFill="1" applyBorder="1" applyAlignment="1">
      <alignment vertical="center"/>
    </xf>
    <xf numFmtId="172" fontId="42" fillId="0" borderId="1" xfId="9" applyNumberFormat="1" applyFont="1" applyBorder="1" applyAlignment="1">
      <alignment vertical="center"/>
    </xf>
    <xf numFmtId="2" fontId="20" fillId="0" borderId="0" xfId="5" applyNumberFormat="1" applyFont="1"/>
    <xf numFmtId="168" fontId="20" fillId="0" borderId="0" xfId="5" applyNumberFormat="1" applyFont="1"/>
    <xf numFmtId="0" fontId="9" fillId="0" borderId="0" xfId="5" applyFont="1" applyAlignment="1">
      <alignment horizontal="center"/>
    </xf>
    <xf numFmtId="0" fontId="33" fillId="0" borderId="0" xfId="5" applyFont="1"/>
    <xf numFmtId="0" fontId="34" fillId="0" borderId="0" xfId="5" applyFont="1" applyAlignment="1">
      <alignment vertical="center"/>
    </xf>
    <xf numFmtId="0" fontId="165" fillId="0" borderId="0" xfId="5" applyFont="1" applyAlignment="1">
      <alignment horizontal="left" vertical="center"/>
    </xf>
    <xf numFmtId="0" fontId="13" fillId="0" borderId="0" xfId="5" applyFont="1" applyAlignment="1">
      <alignment horizontal="center" vertical="center" wrapText="1"/>
    </xf>
    <xf numFmtId="166" fontId="15" fillId="0" borderId="1" xfId="5" applyNumberFormat="1" applyFont="1" applyFill="1" applyBorder="1" applyAlignment="1">
      <alignment horizontal="center" vertical="center" wrapText="1"/>
    </xf>
    <xf numFmtId="0" fontId="18" fillId="0" borderId="1" xfId="5" applyFont="1" applyBorder="1" applyAlignment="1">
      <alignment horizontal="center" vertical="center"/>
    </xf>
    <xf numFmtId="14" fontId="18" fillId="0" borderId="1" xfId="5" applyNumberFormat="1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 wrapText="1"/>
    </xf>
    <xf numFmtId="0" fontId="14" fillId="0" borderId="1" xfId="5" applyFont="1" applyBorder="1" applyAlignment="1">
      <alignment horizontal="right" vertical="center" wrapText="1"/>
    </xf>
    <xf numFmtId="14" fontId="4" fillId="0" borderId="1" xfId="5" applyNumberFormat="1" applyFont="1" applyBorder="1" applyAlignment="1">
      <alignment horizontal="center" vertical="center"/>
    </xf>
    <xf numFmtId="0" fontId="3" fillId="0" borderId="0" xfId="5" applyFont="1" applyFill="1"/>
    <xf numFmtId="0" fontId="3" fillId="2" borderId="0" xfId="5" applyFont="1" applyFill="1"/>
    <xf numFmtId="0" fontId="36" fillId="0" borderId="1" xfId="5" applyFont="1" applyFill="1" applyBorder="1" applyAlignment="1">
      <alignment horizontal="center" vertical="center" wrapText="1"/>
    </xf>
    <xf numFmtId="0" fontId="14" fillId="0" borderId="1" xfId="5" applyFont="1" applyFill="1" applyBorder="1" applyAlignment="1">
      <alignment horizontal="right" vertical="center" wrapText="1"/>
    </xf>
    <xf numFmtId="0" fontId="16" fillId="0" borderId="1" xfId="5" applyFont="1" applyFill="1" applyBorder="1" applyAlignment="1">
      <alignment horizontal="center" vertical="center" wrapText="1"/>
    </xf>
    <xf numFmtId="0" fontId="4" fillId="0" borderId="0" xfId="5" applyFont="1" applyAlignment="1">
      <alignment horizontal="right"/>
    </xf>
    <xf numFmtId="0" fontId="4" fillId="0" borderId="0" xfId="5" applyFont="1" applyFill="1" applyBorder="1" applyAlignment="1">
      <alignment horizontal="center" vertical="center" wrapText="1"/>
    </xf>
    <xf numFmtId="0" fontId="3" fillId="0" borderId="0" xfId="5" applyFont="1" applyBorder="1" applyAlignment="1">
      <alignment horizontal="center" vertical="center" wrapText="1"/>
    </xf>
    <xf numFmtId="0" fontId="4" fillId="0" borderId="0" xfId="5" applyFont="1" applyBorder="1" applyAlignment="1">
      <alignment horizontal="center"/>
    </xf>
    <xf numFmtId="0" fontId="20" fillId="0" borderId="0" xfId="5" applyFont="1" applyBorder="1" applyAlignment="1">
      <alignment horizontal="right"/>
    </xf>
    <xf numFmtId="14" fontId="20" fillId="0" borderId="0" xfId="5" applyNumberFormat="1" applyFont="1" applyBorder="1" applyAlignment="1">
      <alignment horizontal="center"/>
    </xf>
    <xf numFmtId="0" fontId="4" fillId="0" borderId="0" xfId="5" applyFont="1" applyBorder="1"/>
    <xf numFmtId="4" fontId="21" fillId="0" borderId="0" xfId="6" applyNumberFormat="1" applyFont="1"/>
    <xf numFmtId="169" fontId="7" fillId="0" borderId="1" xfId="5" applyNumberFormat="1" applyFont="1" applyBorder="1" applyAlignment="1">
      <alignment horizontal="center" vertical="center" wrapText="1"/>
    </xf>
    <xf numFmtId="0" fontId="34" fillId="0" borderId="8" xfId="5" applyFont="1" applyBorder="1" applyAlignment="1">
      <alignment horizontal="center" vertical="center" wrapText="1"/>
    </xf>
    <xf numFmtId="0" fontId="42" fillId="0" borderId="9" xfId="5" applyFont="1" applyBorder="1" applyAlignment="1">
      <alignment horizontal="center" vertical="center" wrapText="1"/>
    </xf>
    <xf numFmtId="0" fontId="15" fillId="0" borderId="9" xfId="5" applyFont="1" applyBorder="1" applyAlignment="1">
      <alignment horizontal="center" vertical="center" wrapText="1"/>
    </xf>
    <xf numFmtId="0" fontId="15" fillId="0" borderId="10" xfId="5" applyFont="1" applyBorder="1" applyAlignment="1">
      <alignment horizontal="center" vertical="center" wrapText="1"/>
    </xf>
    <xf numFmtId="3" fontId="21" fillId="0" borderId="3" xfId="5" applyNumberFormat="1" applyFont="1" applyFill="1" applyBorder="1" applyAlignment="1">
      <alignment horizontal="center" vertical="center" wrapText="1"/>
    </xf>
    <xf numFmtId="0" fontId="51" fillId="0" borderId="11" xfId="5" applyFont="1" applyBorder="1" applyAlignment="1">
      <alignment horizontal="center" vertical="center" wrapText="1"/>
    </xf>
    <xf numFmtId="0" fontId="51" fillId="0" borderId="12" xfId="5" applyFont="1" applyBorder="1"/>
    <xf numFmtId="0" fontId="51" fillId="0" borderId="13" xfId="5" applyFont="1" applyBorder="1" applyAlignment="1">
      <alignment horizontal="center" vertical="center" wrapText="1"/>
    </xf>
    <xf numFmtId="0" fontId="32" fillId="0" borderId="14" xfId="5" applyFont="1" applyFill="1" applyBorder="1"/>
    <xf numFmtId="3" fontId="3" fillId="0" borderId="14" xfId="5" applyNumberFormat="1" applyFont="1" applyFill="1" applyBorder="1" applyAlignment="1">
      <alignment horizontal="center" vertical="center" wrapText="1"/>
    </xf>
    <xf numFmtId="169" fontId="3" fillId="0" borderId="14" xfId="5" applyNumberFormat="1" applyFont="1" applyFill="1" applyBorder="1" applyAlignment="1">
      <alignment horizontal="center" vertical="center" wrapText="1"/>
    </xf>
    <xf numFmtId="0" fontId="42" fillId="0" borderId="15" xfId="5" applyFont="1" applyFill="1" applyBorder="1"/>
    <xf numFmtId="3" fontId="3" fillId="0" borderId="3" xfId="5" applyNumberFormat="1" applyFont="1" applyFill="1" applyBorder="1" applyAlignment="1">
      <alignment vertical="center"/>
    </xf>
    <xf numFmtId="0" fontId="30" fillId="2" borderId="1" xfId="5" applyFont="1" applyFill="1" applyBorder="1" applyAlignment="1">
      <alignment horizontal="center" vertical="center" wrapText="1"/>
    </xf>
    <xf numFmtId="0" fontId="18" fillId="0" borderId="1" xfId="5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9" fillId="0" borderId="0" xfId="0" applyFont="1"/>
    <xf numFmtId="0" fontId="81" fillId="0" borderId="1" xfId="0" applyFont="1" applyBorder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81" fillId="0" borderId="0" xfId="0" applyFont="1"/>
    <xf numFmtId="0" fontId="166" fillId="0" borderId="0" xfId="0" applyFont="1"/>
    <xf numFmtId="0" fontId="168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3" fontId="61" fillId="0" borderId="1" xfId="0" applyNumberFormat="1" applyFont="1" applyBorder="1" applyAlignment="1">
      <alignment horizontal="right" vertical="center"/>
    </xf>
    <xf numFmtId="3" fontId="51" fillId="0" borderId="1" xfId="0" applyNumberFormat="1" applyFont="1" applyBorder="1" applyAlignment="1">
      <alignment vertical="center"/>
    </xf>
    <xf numFmtId="3" fontId="51" fillId="0" borderId="1" xfId="1" applyNumberFormat="1" applyFont="1" applyFill="1" applyBorder="1" applyAlignment="1">
      <alignment horizontal="right" vertical="center"/>
    </xf>
    <xf numFmtId="173" fontId="86" fillId="0" borderId="1" xfId="0" applyNumberFormat="1" applyFont="1" applyBorder="1" applyAlignment="1">
      <alignment vertical="center"/>
    </xf>
    <xf numFmtId="173" fontId="51" fillId="0" borderId="1" xfId="0" applyNumberFormat="1" applyFont="1" applyBorder="1" applyAlignment="1">
      <alignment horizontal="right" vertical="center"/>
    </xf>
    <xf numFmtId="173" fontId="51" fillId="0" borderId="1" xfId="3" applyNumberFormat="1" applyFont="1" applyFill="1" applyBorder="1" applyAlignment="1">
      <alignment horizontal="center" vertical="center" wrapText="1"/>
    </xf>
    <xf numFmtId="3" fontId="61" fillId="0" borderId="1" xfId="0" applyNumberFormat="1" applyFont="1" applyFill="1" applyBorder="1" applyAlignment="1">
      <alignment horizontal="right" vertical="center"/>
    </xf>
    <xf numFmtId="3" fontId="51" fillId="0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4" fontId="4" fillId="0" borderId="1" xfId="1" applyNumberFormat="1" applyFont="1" applyFill="1" applyBorder="1" applyAlignment="1">
      <alignment vertical="center"/>
    </xf>
    <xf numFmtId="0" fontId="3" fillId="0" borderId="1" xfId="6" applyFont="1" applyBorder="1" applyAlignment="1">
      <alignment horizontal="center" vertical="center"/>
    </xf>
    <xf numFmtId="4" fontId="25" fillId="0" borderId="1" xfId="1" applyNumberFormat="1" applyFont="1" applyFill="1" applyBorder="1" applyAlignment="1">
      <alignment vertical="center"/>
    </xf>
    <xf numFmtId="4" fontId="25" fillId="0" borderId="1" xfId="6" applyNumberFormat="1" applyFont="1" applyFill="1" applyBorder="1" applyAlignment="1">
      <alignment horizontal="center" vertical="center" wrapText="1"/>
    </xf>
    <xf numFmtId="4" fontId="4" fillId="0" borderId="1" xfId="6" applyNumberFormat="1" applyFont="1" applyBorder="1" applyAlignment="1">
      <alignment horizontal="center" vertical="center" wrapText="1"/>
    </xf>
    <xf numFmtId="4" fontId="25" fillId="0" borderId="1" xfId="6" applyNumberFormat="1" applyFont="1" applyBorder="1" applyAlignment="1">
      <alignment horizontal="center" vertical="center" wrapText="1"/>
    </xf>
    <xf numFmtId="0" fontId="19" fillId="0" borderId="1" xfId="8" applyFont="1" applyBorder="1" applyAlignment="1">
      <alignment horizontal="center" vertical="center" wrapText="1"/>
    </xf>
    <xf numFmtId="0" fontId="18" fillId="0" borderId="1" xfId="5" applyFont="1" applyBorder="1" applyAlignment="1">
      <alignment horizontal="left" vertical="center" wrapText="1"/>
    </xf>
    <xf numFmtId="0" fontId="14" fillId="0" borderId="1" xfId="5" applyFont="1" applyBorder="1" applyAlignment="1">
      <alignment horizontal="right" wrapText="1"/>
    </xf>
    <xf numFmtId="0" fontId="163" fillId="0" borderId="1" xfId="8" applyFont="1" applyBorder="1" applyAlignment="1">
      <alignment vertical="center"/>
    </xf>
    <xf numFmtId="4" fontId="4" fillId="2" borderId="1" xfId="6" applyNumberFormat="1" applyFont="1" applyFill="1" applyBorder="1" applyAlignment="1">
      <alignment horizontal="center" vertical="center" wrapText="1"/>
    </xf>
    <xf numFmtId="0" fontId="4" fillId="2" borderId="0" xfId="6" applyFont="1" applyFill="1" applyAlignment="1">
      <alignment horizontal="center" vertical="center"/>
    </xf>
    <xf numFmtId="4" fontId="65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4" fontId="25" fillId="0" borderId="1" xfId="6" applyNumberFormat="1" applyFont="1" applyFill="1" applyBorder="1" applyAlignment="1">
      <alignment horizontal="right" vertical="center" wrapText="1"/>
    </xf>
    <xf numFmtId="4" fontId="3" fillId="0" borderId="1" xfId="6" applyNumberFormat="1" applyFont="1" applyFill="1" applyBorder="1" applyAlignment="1">
      <alignment horizontal="center" vertical="center" wrapText="1"/>
    </xf>
    <xf numFmtId="4" fontId="4" fillId="0" borderId="1" xfId="6" applyNumberFormat="1" applyFont="1" applyFill="1" applyBorder="1" applyAlignment="1">
      <alignment horizontal="center" vertical="center" wrapText="1"/>
    </xf>
    <xf numFmtId="4" fontId="4" fillId="0" borderId="1" xfId="6" applyNumberFormat="1" applyFont="1" applyFill="1" applyBorder="1" applyAlignment="1">
      <alignment horizontal="right" vertical="center" wrapText="1"/>
    </xf>
    <xf numFmtId="0" fontId="3" fillId="0" borderId="1" xfId="6" applyFont="1" applyFill="1" applyBorder="1" applyAlignment="1">
      <alignment horizontal="center" vertical="center"/>
    </xf>
    <xf numFmtId="0" fontId="11" fillId="0" borderId="0" xfId="5" applyFont="1" applyFill="1"/>
    <xf numFmtId="0" fontId="15" fillId="0" borderId="1" xfId="5" applyFont="1" applyFill="1" applyBorder="1" applyAlignment="1">
      <alignment horizontal="center" vertical="center" wrapText="1"/>
    </xf>
    <xf numFmtId="0" fontId="21" fillId="2" borderId="1" xfId="5" applyFont="1" applyFill="1" applyBorder="1" applyAlignment="1">
      <alignment horizontal="center" vertical="center" wrapText="1"/>
    </xf>
    <xf numFmtId="0" fontId="177" fillId="0" borderId="1" xfId="5" applyFont="1" applyBorder="1" applyAlignment="1">
      <alignment horizontal="center" vertical="center" wrapText="1"/>
    </xf>
    <xf numFmtId="0" fontId="53" fillId="3" borderId="3" xfId="5" applyFont="1" applyFill="1" applyBorder="1" applyAlignment="1">
      <alignment vertical="center"/>
    </xf>
    <xf numFmtId="0" fontId="4" fillId="4" borderId="0" xfId="5" applyFont="1" applyFill="1"/>
    <xf numFmtId="0" fontId="19" fillId="0" borderId="0" xfId="0" applyFont="1" applyAlignment="1">
      <alignment vertical="center"/>
    </xf>
    <xf numFmtId="0" fontId="5" fillId="0" borderId="0" xfId="5" applyFont="1"/>
    <xf numFmtId="0" fontId="58" fillId="0" borderId="0" xfId="5" applyFont="1"/>
    <xf numFmtId="0" fontId="6" fillId="0" borderId="0" xfId="5" applyFont="1"/>
    <xf numFmtId="0" fontId="132" fillId="0" borderId="0" xfId="5"/>
    <xf numFmtId="0" fontId="94" fillId="0" borderId="0" xfId="5" applyFont="1"/>
    <xf numFmtId="0" fontId="19" fillId="0" borderId="0" xfId="5" applyFont="1"/>
    <xf numFmtId="3" fontId="16" fillId="0" borderId="0" xfId="5" applyNumberFormat="1" applyFont="1"/>
    <xf numFmtId="166" fontId="36" fillId="0" borderId="1" xfId="5" applyNumberFormat="1" applyFont="1" applyBorder="1" applyAlignment="1">
      <alignment horizontal="center" vertical="center" wrapText="1"/>
    </xf>
    <xf numFmtId="3" fontId="36" fillId="0" borderId="0" xfId="5" applyNumberFormat="1" applyFont="1" applyAlignment="1">
      <alignment horizontal="center" vertical="center" wrapText="1"/>
    </xf>
    <xf numFmtId="3" fontId="34" fillId="0" borderId="11" xfId="5" applyNumberFormat="1" applyFont="1" applyBorder="1" applyAlignment="1">
      <alignment horizontal="center" vertical="center" wrapText="1"/>
    </xf>
    <xf numFmtId="3" fontId="96" fillId="0" borderId="1" xfId="5" applyNumberFormat="1" applyFont="1" applyBorder="1" applyAlignment="1">
      <alignment horizontal="center" vertical="center" wrapText="1"/>
    </xf>
    <xf numFmtId="167" fontId="21" fillId="0" borderId="1" xfId="5" applyNumberFormat="1" applyFont="1" applyBorder="1" applyAlignment="1">
      <alignment horizontal="right" vertical="center" wrapText="1"/>
    </xf>
    <xf numFmtId="4" fontId="21" fillId="0" borderId="1" xfId="5" applyNumberFormat="1" applyFont="1" applyBorder="1" applyAlignment="1">
      <alignment horizontal="right" vertical="center" wrapText="1"/>
    </xf>
    <xf numFmtId="3" fontId="66" fillId="0" borderId="1" xfId="5" applyNumberFormat="1" applyFont="1" applyBorder="1" applyAlignment="1">
      <alignment horizontal="left" vertical="center" wrapText="1"/>
    </xf>
    <xf numFmtId="3" fontId="51" fillId="0" borderId="1" xfId="5" applyNumberFormat="1" applyFont="1" applyBorder="1" applyAlignment="1">
      <alignment horizontal="center" vertical="center" wrapText="1"/>
    </xf>
    <xf numFmtId="166" fontId="95" fillId="0" borderId="0" xfId="5" applyNumberFormat="1" applyFont="1" applyAlignment="1">
      <alignment horizontal="center" vertical="center" wrapText="1"/>
    </xf>
    <xf numFmtId="167" fontId="95" fillId="0" borderId="0" xfId="5" applyNumberFormat="1" applyFont="1" applyAlignment="1">
      <alignment horizontal="center" vertical="center" wrapText="1"/>
    </xf>
    <xf numFmtId="3" fontId="95" fillId="0" borderId="0" xfId="5" applyNumberFormat="1" applyFont="1" applyAlignment="1">
      <alignment horizontal="center" vertical="center" wrapText="1"/>
    </xf>
    <xf numFmtId="3" fontId="99" fillId="0" borderId="11" xfId="5" applyNumberFormat="1" applyFont="1" applyBorder="1" applyAlignment="1">
      <alignment horizontal="center" vertical="center" wrapText="1"/>
    </xf>
    <xf numFmtId="3" fontId="178" fillId="0" borderId="1" xfId="5" applyNumberFormat="1" applyFont="1" applyBorder="1" applyAlignment="1">
      <alignment horizontal="left" vertical="center" wrapText="1"/>
    </xf>
    <xf numFmtId="3" fontId="97" fillId="0" borderId="1" xfId="5" applyNumberFormat="1" applyFont="1" applyBorder="1" applyAlignment="1">
      <alignment horizontal="center" vertical="center" wrapText="1"/>
    </xf>
    <xf numFmtId="167" fontId="180" fillId="0" borderId="1" xfId="5" applyNumberFormat="1" applyFont="1" applyBorder="1" applyAlignment="1">
      <alignment horizontal="right" vertical="center" wrapText="1"/>
    </xf>
    <xf numFmtId="2" fontId="99" fillId="0" borderId="1" xfId="7" applyNumberFormat="1" applyFont="1" applyBorder="1" applyAlignment="1">
      <alignment horizontal="right" vertical="center"/>
    </xf>
    <xf numFmtId="2" fontId="99" fillId="0" borderId="12" xfId="7" applyNumberFormat="1" applyFont="1" applyBorder="1" applyAlignment="1">
      <alignment horizontal="right" vertical="center"/>
    </xf>
    <xf numFmtId="167" fontId="181" fillId="0" borderId="0" xfId="5" applyNumberFormat="1" applyFont="1" applyAlignment="1">
      <alignment horizontal="center" vertical="center" wrapText="1"/>
    </xf>
    <xf numFmtId="3" fontId="35" fillId="0" borderId="0" xfId="5" applyNumberFormat="1" applyFont="1" applyAlignment="1">
      <alignment horizontal="center" vertical="center" wrapText="1"/>
    </xf>
    <xf numFmtId="3" fontId="51" fillId="0" borderId="11" xfId="5" applyNumberFormat="1" applyFont="1" applyBorder="1" applyAlignment="1">
      <alignment horizontal="center" vertical="center" wrapText="1"/>
    </xf>
    <xf numFmtId="3" fontId="4" fillId="0" borderId="1" xfId="5" applyNumberFormat="1" applyFont="1" applyBorder="1" applyAlignment="1">
      <alignment horizontal="left" vertical="center" wrapText="1"/>
    </xf>
    <xf numFmtId="167" fontId="30" fillId="0" borderId="1" xfId="5" applyNumberFormat="1" applyFont="1" applyBorder="1" applyAlignment="1">
      <alignment horizontal="right" vertical="center" wrapText="1"/>
    </xf>
    <xf numFmtId="3" fontId="65" fillId="0" borderId="12" xfId="5" applyNumberFormat="1" applyFont="1" applyBorder="1" applyAlignment="1">
      <alignment horizontal="right" vertical="center" wrapText="1"/>
    </xf>
    <xf numFmtId="4" fontId="95" fillId="0" borderId="0" xfId="5" applyNumberFormat="1" applyFont="1" applyAlignment="1">
      <alignment horizontal="center" vertical="center" wrapText="1"/>
    </xf>
    <xf numFmtId="0" fontId="17" fillId="0" borderId="1" xfId="7" applyFont="1" applyBorder="1" applyAlignment="1">
      <alignment horizontal="left" vertical="center" wrapText="1"/>
    </xf>
    <xf numFmtId="2" fontId="99" fillId="0" borderId="12" xfId="7" applyNumberFormat="1" applyFont="1" applyBorder="1" applyAlignment="1">
      <alignment vertical="center"/>
    </xf>
    <xf numFmtId="3" fontId="44" fillId="0" borderId="1" xfId="5" applyNumberFormat="1" applyFont="1" applyBorder="1" applyAlignment="1">
      <alignment horizontal="left" vertical="center" wrapText="1"/>
    </xf>
    <xf numFmtId="3" fontId="179" fillId="0" borderId="1" xfId="5" applyNumberFormat="1" applyFont="1" applyBorder="1" applyAlignment="1">
      <alignment horizontal="left" vertical="center" wrapText="1"/>
    </xf>
    <xf numFmtId="3" fontId="118" fillId="0" borderId="1" xfId="5" applyNumberFormat="1" applyFont="1" applyBorder="1" applyAlignment="1">
      <alignment horizontal="center" vertical="center" wrapText="1"/>
    </xf>
    <xf numFmtId="4" fontId="112" fillId="0" borderId="1" xfId="5" applyNumberFormat="1" applyFont="1" applyBorder="1" applyAlignment="1">
      <alignment horizontal="right" vertical="center" wrapText="1"/>
    </xf>
    <xf numFmtId="2" fontId="182" fillId="0" borderId="1" xfId="7" applyNumberFormat="1" applyFont="1" applyBorder="1" applyAlignment="1">
      <alignment horizontal="left" vertical="center"/>
    </xf>
    <xf numFmtId="3" fontId="182" fillId="0" borderId="12" xfId="5" applyNumberFormat="1" applyFont="1" applyBorder="1" applyAlignment="1">
      <alignment horizontal="center" vertical="center" wrapText="1"/>
    </xf>
    <xf numFmtId="3" fontId="3" fillId="0" borderId="0" xfId="5" applyNumberFormat="1" applyFont="1" applyAlignment="1">
      <alignment horizontal="center" vertical="center" wrapText="1"/>
    </xf>
    <xf numFmtId="167" fontId="112" fillId="0" borderId="1" xfId="5" applyNumberFormat="1" applyFont="1" applyBorder="1" applyAlignment="1">
      <alignment horizontal="right" vertical="center" wrapText="1"/>
    </xf>
    <xf numFmtId="166" fontId="112" fillId="0" borderId="1" xfId="5" applyNumberFormat="1" applyFont="1" applyBorder="1" applyAlignment="1">
      <alignment horizontal="right" vertical="center" wrapText="1"/>
    </xf>
    <xf numFmtId="3" fontId="183" fillId="0" borderId="0" xfId="5" applyNumberFormat="1" applyFont="1" applyAlignment="1">
      <alignment horizontal="center" vertical="center" wrapText="1"/>
    </xf>
    <xf numFmtId="3" fontId="99" fillId="0" borderId="1" xfId="5" applyNumberFormat="1" applyFont="1" applyBorder="1" applyAlignment="1">
      <alignment horizontal="left" vertical="center" wrapText="1"/>
    </xf>
    <xf numFmtId="2" fontId="184" fillId="0" borderId="1" xfId="7" applyNumberFormat="1" applyFont="1" applyBorder="1" applyAlignment="1">
      <alignment horizontal="left" vertical="center"/>
    </xf>
    <xf numFmtId="166" fontId="183" fillId="0" borderId="0" xfId="5" applyNumberFormat="1" applyFont="1" applyFill="1" applyAlignment="1">
      <alignment horizontal="center" vertical="center" wrapText="1"/>
    </xf>
    <xf numFmtId="167" fontId="95" fillId="0" borderId="0" xfId="5" applyNumberFormat="1" applyFont="1" applyFill="1" applyAlignment="1">
      <alignment horizontal="center" vertical="center" wrapText="1"/>
    </xf>
    <xf numFmtId="3" fontId="183" fillId="0" borderId="0" xfId="5" applyNumberFormat="1" applyFont="1" applyFill="1" applyAlignment="1">
      <alignment horizontal="center" vertical="center" wrapText="1"/>
    </xf>
    <xf numFmtId="0" fontId="17" fillId="0" borderId="1" xfId="8" applyFont="1" applyBorder="1" applyAlignment="1">
      <alignment vertical="center" wrapText="1"/>
    </xf>
    <xf numFmtId="2" fontId="184" fillId="0" borderId="1" xfId="7" applyNumberFormat="1" applyFont="1" applyBorder="1" applyAlignment="1">
      <alignment horizontal="right" vertical="center"/>
    </xf>
    <xf numFmtId="3" fontId="51" fillId="0" borderId="14" xfId="5" applyNumberFormat="1" applyFont="1" applyBorder="1" applyAlignment="1">
      <alignment horizontal="center" vertical="center" wrapText="1"/>
    </xf>
    <xf numFmtId="3" fontId="65" fillId="0" borderId="14" xfId="5" applyNumberFormat="1" applyFont="1" applyBorder="1" applyAlignment="1">
      <alignment horizontal="center" vertical="center" wrapText="1"/>
    </xf>
    <xf numFmtId="4" fontId="65" fillId="0" borderId="14" xfId="5" applyNumberFormat="1" applyFont="1" applyBorder="1" applyAlignment="1">
      <alignment vertical="center"/>
    </xf>
    <xf numFmtId="169" fontId="99" fillId="0" borderId="14" xfId="5" applyNumberFormat="1" applyFont="1" applyBorder="1" applyAlignment="1">
      <alignment vertical="center"/>
    </xf>
    <xf numFmtId="4" fontId="65" fillId="0" borderId="15" xfId="5" applyNumberFormat="1" applyFont="1" applyBorder="1" applyAlignment="1">
      <alignment vertical="center"/>
    </xf>
    <xf numFmtId="166" fontId="3" fillId="0" borderId="0" xfId="5" applyNumberFormat="1" applyFont="1" applyFill="1" applyAlignment="1">
      <alignment vertical="center"/>
    </xf>
    <xf numFmtId="3" fontId="3" fillId="0" borderId="0" xfId="5" applyNumberFormat="1" applyFont="1" applyFill="1" applyAlignment="1">
      <alignment vertical="center"/>
    </xf>
    <xf numFmtId="3" fontId="3" fillId="0" borderId="0" xfId="5" applyNumberFormat="1" applyFont="1" applyAlignment="1">
      <alignment vertical="center"/>
    </xf>
    <xf numFmtId="3" fontId="2" fillId="0" borderId="0" xfId="5" applyNumberFormat="1" applyFont="1" applyAlignment="1">
      <alignment horizontal="center"/>
    </xf>
    <xf numFmtId="3" fontId="2" fillId="0" borderId="0" xfId="5" applyNumberFormat="1" applyFont="1" applyBorder="1" applyAlignment="1">
      <alignment horizontal="center"/>
    </xf>
    <xf numFmtId="4" fontId="2" fillId="0" borderId="0" xfId="5" applyNumberFormat="1" applyFont="1"/>
    <xf numFmtId="3" fontId="2" fillId="0" borderId="0" xfId="5" applyNumberFormat="1" applyFont="1"/>
    <xf numFmtId="169" fontId="2" fillId="0" borderId="0" xfId="5" applyNumberFormat="1" applyFont="1" applyFill="1"/>
    <xf numFmtId="3" fontId="2" fillId="0" borderId="0" xfId="5" applyNumberFormat="1" applyFont="1" applyFill="1"/>
    <xf numFmtId="4" fontId="2" fillId="0" borderId="0" xfId="5" applyNumberFormat="1" applyFont="1" applyFill="1"/>
    <xf numFmtId="3" fontId="3" fillId="0" borderId="0" xfId="5" applyNumberFormat="1" applyFont="1" applyAlignment="1">
      <alignment horizontal="center"/>
    </xf>
    <xf numFmtId="3" fontId="96" fillId="0" borderId="0" xfId="5" applyNumberFormat="1" applyFont="1" applyBorder="1" applyAlignment="1">
      <alignment horizontal="left" vertical="center" wrapText="1"/>
    </xf>
    <xf numFmtId="166" fontId="3" fillId="0" borderId="0" xfId="5" applyNumberFormat="1" applyFont="1" applyFill="1"/>
    <xf numFmtId="3" fontId="3" fillId="0" borderId="0" xfId="5" applyNumberFormat="1" applyFont="1" applyFill="1"/>
    <xf numFmtId="3" fontId="3" fillId="0" borderId="0" xfId="5" applyNumberFormat="1" applyFont="1"/>
    <xf numFmtId="166" fontId="92" fillId="0" borderId="0" xfId="5" applyNumberFormat="1" applyFont="1" applyAlignment="1"/>
    <xf numFmtId="166" fontId="3" fillId="0" borderId="0" xfId="5" applyNumberFormat="1" applyFont="1"/>
    <xf numFmtId="3" fontId="42" fillId="0" borderId="0" xfId="5" applyNumberFormat="1" applyFont="1" applyAlignment="1"/>
    <xf numFmtId="166" fontId="42" fillId="0" borderId="0" xfId="5" applyNumberFormat="1" applyFont="1" applyAlignment="1">
      <alignment horizontal="center"/>
    </xf>
    <xf numFmtId="166" fontId="4" fillId="0" borderId="0" xfId="5" applyNumberFormat="1" applyFont="1"/>
    <xf numFmtId="3" fontId="21" fillId="0" borderId="0" xfId="5" applyNumberFormat="1" applyFont="1"/>
    <xf numFmtId="166" fontId="32" fillId="0" borderId="0" xfId="5" applyNumberFormat="1" applyFont="1"/>
    <xf numFmtId="166" fontId="21" fillId="0" borderId="0" xfId="5" applyNumberFormat="1" applyFont="1"/>
    <xf numFmtId="3" fontId="32" fillId="0" borderId="0" xfId="5" applyNumberFormat="1" applyFont="1" applyBorder="1"/>
    <xf numFmtId="3" fontId="21" fillId="0" borderId="0" xfId="5" applyNumberFormat="1" applyFont="1" applyBorder="1"/>
    <xf numFmtId="4" fontId="21" fillId="0" borderId="0" xfId="5" applyNumberFormat="1" applyFont="1"/>
    <xf numFmtId="3" fontId="38" fillId="0" borderId="0" xfId="5" applyNumberFormat="1" applyFont="1" applyAlignment="1"/>
    <xf numFmtId="3" fontId="7" fillId="0" borderId="0" xfId="5" applyNumberFormat="1" applyFont="1" applyAlignment="1"/>
    <xf numFmtId="3" fontId="2" fillId="0" borderId="0" xfId="5" applyNumberFormat="1" applyFont="1" applyBorder="1"/>
    <xf numFmtId="3" fontId="97" fillId="0" borderId="0" xfId="5" applyNumberFormat="1" applyFont="1" applyBorder="1" applyAlignment="1">
      <alignment horizontal="left" vertical="center" wrapText="1"/>
    </xf>
    <xf numFmtId="3" fontId="97" fillId="0" borderId="0" xfId="5" applyNumberFormat="1" applyFont="1" applyBorder="1" applyAlignment="1">
      <alignment horizontal="center" vertical="center" wrapText="1"/>
    </xf>
    <xf numFmtId="166" fontId="2" fillId="0" borderId="0" xfId="5" applyNumberFormat="1" applyFont="1" applyBorder="1"/>
    <xf numFmtId="166" fontId="2" fillId="0" borderId="0" xfId="5" applyNumberFormat="1" applyFont="1"/>
    <xf numFmtId="3" fontId="99" fillId="0" borderId="0" xfId="5" applyNumberFormat="1" applyFont="1" applyBorder="1" applyAlignment="1">
      <alignment horizontal="center" vertical="center" wrapText="1"/>
    </xf>
    <xf numFmtId="3" fontId="21" fillId="0" borderId="0" xfId="5" applyNumberFormat="1" applyFont="1" applyBorder="1" applyAlignment="1">
      <alignment horizontal="center"/>
    </xf>
    <xf numFmtId="167" fontId="99" fillId="0" borderId="0" xfId="5" applyNumberFormat="1" applyFont="1" applyBorder="1" applyAlignment="1">
      <alignment horizontal="right" vertical="center" wrapText="1"/>
    </xf>
    <xf numFmtId="169" fontId="21" fillId="0" borderId="0" xfId="5" applyNumberFormat="1" applyFont="1" applyBorder="1"/>
    <xf numFmtId="166" fontId="21" fillId="0" borderId="0" xfId="5" applyNumberFormat="1" applyFont="1" applyBorder="1"/>
    <xf numFmtId="20" fontId="132" fillId="0" borderId="0" xfId="5" applyNumberFormat="1" applyBorder="1" applyAlignment="1">
      <alignment horizontal="left" vertical="center"/>
    </xf>
    <xf numFmtId="167" fontId="21" fillId="0" borderId="0" xfId="5" applyNumberFormat="1" applyFont="1" applyBorder="1"/>
    <xf numFmtId="4" fontId="21" fillId="0" borderId="0" xfId="5" applyNumberFormat="1" applyFont="1" applyBorder="1"/>
    <xf numFmtId="0" fontId="132" fillId="0" borderId="0" xfId="5" applyBorder="1" applyAlignment="1">
      <alignment horizontal="center" vertical="center"/>
    </xf>
    <xf numFmtId="0" fontId="132" fillId="0" borderId="0" xfId="5" applyBorder="1"/>
    <xf numFmtId="3" fontId="21" fillId="0" borderId="0" xfId="5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59" fillId="0" borderId="1" xfId="8" applyFont="1" applyBorder="1" applyAlignment="1">
      <alignment vertical="center" wrapText="1"/>
    </xf>
    <xf numFmtId="169" fontId="21" fillId="0" borderId="1" xfId="5" quotePrefix="1" applyNumberFormat="1" applyFont="1" applyBorder="1" applyAlignment="1">
      <alignment horizontal="center" vertical="center" wrapText="1"/>
    </xf>
    <xf numFmtId="0" fontId="160" fillId="0" borderId="1" xfId="5" applyFont="1" applyBorder="1"/>
    <xf numFmtId="3" fontId="56" fillId="0" borderId="14" xfId="5" applyNumberFormat="1" applyFont="1" applyFill="1" applyBorder="1" applyAlignment="1">
      <alignment vertical="center"/>
    </xf>
    <xf numFmtId="166" fontId="25" fillId="0" borderId="1" xfId="5" quotePrefix="1" applyNumberFormat="1" applyFont="1" applyBorder="1" applyAlignment="1">
      <alignment horizontal="center" vertical="center" wrapText="1"/>
    </xf>
    <xf numFmtId="0" fontId="31" fillId="0" borderId="1" xfId="5" applyFont="1" applyBorder="1" applyAlignment="1">
      <alignment vertical="center"/>
    </xf>
    <xf numFmtId="0" fontId="32" fillId="0" borderId="1" xfId="5" applyFont="1" applyBorder="1" applyAlignment="1">
      <alignment vertical="center" wrapText="1"/>
    </xf>
    <xf numFmtId="0" fontId="4" fillId="0" borderId="1" xfId="5" applyFont="1" applyBorder="1" applyAlignment="1">
      <alignment horizontal="center" vertical="center"/>
    </xf>
    <xf numFmtId="0" fontId="44" fillId="0" borderId="1" xfId="5" applyFont="1" applyBorder="1" applyAlignment="1">
      <alignment vertical="center"/>
    </xf>
    <xf numFmtId="0" fontId="186" fillId="0" borderId="1" xfId="5" applyFont="1" applyFill="1" applyBorder="1" applyAlignment="1">
      <alignment vertical="center"/>
    </xf>
    <xf numFmtId="0" fontId="187" fillId="0" borderId="1" xfId="5" applyFont="1" applyBorder="1" applyAlignment="1">
      <alignment vertical="center" wrapText="1"/>
    </xf>
    <xf numFmtId="49" fontId="4" fillId="0" borderId="1" xfId="5" applyNumberFormat="1" applyFont="1" applyBorder="1" applyAlignment="1">
      <alignment horizontal="center" vertical="center"/>
    </xf>
    <xf numFmtId="0" fontId="186" fillId="0" borderId="1" xfId="5" applyFont="1" applyBorder="1" applyAlignment="1">
      <alignment vertical="center"/>
    </xf>
    <xf numFmtId="14" fontId="4" fillId="0" borderId="1" xfId="5" applyNumberFormat="1" applyFont="1" applyBorder="1" applyAlignment="1">
      <alignment horizontal="center" vertical="center" wrapText="1"/>
    </xf>
    <xf numFmtId="0" fontId="44" fillId="0" borderId="1" xfId="5" applyFont="1" applyFill="1" applyBorder="1" applyAlignment="1">
      <alignment horizontal="left" vertical="center"/>
    </xf>
    <xf numFmtId="0" fontId="32" fillId="0" borderId="1" xfId="5" applyFont="1" applyFill="1" applyBorder="1" applyAlignment="1">
      <alignment horizontal="left" vertical="center"/>
    </xf>
    <xf numFmtId="0" fontId="31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left" vertical="center"/>
    </xf>
    <xf numFmtId="0" fontId="188" fillId="0" borderId="1" xfId="5" applyFont="1" applyBorder="1" applyAlignment="1">
      <alignment vertical="center"/>
    </xf>
    <xf numFmtId="14" fontId="4" fillId="3" borderId="1" xfId="5" applyNumberFormat="1" applyFont="1" applyFill="1" applyBorder="1" applyAlignment="1">
      <alignment horizontal="center" vertical="center"/>
    </xf>
    <xf numFmtId="0" fontId="31" fillId="3" borderId="1" xfId="5" applyFont="1" applyFill="1" applyBorder="1" applyAlignment="1">
      <alignment horizontal="left" vertical="center"/>
    </xf>
    <xf numFmtId="0" fontId="14" fillId="3" borderId="1" xfId="5" applyFont="1" applyFill="1" applyBorder="1" applyAlignment="1">
      <alignment horizontal="left" vertical="center"/>
    </xf>
    <xf numFmtId="0" fontId="32" fillId="3" borderId="1" xfId="5" applyFont="1" applyFill="1" applyBorder="1" applyAlignment="1">
      <alignment horizontal="left" vertical="center"/>
    </xf>
    <xf numFmtId="0" fontId="32" fillId="3" borderId="1" xfId="5" applyFont="1" applyFill="1" applyBorder="1" applyAlignment="1">
      <alignment vertical="center"/>
    </xf>
    <xf numFmtId="0" fontId="189" fillId="0" borderId="1" xfId="5" applyFont="1" applyBorder="1" applyAlignment="1">
      <alignment vertical="center"/>
    </xf>
    <xf numFmtId="0" fontId="190" fillId="0" borderId="0" xfId="5" applyFont="1"/>
    <xf numFmtId="3" fontId="4" fillId="0" borderId="1" xfId="6" applyNumberFormat="1" applyFont="1" applyFill="1" applyBorder="1" applyAlignment="1">
      <alignment horizontal="right" vertical="center" wrapText="1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88" fillId="0" borderId="1" xfId="0" applyFont="1" applyBorder="1" applyAlignment="1">
      <alignment vertical="center"/>
    </xf>
    <xf numFmtId="0" fontId="31" fillId="3" borderId="1" xfId="0" applyFont="1" applyFill="1" applyBorder="1" applyAlignment="1">
      <alignment vertical="center"/>
    </xf>
    <xf numFmtId="0" fontId="32" fillId="3" borderId="1" xfId="0" applyFont="1" applyFill="1" applyBorder="1" applyAlignment="1">
      <alignment vertical="center"/>
    </xf>
    <xf numFmtId="0" fontId="32" fillId="3" borderId="3" xfId="0" applyFont="1" applyFill="1" applyBorder="1" applyAlignment="1">
      <alignment vertical="center"/>
    </xf>
    <xf numFmtId="4" fontId="21" fillId="0" borderId="1" xfId="8" applyNumberFormat="1" applyFont="1" applyBorder="1" applyAlignment="1">
      <alignment horizontal="right" vertical="center" wrapText="1"/>
    </xf>
    <xf numFmtId="4" fontId="89" fillId="0" borderId="1" xfId="8" applyNumberFormat="1" applyFont="1" applyBorder="1" applyAlignment="1">
      <alignment horizontal="right" vertical="center" wrapText="1"/>
    </xf>
    <xf numFmtId="4" fontId="112" fillId="0" borderId="1" xfId="8" applyNumberFormat="1" applyFont="1" applyBorder="1" applyAlignment="1">
      <alignment horizontal="right" vertical="center" wrapText="1"/>
    </xf>
    <xf numFmtId="0" fontId="17" fillId="0" borderId="1" xfId="8" applyFont="1" applyBorder="1" applyAlignment="1">
      <alignment vertical="center"/>
    </xf>
    <xf numFmtId="0" fontId="164" fillId="0" borderId="1" xfId="8" applyFont="1" applyBorder="1" applyAlignment="1">
      <alignment vertical="center"/>
    </xf>
    <xf numFmtId="0" fontId="43" fillId="0" borderId="1" xfId="5" applyFont="1" applyFill="1" applyBorder="1" applyAlignment="1">
      <alignment horizontal="center" vertical="center" wrapText="1"/>
    </xf>
    <xf numFmtId="0" fontId="4" fillId="0" borderId="1" xfId="5" applyFont="1" applyFill="1" applyBorder="1" applyAlignment="1">
      <alignment vertical="center"/>
    </xf>
    <xf numFmtId="0" fontId="31" fillId="3" borderId="1" xfId="5" applyFont="1" applyFill="1" applyBorder="1" applyAlignment="1">
      <alignment vertical="center"/>
    </xf>
    <xf numFmtId="0" fontId="32" fillId="3" borderId="3" xfId="5" applyFont="1" applyFill="1" applyBorder="1" applyAlignment="1">
      <alignment vertical="center"/>
    </xf>
    <xf numFmtId="0" fontId="4" fillId="0" borderId="1" xfId="5" applyFont="1" applyBorder="1" applyAlignment="1">
      <alignment vertical="center"/>
    </xf>
    <xf numFmtId="3" fontId="3" fillId="0" borderId="1" xfId="5" applyNumberFormat="1" applyFont="1" applyFill="1" applyBorder="1" applyAlignment="1">
      <alignment vertical="center"/>
    </xf>
    <xf numFmtId="169" fontId="3" fillId="0" borderId="1" xfId="5" applyNumberFormat="1" applyFont="1" applyFill="1" applyBorder="1" applyAlignment="1">
      <alignment vertical="center"/>
    </xf>
    <xf numFmtId="0" fontId="15" fillId="4" borderId="1" xfId="5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vertical="center" wrapText="1"/>
    </xf>
    <xf numFmtId="0" fontId="192" fillId="0" borderId="1" xfId="8" applyFont="1" applyBorder="1" applyAlignment="1">
      <alignment horizontal="left" vertical="center" wrapText="1"/>
    </xf>
    <xf numFmtId="14" fontId="193" fillId="0" borderId="1" xfId="8" applyNumberFormat="1" applyFont="1" applyBorder="1" applyAlignment="1">
      <alignment horizontal="center" vertical="center" wrapText="1"/>
    </xf>
    <xf numFmtId="0" fontId="192" fillId="0" borderId="1" xfId="8" applyFont="1" applyBorder="1" applyAlignment="1">
      <alignment horizontal="left" vertical="center"/>
    </xf>
    <xf numFmtId="14" fontId="193" fillId="0" borderId="1" xfId="8" applyNumberFormat="1" applyFont="1" applyBorder="1" applyAlignment="1">
      <alignment horizontal="center" vertical="center"/>
    </xf>
    <xf numFmtId="0" fontId="194" fillId="0" borderId="1" xfId="8" applyFont="1" applyBorder="1" applyAlignment="1">
      <alignment vertical="center"/>
    </xf>
    <xf numFmtId="0" fontId="192" fillId="0" borderId="1" xfId="8" applyFont="1" applyBorder="1" applyAlignment="1">
      <alignment vertical="center"/>
    </xf>
    <xf numFmtId="0" fontId="21" fillId="4" borderId="1" xfId="8" applyFont="1" applyFill="1" applyBorder="1" applyAlignment="1">
      <alignment horizontal="center" vertical="center" wrapText="1"/>
    </xf>
    <xf numFmtId="0" fontId="21" fillId="0" borderId="1" xfId="8" applyFont="1" applyFill="1" applyBorder="1" applyAlignment="1">
      <alignment horizontal="center" vertical="center" wrapText="1"/>
    </xf>
    <xf numFmtId="14" fontId="14" fillId="0" borderId="1" xfId="5" applyNumberFormat="1" applyFont="1" applyBorder="1" applyAlignment="1">
      <alignment horizontal="center" vertical="center"/>
    </xf>
    <xf numFmtId="0" fontId="31" fillId="0" borderId="1" xfId="8" applyFont="1" applyBorder="1" applyAlignment="1">
      <alignment vertical="center"/>
    </xf>
    <xf numFmtId="0" fontId="31" fillId="3" borderId="1" xfId="8" applyFont="1" applyFill="1" applyBorder="1" applyAlignment="1">
      <alignment horizontal="left" vertical="center" wrapText="1"/>
    </xf>
    <xf numFmtId="0" fontId="192" fillId="3" borderId="1" xfId="8" applyFont="1" applyFill="1" applyBorder="1" applyAlignment="1">
      <alignment horizontal="left" vertical="center" wrapText="1"/>
    </xf>
    <xf numFmtId="14" fontId="193" fillId="3" borderId="1" xfId="8" applyNumberFormat="1" applyFont="1" applyFill="1" applyBorder="1" applyAlignment="1">
      <alignment horizontal="center" vertical="center" wrapText="1"/>
    </xf>
    <xf numFmtId="0" fontId="3" fillId="0" borderId="1" xfId="5" applyFont="1" applyBorder="1" applyAlignment="1">
      <alignment vertical="center"/>
    </xf>
    <xf numFmtId="0" fontId="10" fillId="0" borderId="0" xfId="5" applyFont="1" applyAlignment="1">
      <alignment horizontal="center"/>
    </xf>
    <xf numFmtId="0" fontId="2" fillId="0" borderId="0" xfId="5" applyFont="1" applyAlignment="1">
      <alignment horizontal="center"/>
    </xf>
    <xf numFmtId="0" fontId="57" fillId="0" borderId="0" xfId="5" applyFont="1" applyAlignment="1">
      <alignment horizontal="center" vertical="center"/>
    </xf>
    <xf numFmtId="0" fontId="42" fillId="0" borderId="0" xfId="5" applyFont="1" applyAlignment="1">
      <alignment horizontal="center"/>
    </xf>
    <xf numFmtId="169" fontId="36" fillId="0" borderId="1" xfId="6" applyNumberFormat="1" applyFont="1" applyBorder="1" applyAlignment="1">
      <alignment horizontal="center" vertical="center" wrapText="1"/>
    </xf>
    <xf numFmtId="0" fontId="4" fillId="0" borderId="0" xfId="6" applyFont="1" applyAlignment="1">
      <alignment horizontal="center" vertical="center"/>
    </xf>
    <xf numFmtId="4" fontId="19" fillId="0" borderId="0" xfId="5" applyNumberFormat="1" applyFont="1"/>
    <xf numFmtId="169" fontId="19" fillId="0" borderId="0" xfId="5" applyNumberFormat="1" applyFont="1"/>
    <xf numFmtId="0" fontId="60" fillId="0" borderId="0" xfId="5" applyFont="1"/>
    <xf numFmtId="4" fontId="2" fillId="0" borderId="0" xfId="5" applyNumberFormat="1" applyFont="1" applyAlignment="1">
      <alignment horizontal="center"/>
    </xf>
    <xf numFmtId="169" fontId="2" fillId="0" borderId="0" xfId="5" applyNumberFormat="1" applyFont="1" applyAlignment="1">
      <alignment horizontal="center"/>
    </xf>
    <xf numFmtId="3" fontId="65" fillId="0" borderId="0" xfId="5" applyNumberFormat="1" applyFont="1" applyAlignment="1">
      <alignment horizontal="center"/>
    </xf>
    <xf numFmtId="169" fontId="2" fillId="0" borderId="0" xfId="5" applyNumberFormat="1" applyFont="1"/>
    <xf numFmtId="0" fontId="42" fillId="0" borderId="0" xfId="5" applyFont="1"/>
    <xf numFmtId="4" fontId="60" fillId="0" borderId="0" xfId="5" applyNumberFormat="1" applyFont="1"/>
    <xf numFmtId="169" fontId="60" fillId="0" borderId="0" xfId="5" applyNumberFormat="1" applyFont="1"/>
    <xf numFmtId="0" fontId="59" fillId="0" borderId="0" xfId="5" applyFont="1" applyAlignment="1">
      <alignment vertical="center"/>
    </xf>
    <xf numFmtId="169" fontId="65" fillId="0" borderId="0" xfId="5" applyNumberFormat="1" applyFont="1"/>
    <xf numFmtId="169" fontId="65" fillId="0" borderId="0" xfId="5" applyNumberFormat="1" applyFont="1" applyAlignment="1">
      <alignment horizontal="center"/>
    </xf>
    <xf numFmtId="0" fontId="68" fillId="0" borderId="0" xfId="5" applyFont="1"/>
    <xf numFmtId="2" fontId="132" fillId="0" borderId="0" xfId="5" applyNumberFormat="1"/>
    <xf numFmtId="169" fontId="68" fillId="0" borderId="0" xfId="5" applyNumberFormat="1" applyFont="1"/>
    <xf numFmtId="0" fontId="77" fillId="0" borderId="0" xfId="5" applyFont="1"/>
    <xf numFmtId="0" fontId="68" fillId="0" borderId="0" xfId="5" applyFont="1" applyAlignment="1">
      <alignment horizontal="center"/>
    </xf>
    <xf numFmtId="43" fontId="21" fillId="0" borderId="0" xfId="5" applyNumberFormat="1" applyFont="1"/>
    <xf numFmtId="0" fontId="91" fillId="0" borderId="0" xfId="5" applyFont="1" applyAlignment="1">
      <alignment vertical="center"/>
    </xf>
    <xf numFmtId="4" fontId="91" fillId="0" borderId="0" xfId="5" applyNumberFormat="1" applyFont="1" applyAlignment="1">
      <alignment vertical="center"/>
    </xf>
    <xf numFmtId="169" fontId="91" fillId="0" borderId="0" xfId="5" applyNumberFormat="1" applyFont="1" applyAlignment="1">
      <alignment vertical="center"/>
    </xf>
    <xf numFmtId="0" fontId="91" fillId="0" borderId="0" xfId="5" applyFont="1" applyAlignment="1">
      <alignment horizontal="center" vertical="center"/>
    </xf>
    <xf numFmtId="4" fontId="132" fillId="0" borderId="0" xfId="5" applyNumberFormat="1"/>
    <xf numFmtId="2" fontId="19" fillId="0" borderId="0" xfId="5" applyNumberFormat="1" applyFont="1"/>
    <xf numFmtId="169" fontId="132" fillId="0" borderId="0" xfId="5" applyNumberFormat="1"/>
    <xf numFmtId="169" fontId="132" fillId="0" borderId="0" xfId="5" applyNumberFormat="1" applyBorder="1"/>
    <xf numFmtId="0" fontId="132" fillId="0" borderId="4" xfId="5" applyFont="1" applyBorder="1"/>
    <xf numFmtId="43" fontId="3" fillId="0" borderId="0" xfId="5" applyNumberFormat="1" applyFont="1" applyFill="1" applyAlignment="1">
      <alignment horizontal="right"/>
    </xf>
    <xf numFmtId="0" fontId="7" fillId="0" borderId="0" xfId="5" applyFont="1" applyFill="1" applyAlignment="1">
      <alignment vertical="center"/>
    </xf>
    <xf numFmtId="4" fontId="7" fillId="0" borderId="0" xfId="5" applyNumberFormat="1" applyFont="1" applyFill="1" applyAlignment="1">
      <alignment vertical="center"/>
    </xf>
    <xf numFmtId="0" fontId="54" fillId="0" borderId="1" xfId="5" applyFont="1" applyFill="1" applyBorder="1" applyAlignment="1">
      <alignment vertical="center"/>
    </xf>
    <xf numFmtId="0" fontId="44" fillId="0" borderId="0" xfId="5" applyFont="1"/>
    <xf numFmtId="4" fontId="18" fillId="0" borderId="1" xfId="5" applyNumberFormat="1" applyFont="1" applyBorder="1" applyAlignment="1">
      <alignment vertical="center"/>
    </xf>
    <xf numFmtId="4" fontId="18" fillId="0" borderId="1" xfId="5" applyNumberFormat="1" applyFont="1" applyBorder="1" applyAlignment="1">
      <alignment horizontal="right" vertical="center"/>
    </xf>
    <xf numFmtId="0" fontId="51" fillId="0" borderId="1" xfId="5" applyFont="1" applyBorder="1" applyAlignment="1">
      <alignment horizontal="center" vertical="center" wrapText="1"/>
    </xf>
    <xf numFmtId="4" fontId="18" fillId="0" borderId="1" xfId="5" applyNumberFormat="1" applyFont="1" applyFill="1" applyBorder="1" applyAlignment="1">
      <alignment vertical="center"/>
    </xf>
    <xf numFmtId="0" fontId="44" fillId="2" borderId="0" xfId="5" applyFont="1" applyFill="1"/>
    <xf numFmtId="4" fontId="18" fillId="0" borderId="1" xfId="5" applyNumberFormat="1" applyFont="1" applyFill="1" applyBorder="1" applyAlignment="1">
      <alignment horizontal="right" vertical="center"/>
    </xf>
    <xf numFmtId="0" fontId="51" fillId="0" borderId="1" xfId="5" applyFont="1" applyFill="1" applyBorder="1" applyAlignment="1">
      <alignment horizontal="center" vertical="center" wrapText="1"/>
    </xf>
    <xf numFmtId="4" fontId="18" fillId="0" borderId="1" xfId="5" applyNumberFormat="1" applyFont="1" applyFill="1" applyBorder="1" applyAlignment="1">
      <alignment horizontal="left" vertical="center" wrapText="1"/>
    </xf>
    <xf numFmtId="4" fontId="25" fillId="0" borderId="1" xfId="5" applyNumberFormat="1" applyFont="1" applyFill="1" applyBorder="1" applyAlignment="1">
      <alignment vertical="center"/>
    </xf>
    <xf numFmtId="0" fontId="90" fillId="0" borderId="6" xfId="5" applyFont="1" applyBorder="1" applyAlignment="1">
      <alignment horizontal="center" vertical="center" wrapText="1"/>
    </xf>
    <xf numFmtId="0" fontId="168" fillId="0" borderId="1" xfId="5" applyFont="1" applyBorder="1" applyAlignment="1">
      <alignment horizontal="center" vertical="center" wrapText="1"/>
    </xf>
    <xf numFmtId="0" fontId="172" fillId="0" borderId="1" xfId="5" applyFont="1" applyBorder="1" applyAlignment="1">
      <alignment horizontal="center" vertical="center" wrapText="1"/>
    </xf>
    <xf numFmtId="0" fontId="21" fillId="0" borderId="0" xfId="5" applyFont="1"/>
    <xf numFmtId="0" fontId="88" fillId="0" borderId="0" xfId="5" applyFont="1" applyAlignment="1">
      <alignment vertical="center"/>
    </xf>
    <xf numFmtId="0" fontId="87" fillId="0" borderId="0" xfId="5" applyFont="1" applyAlignment="1">
      <alignment vertical="center"/>
    </xf>
    <xf numFmtId="4" fontId="4" fillId="0" borderId="0" xfId="5" applyNumberFormat="1" applyFont="1"/>
    <xf numFmtId="169" fontId="10" fillId="0" borderId="0" xfId="5" applyNumberFormat="1" applyFont="1" applyAlignment="1">
      <alignment horizontal="center"/>
    </xf>
    <xf numFmtId="169" fontId="7" fillId="0" borderId="0" xfId="5" applyNumberFormat="1" applyFont="1" applyAlignment="1">
      <alignment horizontal="center"/>
    </xf>
    <xf numFmtId="0" fontId="37" fillId="0" borderId="0" xfId="5" applyFont="1" applyAlignment="1">
      <alignment vertical="top"/>
    </xf>
    <xf numFmtId="169" fontId="5" fillId="0" borderId="0" xfId="5" applyNumberFormat="1" applyFont="1" applyAlignment="1">
      <alignment horizontal="center"/>
    </xf>
    <xf numFmtId="169" fontId="85" fillId="0" borderId="0" xfId="5" applyNumberFormat="1" applyFont="1" applyAlignment="1">
      <alignment vertical="center" wrapText="1"/>
    </xf>
    <xf numFmtId="0" fontId="4" fillId="0" borderId="0" xfId="5" applyFont="1" applyBorder="1" applyAlignment="1">
      <alignment horizontal="center" vertical="center" wrapText="1"/>
    </xf>
    <xf numFmtId="166" fontId="4" fillId="0" borderId="0" xfId="5" quotePrefix="1" applyNumberFormat="1" applyFont="1" applyBorder="1" applyAlignment="1">
      <alignment horizontal="center" vertical="center" wrapText="1"/>
    </xf>
    <xf numFmtId="0" fontId="5" fillId="0" borderId="0" xfId="5" applyFont="1" applyAlignment="1">
      <alignment horizontal="center"/>
    </xf>
    <xf numFmtId="0" fontId="6" fillId="0" borderId="0" xfId="5" applyFont="1" applyAlignment="1">
      <alignment horizontal="center" vertical="top"/>
    </xf>
    <xf numFmtId="0" fontId="7" fillId="0" borderId="0" xfId="5" applyFont="1" applyAlignment="1">
      <alignment horizontal="center"/>
    </xf>
    <xf numFmtId="0" fontId="10" fillId="0" borderId="0" xfId="5" applyFont="1" applyAlignment="1">
      <alignment horizontal="center"/>
    </xf>
    <xf numFmtId="0" fontId="4" fillId="0" borderId="0" xfId="5" applyFont="1" applyAlignment="1">
      <alignment horizontal="center"/>
    </xf>
    <xf numFmtId="0" fontId="14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/>
    </xf>
    <xf numFmtId="166" fontId="16" fillId="0" borderId="0" xfId="5" applyNumberFormat="1" applyFont="1" applyBorder="1" applyAlignment="1">
      <alignment horizontal="center"/>
    </xf>
    <xf numFmtId="2" fontId="51" fillId="0" borderId="1" xfId="7" applyNumberFormat="1" applyFont="1" applyBorder="1" applyAlignment="1">
      <alignment horizontal="right" vertical="center"/>
    </xf>
    <xf numFmtId="3" fontId="42" fillId="0" borderId="0" xfId="5" applyNumberFormat="1" applyFont="1" applyAlignment="1">
      <alignment horizontal="center"/>
    </xf>
    <xf numFmtId="166" fontId="92" fillId="0" borderId="0" xfId="5" applyNumberFormat="1" applyFont="1" applyAlignment="1">
      <alignment horizontal="center"/>
    </xf>
    <xf numFmtId="3" fontId="36" fillId="0" borderId="1" xfId="5" applyNumberFormat="1" applyFont="1" applyBorder="1" applyAlignment="1">
      <alignment horizontal="center" vertical="center" wrapText="1"/>
    </xf>
    <xf numFmtId="3" fontId="36" fillId="0" borderId="12" xfId="5" applyNumberFormat="1" applyFont="1" applyBorder="1" applyAlignment="1">
      <alignment horizontal="center" vertical="center" wrapText="1"/>
    </xf>
    <xf numFmtId="0" fontId="66" fillId="0" borderId="1" xfId="5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34" fillId="0" borderId="9" xfId="5" applyFont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/>
    </xf>
    <xf numFmtId="0" fontId="186" fillId="0" borderId="1" xfId="0" applyFont="1" applyFill="1" applyBorder="1" applyAlignment="1">
      <alignment vertical="center"/>
    </xf>
    <xf numFmtId="0" fontId="187" fillId="0" borderId="1" xfId="0" applyFont="1" applyBorder="1" applyAlignment="1">
      <alignment vertical="center" wrapText="1"/>
    </xf>
    <xf numFmtId="0" fontId="186" fillId="0" borderId="1" xfId="0" applyFont="1" applyBorder="1" applyAlignment="1">
      <alignment vertical="center"/>
    </xf>
    <xf numFmtId="0" fontId="44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1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32" fillId="3" borderId="1" xfId="0" applyFont="1" applyFill="1" applyBorder="1" applyAlignment="1">
      <alignment horizontal="left" vertical="center"/>
    </xf>
    <xf numFmtId="0" fontId="189" fillId="0" borderId="1" xfId="0" applyFont="1" applyBorder="1" applyAlignment="1">
      <alignment vertical="center"/>
    </xf>
    <xf numFmtId="0" fontId="190" fillId="0" borderId="0" xfId="0" applyFont="1"/>
    <xf numFmtId="0" fontId="53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190" fillId="0" borderId="0" xfId="0" applyFont="1" applyAlignment="1">
      <alignment vertical="center"/>
    </xf>
    <xf numFmtId="169" fontId="3" fillId="0" borderId="0" xfId="5" applyNumberFormat="1" applyFont="1"/>
    <xf numFmtId="0" fontId="32" fillId="0" borderId="1" xfId="5" applyFont="1" applyFill="1" applyBorder="1" applyAlignment="1">
      <alignment horizontal="center" vertical="center" wrapText="1"/>
    </xf>
    <xf numFmtId="0" fontId="51" fillId="0" borderId="0" xfId="5" applyFont="1" applyBorder="1" applyAlignment="1">
      <alignment horizontal="center" vertical="center" wrapText="1"/>
    </xf>
    <xf numFmtId="0" fontId="52" fillId="0" borderId="0" xfId="5" applyFont="1" applyBorder="1" applyAlignment="1">
      <alignment horizontal="center" vertical="center" wrapText="1"/>
    </xf>
    <xf numFmtId="0" fontId="32" fillId="0" borderId="0" xfId="5" applyFont="1" applyFill="1" applyBorder="1"/>
    <xf numFmtId="3" fontId="3" fillId="0" borderId="0" xfId="5" applyNumberFormat="1" applyFont="1" applyFill="1" applyBorder="1" applyAlignment="1">
      <alignment horizontal="center" vertical="center" wrapText="1"/>
    </xf>
    <xf numFmtId="0" fontId="42" fillId="0" borderId="0" xfId="5" applyFont="1" applyFill="1" applyBorder="1"/>
    <xf numFmtId="0" fontId="53" fillId="0" borderId="1" xfId="5" applyFont="1" applyBorder="1" applyAlignment="1">
      <alignment vertical="center"/>
    </xf>
    <xf numFmtId="0" fontId="32" fillId="2" borderId="1" xfId="5" applyFont="1" applyFill="1" applyBorder="1" applyAlignment="1">
      <alignment horizontal="center" vertical="center" wrapText="1"/>
    </xf>
    <xf numFmtId="167" fontId="99" fillId="0" borderId="1" xfId="5" applyNumberFormat="1" applyFont="1" applyBorder="1" applyAlignment="1">
      <alignment horizontal="right" vertical="center" wrapText="1"/>
    </xf>
    <xf numFmtId="0" fontId="51" fillId="0" borderId="0" xfId="5" applyFont="1" applyAlignment="1">
      <alignment vertical="center" wrapText="1"/>
    </xf>
    <xf numFmtId="166" fontId="39" fillId="0" borderId="1" xfId="5" quotePrefix="1" applyNumberFormat="1" applyFont="1" applyBorder="1" applyAlignment="1">
      <alignment horizontal="center" vertical="center" wrapText="1"/>
    </xf>
    <xf numFmtId="0" fontId="197" fillId="0" borderId="1" xfId="5" applyFont="1" applyBorder="1" applyAlignment="1">
      <alignment vertical="center"/>
    </xf>
    <xf numFmtId="0" fontId="31" fillId="3" borderId="0" xfId="5" applyFont="1" applyFill="1" applyBorder="1" applyAlignment="1">
      <alignment vertical="center"/>
    </xf>
    <xf numFmtId="0" fontId="53" fillId="3" borderId="0" xfId="5" applyFont="1" applyFill="1" applyBorder="1" applyAlignment="1">
      <alignment vertical="center"/>
    </xf>
    <xf numFmtId="0" fontId="4" fillId="0" borderId="0" xfId="5" applyFont="1" applyBorder="1" applyAlignment="1">
      <alignment horizontal="center" vertical="center"/>
    </xf>
    <xf numFmtId="14" fontId="4" fillId="3" borderId="0" xfId="5" applyNumberFormat="1" applyFont="1" applyFill="1" applyBorder="1" applyAlignment="1">
      <alignment horizontal="center" vertical="center"/>
    </xf>
    <xf numFmtId="0" fontId="19" fillId="4" borderId="1" xfId="8" applyFont="1" applyFill="1" applyBorder="1" applyAlignment="1">
      <alignment horizontal="center" vertical="center" wrapText="1"/>
    </xf>
    <xf numFmtId="4" fontId="3" fillId="0" borderId="1" xfId="5" applyNumberFormat="1" applyFont="1" applyFill="1" applyBorder="1" applyAlignment="1">
      <alignment vertical="center"/>
    </xf>
    <xf numFmtId="4" fontId="39" fillId="0" borderId="1" xfId="5" applyNumberFormat="1" applyFont="1" applyFill="1" applyBorder="1" applyAlignment="1">
      <alignment vertical="center"/>
    </xf>
    <xf numFmtId="166" fontId="15" fillId="0" borderId="1" xfId="5" applyNumberFormat="1" applyFont="1" applyFill="1" applyBorder="1" applyAlignment="1">
      <alignment horizontal="right" vertical="center" wrapText="1"/>
    </xf>
    <xf numFmtId="166" fontId="15" fillId="0" borderId="1" xfId="5" applyNumberFormat="1" applyFont="1" applyFill="1" applyBorder="1" applyAlignment="1">
      <alignment vertical="center" wrapText="1"/>
    </xf>
    <xf numFmtId="0" fontId="190" fillId="0" borderId="1" xfId="5" applyFont="1" applyBorder="1"/>
    <xf numFmtId="0" fontId="53" fillId="3" borderId="1" xfId="5" applyFont="1" applyFill="1" applyBorder="1" applyAlignment="1">
      <alignment vertical="center"/>
    </xf>
    <xf numFmtId="0" fontId="190" fillId="0" borderId="1" xfId="5" applyFont="1" applyBorder="1" applyAlignment="1">
      <alignment vertical="center"/>
    </xf>
    <xf numFmtId="0" fontId="65" fillId="0" borderId="1" xfId="5" applyFont="1" applyBorder="1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7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27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1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5" fillId="0" borderId="0" xfId="0" applyFont="1" applyAlignment="1">
      <alignment horizontal="center"/>
    </xf>
    <xf numFmtId="3" fontId="65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0" fillId="0" borderId="0" xfId="0" applyFont="1" applyFill="1" applyAlignment="1">
      <alignment horizontal="center"/>
    </xf>
    <xf numFmtId="0" fontId="104" fillId="0" borderId="0" xfId="0" applyFont="1" applyFill="1" applyAlignment="1">
      <alignment horizontal="center"/>
    </xf>
    <xf numFmtId="0" fontId="67" fillId="0" borderId="1" xfId="0" applyFont="1" applyBorder="1" applyAlignment="1">
      <alignment horizontal="center" vertical="center" wrapText="1"/>
    </xf>
    <xf numFmtId="0" fontId="117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65" fillId="0" borderId="2" xfId="0" applyFont="1" applyBorder="1" applyAlignment="1">
      <alignment horizontal="left" vertical="center" wrapText="1"/>
    </xf>
    <xf numFmtId="0" fontId="65" fillId="0" borderId="5" xfId="0" applyFont="1" applyBorder="1" applyAlignment="1">
      <alignment horizontal="left" vertical="center" wrapText="1"/>
    </xf>
    <xf numFmtId="0" fontId="65" fillId="0" borderId="3" xfId="0" applyFont="1" applyBorder="1" applyAlignment="1">
      <alignment horizontal="left" vertical="center" wrapText="1"/>
    </xf>
    <xf numFmtId="3" fontId="84" fillId="0" borderId="1" xfId="0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 vertical="top"/>
    </xf>
    <xf numFmtId="0" fontId="111" fillId="0" borderId="0" xfId="0" applyFont="1" applyBorder="1" applyAlignment="1">
      <alignment horizontal="center" vertical="top"/>
    </xf>
    <xf numFmtId="0" fontId="68" fillId="0" borderId="0" xfId="0" applyFont="1" applyAlignment="1">
      <alignment horizontal="center"/>
    </xf>
    <xf numFmtId="0" fontId="69" fillId="0" borderId="0" xfId="0" applyFont="1" applyAlignment="1">
      <alignment horizontal="center" vertical="top"/>
    </xf>
    <xf numFmtId="0" fontId="65" fillId="0" borderId="0" xfId="0" applyFont="1" applyAlignment="1">
      <alignment horizontal="center" vertical="center" wrapText="1"/>
    </xf>
    <xf numFmtId="0" fontId="110" fillId="0" borderId="0" xfId="0" applyFont="1" applyAlignment="1">
      <alignment horizontal="right" vertical="top"/>
    </xf>
    <xf numFmtId="0" fontId="112" fillId="0" borderId="0" xfId="0" applyFont="1" applyAlignment="1">
      <alignment horizontal="right" vertical="top"/>
    </xf>
    <xf numFmtId="0" fontId="69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196" fillId="0" borderId="0" xfId="5" applyFont="1" applyAlignment="1">
      <alignment horizontal="center" vertical="center" wrapText="1"/>
    </xf>
    <xf numFmtId="0" fontId="5" fillId="0" borderId="0" xfId="5" applyFont="1" applyAlignment="1">
      <alignment horizontal="center"/>
    </xf>
    <xf numFmtId="0" fontId="6" fillId="0" borderId="0" xfId="5" applyFont="1" applyAlignment="1">
      <alignment horizontal="center" vertical="top"/>
    </xf>
    <xf numFmtId="0" fontId="7" fillId="0" borderId="0" xfId="5" applyFont="1" applyAlignment="1">
      <alignment horizontal="center"/>
    </xf>
    <xf numFmtId="0" fontId="3" fillId="0" borderId="0" xfId="5" applyFont="1" applyAlignment="1">
      <alignment horizontal="center"/>
    </xf>
    <xf numFmtId="0" fontId="8" fillId="0" borderId="0" xfId="5" applyFont="1" applyAlignment="1">
      <alignment horizontal="center"/>
    </xf>
    <xf numFmtId="0" fontId="10" fillId="0" borderId="0" xfId="5" applyFont="1" applyAlignment="1">
      <alignment horizontal="center"/>
    </xf>
    <xf numFmtId="0" fontId="4" fillId="0" borderId="0" xfId="5" applyFont="1" applyAlignment="1">
      <alignment horizontal="center"/>
    </xf>
    <xf numFmtId="0" fontId="12" fillId="0" borderId="0" xfId="5" applyFont="1" applyAlignment="1">
      <alignment horizontal="center" vertical="top" wrapText="1"/>
    </xf>
    <xf numFmtId="0" fontId="3" fillId="0" borderId="0" xfId="5" applyFont="1" applyAlignment="1">
      <alignment horizontal="center" vertical="center"/>
    </xf>
    <xf numFmtId="0" fontId="14" fillId="0" borderId="0" xfId="5" applyFont="1" applyAlignment="1">
      <alignment horizontal="center" vertical="center" wrapText="1"/>
    </xf>
    <xf numFmtId="0" fontId="38" fillId="0" borderId="1" xfId="8" applyFont="1" applyBorder="1" applyAlignment="1">
      <alignment horizontal="left" vertical="center" wrapText="1"/>
    </xf>
    <xf numFmtId="0" fontId="38" fillId="0" borderId="0" xfId="5" applyFont="1" applyBorder="1" applyAlignment="1">
      <alignment horizontal="center"/>
    </xf>
    <xf numFmtId="0" fontId="38" fillId="0" borderId="0" xfId="5" applyFont="1" applyAlignment="1">
      <alignment horizontal="center"/>
    </xf>
    <xf numFmtId="0" fontId="191" fillId="0" borderId="0" xfId="5" applyFont="1" applyAlignment="1">
      <alignment horizontal="center" vertical="top"/>
    </xf>
    <xf numFmtId="0" fontId="2" fillId="0" borderId="0" xfId="5" applyFont="1" applyAlignment="1">
      <alignment horizontal="center"/>
    </xf>
    <xf numFmtId="0" fontId="6" fillId="0" borderId="0" xfId="5" applyFont="1" applyAlignment="1">
      <alignment horizontal="center"/>
    </xf>
    <xf numFmtId="0" fontId="21" fillId="0" borderId="0" xfId="5" applyFont="1" applyAlignment="1">
      <alignment horizontal="center"/>
    </xf>
    <xf numFmtId="0" fontId="57" fillId="0" borderId="0" xfId="5" applyFont="1" applyAlignment="1">
      <alignment horizontal="center" vertical="center"/>
    </xf>
    <xf numFmtId="0" fontId="73" fillId="0" borderId="0" xfId="5" applyFont="1" applyAlignment="1">
      <alignment horizontal="center" vertical="center"/>
    </xf>
    <xf numFmtId="166" fontId="16" fillId="0" borderId="0" xfId="5" applyNumberFormat="1" applyFont="1" applyBorder="1" applyAlignment="1">
      <alignment horizontal="center"/>
    </xf>
    <xf numFmtId="2" fontId="51" fillId="0" borderId="1" xfId="7" applyNumberFormat="1" applyFont="1" applyBorder="1" applyAlignment="1">
      <alignment horizontal="right" vertical="center"/>
    </xf>
    <xf numFmtId="2" fontId="51" fillId="0" borderId="12" xfId="7" applyNumberFormat="1" applyFont="1" applyBorder="1" applyAlignment="1">
      <alignment horizontal="right" vertical="center"/>
    </xf>
    <xf numFmtId="3" fontId="65" fillId="0" borderId="13" xfId="5" applyNumberFormat="1" applyFont="1" applyBorder="1" applyAlignment="1">
      <alignment horizontal="center" vertical="center"/>
    </xf>
    <xf numFmtId="3" fontId="65" fillId="0" borderId="14" xfId="5" applyNumberFormat="1" applyFont="1" applyBorder="1" applyAlignment="1">
      <alignment horizontal="center" vertical="center"/>
    </xf>
    <xf numFmtId="3" fontId="179" fillId="0" borderId="0" xfId="5" applyNumberFormat="1" applyFont="1" applyAlignment="1">
      <alignment horizontal="center" vertical="top"/>
    </xf>
    <xf numFmtId="3" fontId="42" fillId="0" borderId="0" xfId="5" applyNumberFormat="1" applyFont="1" applyAlignment="1">
      <alignment horizontal="center"/>
    </xf>
    <xf numFmtId="166" fontId="92" fillId="0" borderId="0" xfId="5" applyNumberFormat="1" applyFont="1" applyAlignment="1">
      <alignment horizontal="center"/>
    </xf>
    <xf numFmtId="3" fontId="36" fillId="0" borderId="8" xfId="5" applyNumberFormat="1" applyFont="1" applyBorder="1" applyAlignment="1">
      <alignment horizontal="center" vertical="center" wrapText="1"/>
    </xf>
    <xf numFmtId="3" fontId="36" fillId="0" borderId="11" xfId="5" applyNumberFormat="1" applyFont="1" applyBorder="1" applyAlignment="1">
      <alignment horizontal="center" vertical="center" wrapText="1"/>
    </xf>
    <xf numFmtId="3" fontId="36" fillId="0" borderId="9" xfId="5" applyNumberFormat="1" applyFont="1" applyBorder="1" applyAlignment="1">
      <alignment horizontal="center" vertical="center" wrapText="1"/>
    </xf>
    <xf numFmtId="3" fontId="36" fillId="0" borderId="1" xfId="5" applyNumberFormat="1" applyFont="1" applyBorder="1" applyAlignment="1">
      <alignment horizontal="center" vertical="center" wrapText="1"/>
    </xf>
    <xf numFmtId="166" fontId="36" fillId="0" borderId="9" xfId="5" applyNumberFormat="1" applyFont="1" applyBorder="1" applyAlignment="1">
      <alignment horizontal="center" vertical="center"/>
    </xf>
    <xf numFmtId="3" fontId="36" fillId="0" borderId="10" xfId="5" applyNumberFormat="1" applyFont="1" applyBorder="1" applyAlignment="1">
      <alignment horizontal="center" vertical="center" wrapText="1"/>
    </xf>
    <xf numFmtId="3" fontId="36" fillId="0" borderId="12" xfId="5" applyNumberFormat="1" applyFont="1" applyBorder="1" applyAlignment="1">
      <alignment horizontal="center" vertical="center" wrapText="1"/>
    </xf>
    <xf numFmtId="3" fontId="92" fillId="0" borderId="0" xfId="5" applyNumberFormat="1" applyFont="1" applyBorder="1" applyAlignment="1">
      <alignment horizontal="center"/>
    </xf>
    <xf numFmtId="3" fontId="92" fillId="0" borderId="0" xfId="5" applyNumberFormat="1" applyFont="1" applyAlignment="1">
      <alignment horizontal="center"/>
    </xf>
    <xf numFmtId="3" fontId="42" fillId="0" borderId="0" xfId="5" applyNumberFormat="1" applyFont="1" applyBorder="1" applyAlignment="1">
      <alignment horizontal="center"/>
    </xf>
    <xf numFmtId="3" fontId="10" fillId="0" borderId="0" xfId="5" applyNumberFormat="1" applyFont="1" applyAlignment="1">
      <alignment horizontal="center"/>
    </xf>
    <xf numFmtId="0" fontId="48" fillId="0" borderId="0" xfId="5" applyFont="1" applyAlignment="1">
      <alignment horizontal="center" vertical="top"/>
    </xf>
    <xf numFmtId="0" fontId="7" fillId="0" borderId="0" xfId="5" applyFont="1" applyAlignment="1">
      <alignment horizontal="center" vertical="center"/>
    </xf>
    <xf numFmtId="0" fontId="42" fillId="0" borderId="0" xfId="5" applyFont="1" applyAlignment="1">
      <alignment horizontal="center"/>
    </xf>
    <xf numFmtId="0" fontId="10" fillId="0" borderId="0" xfId="5" applyFont="1" applyAlignment="1">
      <alignment horizontal="center" vertical="center"/>
    </xf>
    <xf numFmtId="0" fontId="49" fillId="0" borderId="0" xfId="5" applyFont="1" applyAlignment="1">
      <alignment horizontal="center"/>
    </xf>
    <xf numFmtId="0" fontId="40" fillId="0" borderId="0" xfId="5" applyFont="1" applyAlignment="1">
      <alignment horizontal="center" wrapText="1"/>
    </xf>
    <xf numFmtId="0" fontId="40" fillId="0" borderId="0" xfId="5" applyFont="1" applyAlignment="1">
      <alignment horizontal="center"/>
    </xf>
    <xf numFmtId="0" fontId="41" fillId="0" borderId="0" xfId="5" applyFont="1" applyAlignment="1">
      <alignment horizontal="center" vertical="top"/>
    </xf>
    <xf numFmtId="0" fontId="66" fillId="0" borderId="1" xfId="5" applyFont="1" applyBorder="1" applyAlignment="1">
      <alignment horizontal="center" vertical="center" wrapText="1"/>
    </xf>
    <xf numFmtId="0" fontId="38" fillId="0" borderId="1" xfId="5" applyFont="1" applyFill="1" applyBorder="1" applyAlignment="1">
      <alignment horizontal="center" vertical="center" wrapText="1"/>
    </xf>
    <xf numFmtId="0" fontId="16" fillId="0" borderId="1" xfId="5" applyFont="1" applyBorder="1" applyAlignment="1">
      <alignment horizontal="center" vertical="center" wrapText="1"/>
    </xf>
    <xf numFmtId="0" fontId="52" fillId="0" borderId="1" xfId="5" applyFont="1" applyBorder="1" applyAlignment="1">
      <alignment horizontal="center" vertical="center" wrapText="1"/>
    </xf>
    <xf numFmtId="0" fontId="195" fillId="0" borderId="0" xfId="5" applyFont="1" applyAlignment="1">
      <alignment horizontal="center" vertical="top"/>
    </xf>
    <xf numFmtId="0" fontId="34" fillId="0" borderId="9" xfId="5" applyFont="1" applyBorder="1" applyAlignment="1">
      <alignment horizontal="center" vertical="center" wrapText="1"/>
    </xf>
    <xf numFmtId="0" fontId="52" fillId="0" borderId="14" xfId="5" applyFont="1" applyBorder="1" applyAlignment="1">
      <alignment horizontal="center" vertical="center" wrapText="1"/>
    </xf>
    <xf numFmtId="0" fontId="3" fillId="0" borderId="2" xfId="5" applyFont="1" applyBorder="1" applyAlignment="1">
      <alignment horizontal="center" vertical="center"/>
    </xf>
    <xf numFmtId="0" fontId="3" fillId="0" borderId="3" xfId="5" applyFont="1" applyBorder="1" applyAlignment="1">
      <alignment horizontal="center" vertical="center"/>
    </xf>
    <xf numFmtId="0" fontId="57" fillId="0" borderId="0" xfId="5" applyFont="1" applyAlignment="1">
      <alignment horizontal="center" vertical="top" wrapText="1"/>
    </xf>
    <xf numFmtId="0" fontId="57" fillId="0" borderId="0" xfId="5" applyFont="1" applyAlignment="1">
      <alignment horizontal="center" vertical="top"/>
    </xf>
    <xf numFmtId="0" fontId="83" fillId="0" borderId="0" xfId="6" applyFont="1" applyFill="1" applyAlignment="1">
      <alignment horizontal="center" vertical="center"/>
    </xf>
    <xf numFmtId="0" fontId="57" fillId="0" borderId="0" xfId="5" applyFont="1" applyAlignment="1">
      <alignment horizontal="center"/>
    </xf>
    <xf numFmtId="0" fontId="62" fillId="0" borderId="0" xfId="5" applyFont="1" applyAlignment="1">
      <alignment horizontal="center"/>
    </xf>
    <xf numFmtId="0" fontId="83" fillId="0" borderId="0" xfId="5" applyFont="1" applyFill="1" applyAlignment="1">
      <alignment horizontal="center" vertical="center" wrapText="1"/>
    </xf>
    <xf numFmtId="0" fontId="83" fillId="0" borderId="0" xfId="5" applyFont="1" applyFill="1" applyAlignment="1">
      <alignment horizontal="center" vertical="center"/>
    </xf>
    <xf numFmtId="0" fontId="2" fillId="0" borderId="0" xfId="6" applyFont="1" applyFill="1" applyAlignment="1">
      <alignment horizontal="center" vertical="center"/>
    </xf>
    <xf numFmtId="0" fontId="68" fillId="0" borderId="0" xfId="5" applyFont="1" applyAlignment="1">
      <alignment horizontal="center"/>
    </xf>
    <xf numFmtId="169" fontId="36" fillId="0" borderId="1" xfId="6" applyNumberFormat="1" applyFont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0" fontId="2" fillId="0" borderId="0" xfId="6" applyFont="1" applyFill="1" applyAlignment="1">
      <alignment horizontal="center" vertical="center" wrapText="1"/>
    </xf>
    <xf numFmtId="0" fontId="4" fillId="0" borderId="0" xfId="6" applyFont="1" applyAlignment="1">
      <alignment horizontal="center" vertical="center"/>
    </xf>
    <xf numFmtId="0" fontId="37" fillId="0" borderId="2" xfId="5" applyFont="1" applyBorder="1" applyAlignment="1">
      <alignment horizontal="center"/>
    </xf>
    <xf numFmtId="0" fontId="37" fillId="0" borderId="5" xfId="5" applyFont="1" applyBorder="1" applyAlignment="1">
      <alignment horizontal="center"/>
    </xf>
    <xf numFmtId="3" fontId="65" fillId="0" borderId="0" xfId="5" applyNumberFormat="1" applyFont="1" applyAlignment="1">
      <alignment horizontal="center"/>
    </xf>
    <xf numFmtId="0" fontId="36" fillId="0" borderId="1" xfId="6" applyFont="1" applyBorder="1" applyAlignment="1">
      <alignment horizontal="center" vertical="center" wrapText="1"/>
    </xf>
    <xf numFmtId="0" fontId="36" fillId="0" borderId="1" xfId="6" applyFont="1" applyBorder="1" applyAlignment="1">
      <alignment horizontal="center" vertical="center"/>
    </xf>
    <xf numFmtId="0" fontId="95" fillId="0" borderId="1" xfId="6" applyFont="1" applyBorder="1" applyAlignment="1">
      <alignment horizontal="center" vertical="center" wrapText="1"/>
    </xf>
    <xf numFmtId="169" fontId="95" fillId="0" borderId="1" xfId="6" applyNumberFormat="1" applyFont="1" applyBorder="1" applyAlignment="1">
      <alignment horizontal="center" vertical="center" wrapText="1"/>
    </xf>
    <xf numFmtId="0" fontId="2" fillId="0" borderId="0" xfId="5" applyFont="1" applyAlignment="1">
      <alignment horizontal="center" vertical="center"/>
    </xf>
    <xf numFmtId="0" fontId="62" fillId="0" borderId="0" xfId="0" applyFont="1" applyFill="1" applyAlignment="1">
      <alignment horizontal="center"/>
    </xf>
    <xf numFmtId="0" fontId="64" fillId="0" borderId="0" xfId="6" applyFont="1" applyFill="1" applyAlignment="1">
      <alignment horizontal="center" vertical="center" wrapText="1"/>
    </xf>
    <xf numFmtId="0" fontId="64" fillId="0" borderId="0" xfId="6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3" fontId="48" fillId="0" borderId="1" xfId="0" applyNumberFormat="1" applyFont="1" applyBorder="1" applyAlignment="1">
      <alignment horizontal="center" vertical="center" wrapText="1"/>
    </xf>
    <xf numFmtId="173" fontId="48" fillId="0" borderId="1" xfId="0" applyNumberFormat="1" applyFont="1" applyBorder="1" applyAlignment="1">
      <alignment horizontal="center" vertical="center"/>
    </xf>
    <xf numFmtId="3" fontId="48" fillId="0" borderId="1" xfId="0" applyNumberFormat="1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3" fontId="2" fillId="0" borderId="0" xfId="0" applyNumberFormat="1" applyFont="1" applyAlignment="1">
      <alignment horizontal="center"/>
    </xf>
    <xf numFmtId="0" fontId="78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65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/>
    </xf>
    <xf numFmtId="0" fontId="16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6" fillId="0" borderId="0" xfId="0" applyFont="1" applyAlignment="1">
      <alignment horizontal="center"/>
    </xf>
    <xf numFmtId="0" fontId="74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4" fillId="3" borderId="0" xfId="0" applyFont="1" applyFill="1" applyAlignment="1">
      <alignment vertical="top"/>
    </xf>
  </cellXfs>
  <cellStyles count="10">
    <cellStyle name="Comma 10" xfId="1"/>
    <cellStyle name="Comma 2" xfId="2"/>
    <cellStyle name="Comma 3" xfId="3"/>
    <cellStyle name="Comma 4" xfId="9"/>
    <cellStyle name="Normal" xfId="0" builtinId="0"/>
    <cellStyle name="Normal 2" xfId="4"/>
    <cellStyle name="Normal 2 2" xfId="7"/>
    <cellStyle name="Normal 2 3 2" xfId="5"/>
    <cellStyle name="Normal 2 3 2 2" xfId="8"/>
    <cellStyle name="Normal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546848</xdr:colOff>
      <xdr:row>4</xdr:row>
      <xdr:rowOff>6164</xdr:rowOff>
    </xdr:from>
    <xdr:to>
      <xdr:col>8</xdr:col>
      <xdr:colOff>200025</xdr:colOff>
      <xdr:row>4</xdr:row>
      <xdr:rowOff>6164</xdr:rowOff>
    </xdr:to>
    <xdr:cxnSp macro="">
      <xdr:nvCxnSpPr>
        <xdr:cNvPr id="2" name="Straight Connector 1"/>
        <xdr:cNvCxnSpPr/>
      </xdr:nvCxnSpPr>
      <xdr:spPr>
        <a:xfrm>
          <a:off x="5871210" y="1271270"/>
          <a:ext cx="193929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1156447</xdr:colOff>
      <xdr:row>4</xdr:row>
      <xdr:rowOff>71717</xdr:rowOff>
    </xdr:from>
    <xdr:to>
      <xdr:col>1</xdr:col>
      <xdr:colOff>2427642</xdr:colOff>
      <xdr:row>4</xdr:row>
      <xdr:rowOff>73062</xdr:rowOff>
    </xdr:to>
    <xdr:cxnSp macro="">
      <xdr:nvCxnSpPr>
        <xdr:cNvPr id="3" name="Straight Connector 2"/>
        <xdr:cNvCxnSpPr/>
      </xdr:nvCxnSpPr>
      <xdr:spPr>
        <a:xfrm>
          <a:off x="1200150" y="1336675"/>
          <a:ext cx="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</xdr:row>
      <xdr:rowOff>196215</xdr:rowOff>
    </xdr:from>
    <xdr:to>
      <xdr:col>3</xdr:col>
      <xdr:colOff>666750</xdr:colOff>
      <xdr:row>3</xdr:row>
      <xdr:rowOff>196215</xdr:rowOff>
    </xdr:to>
    <xdr:cxnSp macro="">
      <xdr:nvCxnSpPr>
        <xdr:cNvPr id="4" name="Straight Connector 3"/>
        <xdr:cNvCxnSpPr/>
      </xdr:nvCxnSpPr>
      <xdr:spPr>
        <a:xfrm>
          <a:off x="1333500" y="1263650"/>
          <a:ext cx="14097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1156447</xdr:colOff>
      <xdr:row>4</xdr:row>
      <xdr:rowOff>71717</xdr:rowOff>
    </xdr:from>
    <xdr:to>
      <xdr:col>1</xdr:col>
      <xdr:colOff>2427642</xdr:colOff>
      <xdr:row>4</xdr:row>
      <xdr:rowOff>73062</xdr:rowOff>
    </xdr:to>
    <xdr:cxnSp macro="">
      <xdr:nvCxnSpPr>
        <xdr:cNvPr id="5" name="Straight Connector 4"/>
        <xdr:cNvCxnSpPr/>
      </xdr:nvCxnSpPr>
      <xdr:spPr>
        <a:xfrm>
          <a:off x="1200150" y="1336675"/>
          <a:ext cx="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1008530</xdr:colOff>
      <xdr:row>5</xdr:row>
      <xdr:rowOff>12101</xdr:rowOff>
    </xdr:from>
    <xdr:to>
      <xdr:col>1</xdr:col>
      <xdr:colOff>2185148</xdr:colOff>
      <xdr:row>5</xdr:row>
      <xdr:rowOff>12101</xdr:rowOff>
    </xdr:to>
    <xdr:cxnSp macro="">
      <xdr:nvCxnSpPr>
        <xdr:cNvPr id="2" name="Straight Connector 1"/>
        <xdr:cNvCxnSpPr/>
      </xdr:nvCxnSpPr>
      <xdr:spPr>
        <a:xfrm>
          <a:off x="1445559" y="1155101"/>
          <a:ext cx="1176618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696894</xdr:colOff>
      <xdr:row>5</xdr:row>
      <xdr:rowOff>17930</xdr:rowOff>
    </xdr:from>
    <xdr:to>
      <xdr:col>8</xdr:col>
      <xdr:colOff>560294</xdr:colOff>
      <xdr:row>5</xdr:row>
      <xdr:rowOff>17930</xdr:rowOff>
    </xdr:to>
    <xdr:cxnSp macro="">
      <xdr:nvCxnSpPr>
        <xdr:cNvPr id="3" name="Straight Connector 2"/>
        <xdr:cNvCxnSpPr/>
      </xdr:nvCxnSpPr>
      <xdr:spPr>
        <a:xfrm>
          <a:off x="7811770" y="1130300"/>
          <a:ext cx="1911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101925</xdr:colOff>
      <xdr:row>3</xdr:row>
      <xdr:rowOff>86354</xdr:rowOff>
    </xdr:from>
    <xdr:to>
      <xdr:col>47</xdr:col>
      <xdr:colOff>466166</xdr:colOff>
      <xdr:row>3</xdr:row>
      <xdr:rowOff>86354</xdr:rowOff>
    </xdr:to>
    <xdr:cxnSp macro="">
      <xdr:nvCxnSpPr>
        <xdr:cNvPr id="2" name="Straight Connector 1"/>
        <xdr:cNvCxnSpPr/>
      </xdr:nvCxnSpPr>
      <xdr:spPr>
        <a:xfrm>
          <a:off x="27200550" y="953129"/>
          <a:ext cx="1735841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0</xdr:colOff>
      <xdr:row>21</xdr:row>
      <xdr:rowOff>0</xdr:rowOff>
    </xdr:from>
    <xdr:to>
      <xdr:col>38</xdr:col>
      <xdr:colOff>304800</xdr:colOff>
      <xdr:row>22</xdr:row>
      <xdr:rowOff>42024</xdr:rowOff>
    </xdr:to>
    <xdr:sp macro="" textlink="">
      <xdr:nvSpPr>
        <xdr:cNvPr id="3" name="AutoShape 533"/>
        <xdr:cNvSpPr>
          <a:spLocks noChangeAspect="1" noChangeArrowheads="1"/>
        </xdr:cNvSpPr>
      </xdr:nvSpPr>
      <xdr:spPr bwMode="auto">
        <a:xfrm>
          <a:off x="22298025" y="7562850"/>
          <a:ext cx="304800" cy="423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90</xdr:row>
      <xdr:rowOff>0</xdr:rowOff>
    </xdr:from>
    <xdr:to>
      <xdr:col>38</xdr:col>
      <xdr:colOff>304800</xdr:colOff>
      <xdr:row>91</xdr:row>
      <xdr:rowOff>307710</xdr:rowOff>
    </xdr:to>
    <xdr:sp macro="" textlink="">
      <xdr:nvSpPr>
        <xdr:cNvPr id="4" name="AutoShape 533"/>
        <xdr:cNvSpPr>
          <a:spLocks noChangeAspect="1" noChangeArrowheads="1"/>
        </xdr:cNvSpPr>
      </xdr:nvSpPr>
      <xdr:spPr bwMode="auto">
        <a:xfrm>
          <a:off x="22298025" y="34775775"/>
          <a:ext cx="304800" cy="688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318225</xdr:rowOff>
    </xdr:to>
    <xdr:sp macro="" textlink="">
      <xdr:nvSpPr>
        <xdr:cNvPr id="5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0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326992</xdr:rowOff>
    </xdr:to>
    <xdr:sp macro="" textlink="">
      <xdr:nvSpPr>
        <xdr:cNvPr id="6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9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33618</xdr:colOff>
      <xdr:row>4</xdr:row>
      <xdr:rowOff>1969</xdr:rowOff>
    </xdr:from>
    <xdr:to>
      <xdr:col>2</xdr:col>
      <xdr:colOff>1042147</xdr:colOff>
      <xdr:row>4</xdr:row>
      <xdr:rowOff>1969</xdr:rowOff>
    </xdr:to>
    <xdr:cxnSp macro="">
      <xdr:nvCxnSpPr>
        <xdr:cNvPr id="7" name="Straight Connector 6"/>
        <xdr:cNvCxnSpPr/>
      </xdr:nvCxnSpPr>
      <xdr:spPr>
        <a:xfrm>
          <a:off x="1424268" y="1068769"/>
          <a:ext cx="100852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326992</xdr:rowOff>
    </xdr:to>
    <xdr:sp macro="" textlink="">
      <xdr:nvSpPr>
        <xdr:cNvPr id="8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9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321148</xdr:rowOff>
    </xdr:to>
    <xdr:sp macro="" textlink="">
      <xdr:nvSpPr>
        <xdr:cNvPr id="9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673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97834</xdr:rowOff>
    </xdr:to>
    <xdr:sp macro="" textlink="">
      <xdr:nvSpPr>
        <xdr:cNvPr id="10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0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106190</xdr:rowOff>
    </xdr:to>
    <xdr:sp macro="" textlink="">
      <xdr:nvSpPr>
        <xdr:cNvPr id="11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8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98396</xdr:rowOff>
    </xdr:to>
    <xdr:sp macro="" textlink="">
      <xdr:nvSpPr>
        <xdr:cNvPr id="12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42</xdr:col>
      <xdr:colOff>307427</xdr:colOff>
      <xdr:row>5</xdr:row>
      <xdr:rowOff>26445</xdr:rowOff>
    </xdr:from>
    <xdr:to>
      <xdr:col>45</xdr:col>
      <xdr:colOff>3267</xdr:colOff>
      <xdr:row>5</xdr:row>
      <xdr:rowOff>26461</xdr:rowOff>
    </xdr:to>
    <xdr:cxnSp macro="">
      <xdr:nvCxnSpPr>
        <xdr:cNvPr id="13" name="Straight Connector 12"/>
        <xdr:cNvCxnSpPr/>
      </xdr:nvCxnSpPr>
      <xdr:spPr>
        <a:xfrm>
          <a:off x="25348652" y="1302795"/>
          <a:ext cx="1753240" cy="1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98396</xdr:rowOff>
    </xdr:to>
    <xdr:sp macro="" textlink="">
      <xdr:nvSpPr>
        <xdr:cNvPr id="14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508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38</xdr:col>
      <xdr:colOff>0</xdr:colOff>
      <xdr:row>83</xdr:row>
      <xdr:rowOff>0</xdr:rowOff>
    </xdr:from>
    <xdr:to>
      <xdr:col>38</xdr:col>
      <xdr:colOff>304800</xdr:colOff>
      <xdr:row>84</xdr:row>
      <xdr:rowOff>92548</xdr:rowOff>
    </xdr:to>
    <xdr:sp macro="" textlink="">
      <xdr:nvSpPr>
        <xdr:cNvPr id="15" name="AutoShape 533"/>
        <xdr:cNvSpPr>
          <a:spLocks noChangeAspect="1" noChangeArrowheads="1"/>
        </xdr:cNvSpPr>
      </xdr:nvSpPr>
      <xdr:spPr bwMode="auto">
        <a:xfrm>
          <a:off x="22298025" y="32194500"/>
          <a:ext cx="304800" cy="44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99</xdr:row>
      <xdr:rowOff>0</xdr:rowOff>
    </xdr:from>
    <xdr:to>
      <xdr:col>39</xdr:col>
      <xdr:colOff>304800</xdr:colOff>
      <xdr:row>100</xdr:row>
      <xdr:rowOff>124943</xdr:rowOff>
    </xdr:to>
    <xdr:sp macro="" textlink="">
      <xdr:nvSpPr>
        <xdr:cNvPr id="16" name="AutoShape 533"/>
        <xdr:cNvSpPr>
          <a:spLocks noChangeAspect="1" noChangeArrowheads="1"/>
        </xdr:cNvSpPr>
      </xdr:nvSpPr>
      <xdr:spPr bwMode="auto">
        <a:xfrm>
          <a:off x="22983825" y="38090475"/>
          <a:ext cx="304800" cy="401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83</xdr:row>
      <xdr:rowOff>0</xdr:rowOff>
    </xdr:from>
    <xdr:to>
      <xdr:col>39</xdr:col>
      <xdr:colOff>304800</xdr:colOff>
      <xdr:row>105</xdr:row>
      <xdr:rowOff>98830</xdr:rowOff>
    </xdr:to>
    <xdr:sp macro="" textlink="">
      <xdr:nvSpPr>
        <xdr:cNvPr id="17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7499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83</xdr:row>
      <xdr:rowOff>0</xdr:rowOff>
    </xdr:from>
    <xdr:to>
      <xdr:col>39</xdr:col>
      <xdr:colOff>304800</xdr:colOff>
      <xdr:row>92</xdr:row>
      <xdr:rowOff>45551</xdr:rowOff>
    </xdr:to>
    <xdr:sp macro="" textlink="">
      <xdr:nvSpPr>
        <xdr:cNvPr id="18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3388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83</xdr:row>
      <xdr:rowOff>0</xdr:rowOff>
    </xdr:from>
    <xdr:to>
      <xdr:col>39</xdr:col>
      <xdr:colOff>304800</xdr:colOff>
      <xdr:row>92</xdr:row>
      <xdr:rowOff>350158</xdr:rowOff>
    </xdr:to>
    <xdr:sp macro="" textlink="">
      <xdr:nvSpPr>
        <xdr:cNvPr id="19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36934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39</xdr:col>
      <xdr:colOff>0</xdr:colOff>
      <xdr:row>83</xdr:row>
      <xdr:rowOff>0</xdr:rowOff>
    </xdr:from>
    <xdr:to>
      <xdr:col>39</xdr:col>
      <xdr:colOff>304800</xdr:colOff>
      <xdr:row>94</xdr:row>
      <xdr:rowOff>211334</xdr:rowOff>
    </xdr:to>
    <xdr:sp macro="" textlink="">
      <xdr:nvSpPr>
        <xdr:cNvPr id="20" name="AutoShape 533"/>
        <xdr:cNvSpPr>
          <a:spLocks noChangeAspect="1" noChangeArrowheads="1"/>
        </xdr:cNvSpPr>
      </xdr:nvSpPr>
      <xdr:spPr bwMode="auto">
        <a:xfrm>
          <a:off x="22983825" y="32194500"/>
          <a:ext cx="304800" cy="4316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326993</xdr:rowOff>
    </xdr:to>
    <xdr:sp macro="" textlink="">
      <xdr:nvSpPr>
        <xdr:cNvPr id="2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79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111597</xdr:rowOff>
    </xdr:to>
    <xdr:sp macro="" textlink="">
      <xdr:nvSpPr>
        <xdr:cNvPr id="2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111597</xdr:rowOff>
    </xdr:to>
    <xdr:sp macro="" textlink="">
      <xdr:nvSpPr>
        <xdr:cNvPr id="2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134764</xdr:rowOff>
    </xdr:to>
    <xdr:sp macro="" textlink="">
      <xdr:nvSpPr>
        <xdr:cNvPr id="2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87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85</xdr:row>
      <xdr:rowOff>64144</xdr:rowOff>
    </xdr:to>
    <xdr:sp macro="" textlink="">
      <xdr:nvSpPr>
        <xdr:cNvPr id="2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689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121121</xdr:rowOff>
    </xdr:to>
    <xdr:sp macro="" textlink="">
      <xdr:nvSpPr>
        <xdr:cNvPr id="2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121121</xdr:rowOff>
    </xdr:to>
    <xdr:sp macro="" textlink="">
      <xdr:nvSpPr>
        <xdr:cNvPr id="2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163339</xdr:rowOff>
    </xdr:to>
    <xdr:sp macro="" textlink="">
      <xdr:nvSpPr>
        <xdr:cNvPr id="2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51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742950</xdr:colOff>
      <xdr:row>84</xdr:row>
      <xdr:rowOff>279368</xdr:rowOff>
    </xdr:to>
    <xdr:sp macro="" textlink="">
      <xdr:nvSpPr>
        <xdr:cNvPr id="2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31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676274"/>
    <xdr:sp macro="" textlink="">
      <xdr:nvSpPr>
        <xdr:cNvPr id="3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7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3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4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5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326993</xdr:rowOff>
    </xdr:to>
    <xdr:sp macro="" textlink="">
      <xdr:nvSpPr>
        <xdr:cNvPr id="58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679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111597</xdr:rowOff>
    </xdr:to>
    <xdr:sp macro="" textlink="">
      <xdr:nvSpPr>
        <xdr:cNvPr id="59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111597</xdr:rowOff>
    </xdr:to>
    <xdr:sp macro="" textlink="">
      <xdr:nvSpPr>
        <xdr:cNvPr id="60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6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134764</xdr:rowOff>
    </xdr:to>
    <xdr:sp macro="" textlink="">
      <xdr:nvSpPr>
        <xdr:cNvPr id="61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87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85</xdr:row>
      <xdr:rowOff>64144</xdr:rowOff>
    </xdr:to>
    <xdr:sp macro="" textlink="">
      <xdr:nvSpPr>
        <xdr:cNvPr id="62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7689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121121</xdr:rowOff>
    </xdr:to>
    <xdr:sp macro="" textlink="">
      <xdr:nvSpPr>
        <xdr:cNvPr id="63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121121</xdr:rowOff>
    </xdr:to>
    <xdr:sp macro="" textlink="">
      <xdr:nvSpPr>
        <xdr:cNvPr id="64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473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163339</xdr:rowOff>
    </xdr:to>
    <xdr:sp macro="" textlink="">
      <xdr:nvSpPr>
        <xdr:cNvPr id="65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515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736146</xdr:colOff>
      <xdr:row>84</xdr:row>
      <xdr:rowOff>279368</xdr:rowOff>
    </xdr:to>
    <xdr:sp macro="" textlink="">
      <xdr:nvSpPr>
        <xdr:cNvPr id="66" name="AutoShape 533"/>
        <xdr:cNvSpPr>
          <a:spLocks noChangeAspect="1" noChangeArrowheads="1"/>
        </xdr:cNvSpPr>
      </xdr:nvSpPr>
      <xdr:spPr bwMode="auto">
        <a:xfrm>
          <a:off x="11049000" y="32194500"/>
          <a:ext cx="736146" cy="631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6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6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6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676274"/>
    <xdr:sp macro="" textlink="">
      <xdr:nvSpPr>
        <xdr:cNvPr id="7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67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7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5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6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7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8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89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90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91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92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93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83</xdr:row>
      <xdr:rowOff>0</xdr:rowOff>
    </xdr:from>
    <xdr:ext cx="742950" cy="704850"/>
    <xdr:sp macro="" textlink="">
      <xdr:nvSpPr>
        <xdr:cNvPr id="94" name="AutoShape 533"/>
        <xdr:cNvSpPr>
          <a:spLocks noChangeAspect="1" noChangeArrowheads="1"/>
        </xdr:cNvSpPr>
      </xdr:nvSpPr>
      <xdr:spPr bwMode="auto">
        <a:xfrm>
          <a:off x="11049000" y="32194500"/>
          <a:ext cx="7429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17</xdr:col>
      <xdr:colOff>179294</xdr:colOff>
      <xdr:row>4</xdr:row>
      <xdr:rowOff>11206</xdr:rowOff>
    </xdr:from>
    <xdr:to>
      <xdr:col>21</xdr:col>
      <xdr:colOff>806823</xdr:colOff>
      <xdr:row>4</xdr:row>
      <xdr:rowOff>11206</xdr:rowOff>
    </xdr:to>
    <xdr:cxnSp macro="">
      <xdr:nvCxnSpPr>
        <xdr:cNvPr id="95" name="Straight Connector 94"/>
        <xdr:cNvCxnSpPr/>
      </xdr:nvCxnSpPr>
      <xdr:spPr>
        <a:xfrm>
          <a:off x="8695765" y="1086971"/>
          <a:ext cx="215152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1443718</xdr:colOff>
      <xdr:row>4</xdr:row>
      <xdr:rowOff>5716</xdr:rowOff>
    </xdr:from>
    <xdr:to>
      <xdr:col>1</xdr:col>
      <xdr:colOff>2720068</xdr:colOff>
      <xdr:row>4</xdr:row>
      <xdr:rowOff>5716</xdr:rowOff>
    </xdr:to>
    <xdr:cxnSp macro="">
      <xdr:nvCxnSpPr>
        <xdr:cNvPr id="2" name="Straight Connector 1"/>
        <xdr:cNvCxnSpPr/>
      </xdr:nvCxnSpPr>
      <xdr:spPr>
        <a:xfrm>
          <a:off x="2015218" y="1224916"/>
          <a:ext cx="12763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1238250</xdr:colOff>
      <xdr:row>3</xdr:row>
      <xdr:rowOff>240574</xdr:rowOff>
    </xdr:from>
    <xdr:to>
      <xdr:col>6</xdr:col>
      <xdr:colOff>789214</xdr:colOff>
      <xdr:row>3</xdr:row>
      <xdr:rowOff>240574</xdr:rowOff>
    </xdr:to>
    <xdr:cxnSp macro="">
      <xdr:nvCxnSpPr>
        <xdr:cNvPr id="3" name="Straight Connector 2"/>
        <xdr:cNvCxnSpPr/>
      </xdr:nvCxnSpPr>
      <xdr:spPr>
        <a:xfrm>
          <a:off x="8763000" y="1221649"/>
          <a:ext cx="228463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129480</xdr:colOff>
      <xdr:row>55</xdr:row>
      <xdr:rowOff>6018</xdr:rowOff>
    </xdr:from>
    <xdr:to>
      <xdr:col>2</xdr:col>
      <xdr:colOff>1315629</xdr:colOff>
      <xdr:row>55</xdr:row>
      <xdr:rowOff>6980</xdr:rowOff>
    </xdr:to>
    <xdr:cxnSp macro="">
      <xdr:nvCxnSpPr>
        <xdr:cNvPr id="2" name="Straight Connector 1"/>
        <xdr:cNvCxnSpPr/>
      </xdr:nvCxnSpPr>
      <xdr:spPr>
        <a:xfrm flipV="1">
          <a:off x="1443930" y="11426493"/>
          <a:ext cx="1186149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49185</xdr:colOff>
      <xdr:row>171</xdr:row>
      <xdr:rowOff>196679</xdr:rowOff>
    </xdr:from>
    <xdr:to>
      <xdr:col>2</xdr:col>
      <xdr:colOff>1154207</xdr:colOff>
      <xdr:row>171</xdr:row>
      <xdr:rowOff>196679</xdr:rowOff>
    </xdr:to>
    <xdr:cxnSp macro="">
      <xdr:nvCxnSpPr>
        <xdr:cNvPr id="3" name="Straight Connector 2"/>
        <xdr:cNvCxnSpPr/>
      </xdr:nvCxnSpPr>
      <xdr:spPr>
        <a:xfrm>
          <a:off x="1363635" y="41668529"/>
          <a:ext cx="110502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49185</xdr:colOff>
      <xdr:row>3</xdr:row>
      <xdr:rowOff>257909</xdr:rowOff>
    </xdr:from>
    <xdr:to>
      <xdr:col>2</xdr:col>
      <xdr:colOff>1109267</xdr:colOff>
      <xdr:row>3</xdr:row>
      <xdr:rowOff>258871</xdr:rowOff>
    </xdr:to>
    <xdr:cxnSp macro="">
      <xdr:nvCxnSpPr>
        <xdr:cNvPr id="4" name="Straight Connector 3"/>
        <xdr:cNvCxnSpPr/>
      </xdr:nvCxnSpPr>
      <xdr:spPr>
        <a:xfrm flipV="1">
          <a:off x="1363635" y="1296134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206067</xdr:colOff>
      <xdr:row>92</xdr:row>
      <xdr:rowOff>196679</xdr:rowOff>
    </xdr:from>
    <xdr:to>
      <xdr:col>2</xdr:col>
      <xdr:colOff>1311089</xdr:colOff>
      <xdr:row>92</xdr:row>
      <xdr:rowOff>196679</xdr:rowOff>
    </xdr:to>
    <xdr:cxnSp macro="">
      <xdr:nvCxnSpPr>
        <xdr:cNvPr id="5" name="Straight Connector 4"/>
        <xdr:cNvCxnSpPr/>
      </xdr:nvCxnSpPr>
      <xdr:spPr>
        <a:xfrm>
          <a:off x="1520517" y="21542204"/>
          <a:ext cx="110502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194861</xdr:colOff>
      <xdr:row>215</xdr:row>
      <xdr:rowOff>16423</xdr:rowOff>
    </xdr:from>
    <xdr:to>
      <xdr:col>2</xdr:col>
      <xdr:colOff>1254943</xdr:colOff>
      <xdr:row>215</xdr:row>
      <xdr:rowOff>17385</xdr:rowOff>
    </xdr:to>
    <xdr:cxnSp macro="">
      <xdr:nvCxnSpPr>
        <xdr:cNvPr id="6" name="Straight Connector 5"/>
        <xdr:cNvCxnSpPr/>
      </xdr:nvCxnSpPr>
      <xdr:spPr>
        <a:xfrm flipV="1">
          <a:off x="1509311" y="51470473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194861</xdr:colOff>
      <xdr:row>129</xdr:row>
      <xdr:rowOff>16423</xdr:rowOff>
    </xdr:from>
    <xdr:to>
      <xdr:col>2</xdr:col>
      <xdr:colOff>1254943</xdr:colOff>
      <xdr:row>129</xdr:row>
      <xdr:rowOff>17385</xdr:rowOff>
    </xdr:to>
    <xdr:cxnSp macro="">
      <xdr:nvCxnSpPr>
        <xdr:cNvPr id="7" name="Straight Connector 6"/>
        <xdr:cNvCxnSpPr/>
      </xdr:nvCxnSpPr>
      <xdr:spPr>
        <a:xfrm flipV="1">
          <a:off x="1509311" y="31582273"/>
          <a:ext cx="1060082" cy="962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771169</xdr:colOff>
      <xdr:row>3</xdr:row>
      <xdr:rowOff>265784</xdr:rowOff>
    </xdr:from>
    <xdr:to>
      <xdr:col>4</xdr:col>
      <xdr:colOff>19000</xdr:colOff>
      <xdr:row>3</xdr:row>
      <xdr:rowOff>265784</xdr:rowOff>
    </xdr:to>
    <xdr:cxnSp macro="">
      <xdr:nvCxnSpPr>
        <xdr:cNvPr id="2" name="Straight Connector 1"/>
        <xdr:cNvCxnSpPr/>
      </xdr:nvCxnSpPr>
      <xdr:spPr>
        <a:xfrm>
          <a:off x="2057044" y="722984"/>
          <a:ext cx="70515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449037</xdr:colOff>
      <xdr:row>3</xdr:row>
      <xdr:rowOff>257051</xdr:rowOff>
    </xdr:from>
    <xdr:to>
      <xdr:col>19</xdr:col>
      <xdr:colOff>392206</xdr:colOff>
      <xdr:row>3</xdr:row>
      <xdr:rowOff>257051</xdr:rowOff>
    </xdr:to>
    <xdr:cxnSp macro="">
      <xdr:nvCxnSpPr>
        <xdr:cNvPr id="3" name="Straight Connector 2"/>
        <xdr:cNvCxnSpPr/>
      </xdr:nvCxnSpPr>
      <xdr:spPr>
        <a:xfrm>
          <a:off x="10736037" y="723776"/>
          <a:ext cx="268636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11206</xdr:colOff>
      <xdr:row>4</xdr:row>
      <xdr:rowOff>3328</xdr:rowOff>
    </xdr:from>
    <xdr:to>
      <xdr:col>18</xdr:col>
      <xdr:colOff>190500</xdr:colOff>
      <xdr:row>4</xdr:row>
      <xdr:rowOff>3328</xdr:rowOff>
    </xdr:to>
    <xdr:cxnSp macro="">
      <xdr:nvCxnSpPr>
        <xdr:cNvPr id="2" name="Straight Connector 1"/>
        <xdr:cNvCxnSpPr/>
      </xdr:nvCxnSpPr>
      <xdr:spPr>
        <a:xfrm>
          <a:off x="12023912" y="1179946"/>
          <a:ext cx="2017059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822949</xdr:colOff>
      <xdr:row>4</xdr:row>
      <xdr:rowOff>14935</xdr:rowOff>
    </xdr:from>
    <xdr:to>
      <xdr:col>2</xdr:col>
      <xdr:colOff>1230971</xdr:colOff>
      <xdr:row>4</xdr:row>
      <xdr:rowOff>14935</xdr:rowOff>
    </xdr:to>
    <xdr:cxnSp macro="">
      <xdr:nvCxnSpPr>
        <xdr:cNvPr id="3" name="Straight Connector 2"/>
        <xdr:cNvCxnSpPr/>
      </xdr:nvCxnSpPr>
      <xdr:spPr>
        <a:xfrm>
          <a:off x="1416861" y="1191553"/>
          <a:ext cx="133811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2025\LUONG%20CN%20TT\THANG%207\B&#7842;NG%20L&#431;&#416;NG%20%20CN%20XUONG%20CHE%20BIEN%20D1%20-TH&#193;NG%20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Doc%20so%20thanh%20chu%20tieng%20Campuchi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AppData\Local\Temp\Zalo%20Temp\TempDownloads\BTH%20KHOI%20LUONG%20%20D1%20-%20THANG%201-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HA%20MAY\2025\LUONG%20CN%20TT\THANG%2012\B&#7842;NG%20L&#431;&#416;NG%20%20CN%20XUONG%20CHE%20BIEN%20D1%20-TH&#193;NG%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D D1t6"/>
      <sheetName val="BPTL D1T6 "/>
      <sheetName val="BCC D1 (26)"/>
      <sheetName val="KL mủ TPto1"/>
      <sheetName val="KL mu TP to2"/>
      <sheetName val="BKECHITIET TO1"/>
      <sheetName val="BKECHITIET TO1 (tp)"/>
      <sheetName val="BKECHITIET TO2"/>
      <sheetName val="BKECHITIET TO2 (TP)"/>
      <sheetName val="BPHAN CHIA "/>
      <sheetName val="BTHKL D1 T7 (26)"/>
      <sheetName val="TTL dot 1 (31948)"/>
      <sheetName val="KLCN t7 dot 1"/>
    </sheetNames>
    <sheetDataSet>
      <sheetData sheetId="0" refreshError="1"/>
      <sheetData sheetId="1"/>
      <sheetData sheetId="2">
        <row r="19">
          <cell r="V19">
            <v>11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84">
          <cell r="G84">
            <v>48911815</v>
          </cell>
          <cell r="I84">
            <v>0</v>
          </cell>
        </row>
      </sheetData>
      <sheetData sheetId="12">
        <row r="13">
          <cell r="Z13">
            <v>13.11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8">
          <cell r="N8" t="str">
            <v>ប្រាំបីពាន់ ដប់ប្រាំបួនដុល្លារអាមេរិក និងដប់សេនគត់។</v>
          </cell>
        </row>
        <row r="9">
          <cell r="N9" t="str">
            <v>ម្ភៃប្រាំពីរលាន បីរយម្ភៃប្រាំមួយពាន់ បីរយបួនរៀលគត់។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 D1"/>
      <sheetName val="BCC D1(26)"/>
      <sheetName val="BTHKL D1 T1"/>
      <sheetName val="BTHKL D1 T1 (26)"/>
      <sheetName val="KL mủ TPto1"/>
      <sheetName val="KL mu TP to2"/>
      <sheetName val="BPHAN CHIA "/>
      <sheetName val="BKECHITIET TO1"/>
      <sheetName val="BKECHITIET TO2"/>
      <sheetName val="BKECHITIET TO1 (tp)"/>
      <sheetName val="BKECHITIET TO2 (TP)"/>
    </sheetNames>
    <sheetDataSet>
      <sheetData sheetId="0">
        <row r="6">
          <cell r="A6" t="str">
            <v xml:space="preserve">តារាងវត្តមានកម្មកររោងចក្រកែច្នៃជ័រកៅស៊ូ
</v>
          </cell>
        </row>
        <row r="7">
          <cell r="A7" t="str">
            <v>ថ្ងៃ ០១ ៦ឥ ១៥ ខែ ០១ ឆ្នាំ ២០២៦ (វគ្គទី ១)</v>
          </cell>
        </row>
        <row r="8">
          <cell r="A8" t="str">
            <v>BẢNG CHẤM CÔNG CÔNG NHÂN XƯỞNG CHẾ BIẾN</v>
          </cell>
        </row>
        <row r="9">
          <cell r="A9" t="str">
            <v>NGÀY 01  ĐẾN​15 THÁNG 01 NĂM 2026 (ĐỢT 1)</v>
          </cell>
        </row>
      </sheetData>
      <sheetData sheetId="1">
        <row r="12">
          <cell r="V12">
            <v>10.5</v>
          </cell>
        </row>
        <row r="13">
          <cell r="V13">
            <v>13</v>
          </cell>
        </row>
        <row r="14">
          <cell r="V14">
            <v>3</v>
          </cell>
        </row>
        <row r="15">
          <cell r="V15">
            <v>12.5</v>
          </cell>
        </row>
        <row r="16">
          <cell r="V16">
            <v>12</v>
          </cell>
        </row>
        <row r="17">
          <cell r="V17">
            <v>5.5</v>
          </cell>
        </row>
        <row r="18">
          <cell r="V18">
            <v>8.5</v>
          </cell>
        </row>
        <row r="19">
          <cell r="V19">
            <v>2.5</v>
          </cell>
        </row>
        <row r="20">
          <cell r="V20">
            <v>12</v>
          </cell>
        </row>
        <row r="21">
          <cell r="V21">
            <v>5.5</v>
          </cell>
        </row>
        <row r="55">
          <cell r="V55">
            <v>10</v>
          </cell>
        </row>
        <row r="56">
          <cell r="V56">
            <v>13</v>
          </cell>
        </row>
        <row r="58">
          <cell r="V58">
            <v>13</v>
          </cell>
        </row>
        <row r="59">
          <cell r="V59">
            <v>5.5</v>
          </cell>
        </row>
        <row r="60">
          <cell r="V60">
            <v>11</v>
          </cell>
        </row>
        <row r="61">
          <cell r="V61">
            <v>3</v>
          </cell>
        </row>
        <row r="62">
          <cell r="V62">
            <v>13</v>
          </cell>
        </row>
        <row r="63">
          <cell r="V63">
            <v>5.5</v>
          </cell>
        </row>
        <row r="95">
          <cell r="V95">
            <v>5.5</v>
          </cell>
        </row>
        <row r="98">
          <cell r="V98">
            <v>8</v>
          </cell>
        </row>
        <row r="101">
          <cell r="V101">
            <v>6</v>
          </cell>
        </row>
        <row r="104">
          <cell r="U104">
            <v>0</v>
          </cell>
        </row>
      </sheetData>
      <sheetData sheetId="2">
        <row r="13">
          <cell r="E13">
            <v>1007.12</v>
          </cell>
        </row>
        <row r="14">
          <cell r="E14">
            <v>437.93</v>
          </cell>
        </row>
      </sheetData>
      <sheetData sheetId="3"/>
      <sheetData sheetId="4">
        <row r="11">
          <cell r="A11">
            <v>1</v>
          </cell>
          <cell r="B11">
            <v>0</v>
          </cell>
          <cell r="D11">
            <v>0</v>
          </cell>
          <cell r="K11">
            <v>0</v>
          </cell>
        </row>
        <row r="12">
          <cell r="A12">
            <v>2</v>
          </cell>
          <cell r="B12">
            <v>0</v>
          </cell>
          <cell r="D12">
            <v>0</v>
          </cell>
          <cell r="K12">
            <v>0</v>
          </cell>
        </row>
        <row r="13">
          <cell r="A13">
            <v>3</v>
          </cell>
          <cell r="B13">
            <v>0</v>
          </cell>
          <cell r="D13">
            <v>0</v>
          </cell>
          <cell r="K13">
            <v>0</v>
          </cell>
        </row>
        <row r="14">
          <cell r="A14">
            <v>4</v>
          </cell>
          <cell r="B14">
            <v>0</v>
          </cell>
          <cell r="D14">
            <v>0</v>
          </cell>
          <cell r="K14">
            <v>0</v>
          </cell>
        </row>
        <row r="15">
          <cell r="A15">
            <v>5</v>
          </cell>
          <cell r="B15">
            <v>0</v>
          </cell>
          <cell r="D15">
            <v>0</v>
          </cell>
          <cell r="K15">
            <v>0</v>
          </cell>
        </row>
        <row r="16">
          <cell r="A16">
            <v>6</v>
          </cell>
          <cell r="B16">
            <v>0</v>
          </cell>
          <cell r="D16">
            <v>0</v>
          </cell>
          <cell r="K16">
            <v>0</v>
          </cell>
        </row>
        <row r="17">
          <cell r="A17">
            <v>7</v>
          </cell>
          <cell r="B17">
            <v>0</v>
          </cell>
          <cell r="D17">
            <v>0</v>
          </cell>
          <cell r="K17">
            <v>0</v>
          </cell>
        </row>
        <row r="18">
          <cell r="A18">
            <v>8</v>
          </cell>
          <cell r="B18">
            <v>0</v>
          </cell>
          <cell r="D18">
            <v>0</v>
          </cell>
          <cell r="K18">
            <v>0</v>
          </cell>
        </row>
        <row r="19">
          <cell r="A19">
            <v>9</v>
          </cell>
          <cell r="B19">
            <v>745</v>
          </cell>
          <cell r="C19">
            <v>745</v>
          </cell>
          <cell r="D19">
            <v>26075</v>
          </cell>
          <cell r="K19">
            <v>26075</v>
          </cell>
        </row>
        <row r="20">
          <cell r="A20">
            <v>10</v>
          </cell>
          <cell r="B20">
            <v>970</v>
          </cell>
          <cell r="C20">
            <v>970</v>
          </cell>
          <cell r="D20">
            <v>33950</v>
          </cell>
          <cell r="K20">
            <v>33950</v>
          </cell>
        </row>
        <row r="21">
          <cell r="A21">
            <v>11</v>
          </cell>
          <cell r="B21">
            <v>983</v>
          </cell>
          <cell r="C21">
            <v>983</v>
          </cell>
          <cell r="D21">
            <v>34405</v>
          </cell>
          <cell r="K21">
            <v>34405</v>
          </cell>
        </row>
        <row r="22">
          <cell r="A22">
            <v>12</v>
          </cell>
          <cell r="B22">
            <v>974</v>
          </cell>
          <cell r="C22">
            <v>974</v>
          </cell>
          <cell r="D22">
            <v>34090</v>
          </cell>
          <cell r="K22">
            <v>34090</v>
          </cell>
        </row>
        <row r="23">
          <cell r="A23">
            <v>13</v>
          </cell>
          <cell r="B23">
            <v>975</v>
          </cell>
          <cell r="C23">
            <v>975</v>
          </cell>
          <cell r="D23">
            <v>34125</v>
          </cell>
          <cell r="K23">
            <v>34125</v>
          </cell>
        </row>
        <row r="24">
          <cell r="A24">
            <v>14</v>
          </cell>
          <cell r="B24">
            <v>914</v>
          </cell>
          <cell r="C24">
            <v>914</v>
          </cell>
          <cell r="D24">
            <v>31990</v>
          </cell>
          <cell r="K24">
            <v>31990</v>
          </cell>
        </row>
        <row r="25">
          <cell r="A25">
            <v>15</v>
          </cell>
          <cell r="B25">
            <v>1024</v>
          </cell>
          <cell r="C25">
            <v>1024</v>
          </cell>
          <cell r="D25">
            <v>35840</v>
          </cell>
          <cell r="K25">
            <v>35840</v>
          </cell>
        </row>
      </sheetData>
      <sheetData sheetId="5">
        <row r="12">
          <cell r="A12">
            <v>1</v>
          </cell>
          <cell r="B12">
            <v>0</v>
          </cell>
          <cell r="D12">
            <v>0</v>
          </cell>
          <cell r="K12">
            <v>0</v>
          </cell>
        </row>
        <row r="13">
          <cell r="A13">
            <v>2</v>
          </cell>
          <cell r="B13">
            <v>0</v>
          </cell>
          <cell r="D13">
            <v>0</v>
          </cell>
          <cell r="K13">
            <v>0</v>
          </cell>
        </row>
        <row r="14">
          <cell r="A14">
            <v>3</v>
          </cell>
          <cell r="B14">
            <v>0</v>
          </cell>
          <cell r="D14">
            <v>0</v>
          </cell>
          <cell r="K14">
            <v>0</v>
          </cell>
        </row>
        <row r="15">
          <cell r="A15">
            <v>4</v>
          </cell>
          <cell r="B15">
            <v>0</v>
          </cell>
          <cell r="D15">
            <v>0</v>
          </cell>
          <cell r="K15">
            <v>0</v>
          </cell>
        </row>
        <row r="16">
          <cell r="A16">
            <v>5</v>
          </cell>
          <cell r="B16">
            <v>0</v>
          </cell>
          <cell r="D16">
            <v>0</v>
          </cell>
          <cell r="K16">
            <v>0</v>
          </cell>
        </row>
        <row r="17">
          <cell r="A17">
            <v>6</v>
          </cell>
          <cell r="B17">
            <v>0</v>
          </cell>
          <cell r="D17">
            <v>0</v>
          </cell>
          <cell r="K17">
            <v>0</v>
          </cell>
        </row>
        <row r="18">
          <cell r="A18">
            <v>7</v>
          </cell>
          <cell r="B18">
            <v>0</v>
          </cell>
          <cell r="D18">
            <v>0</v>
          </cell>
          <cell r="K18">
            <v>0</v>
          </cell>
        </row>
        <row r="19">
          <cell r="A19">
            <v>8</v>
          </cell>
          <cell r="B19">
            <v>0</v>
          </cell>
          <cell r="D19">
            <v>0</v>
          </cell>
          <cell r="K19">
            <v>0</v>
          </cell>
        </row>
        <row r="20">
          <cell r="A20">
            <v>9</v>
          </cell>
          <cell r="B20">
            <v>0</v>
          </cell>
          <cell r="D20">
            <v>0</v>
          </cell>
          <cell r="K20">
            <v>0</v>
          </cell>
        </row>
        <row r="21">
          <cell r="A21">
            <v>10</v>
          </cell>
          <cell r="B21">
            <v>955</v>
          </cell>
          <cell r="C21">
            <v>955</v>
          </cell>
          <cell r="D21">
            <v>33425</v>
          </cell>
          <cell r="K21">
            <v>33425</v>
          </cell>
        </row>
        <row r="22">
          <cell r="A22">
            <v>11</v>
          </cell>
          <cell r="B22">
            <v>972</v>
          </cell>
          <cell r="C22">
            <v>972</v>
          </cell>
          <cell r="D22">
            <v>34020</v>
          </cell>
          <cell r="K22">
            <v>34020</v>
          </cell>
        </row>
        <row r="23">
          <cell r="A23">
            <v>12</v>
          </cell>
          <cell r="B23">
            <v>975</v>
          </cell>
          <cell r="C23">
            <v>975</v>
          </cell>
          <cell r="D23">
            <v>34125</v>
          </cell>
          <cell r="K23">
            <v>34125</v>
          </cell>
        </row>
        <row r="24">
          <cell r="A24">
            <v>13</v>
          </cell>
          <cell r="B24">
            <v>991</v>
          </cell>
          <cell r="C24">
            <v>991</v>
          </cell>
          <cell r="D24">
            <v>34685</v>
          </cell>
          <cell r="K24">
            <v>34685</v>
          </cell>
        </row>
        <row r="25">
          <cell r="A25">
            <v>14</v>
          </cell>
          <cell r="B25">
            <v>975</v>
          </cell>
          <cell r="C25">
            <v>975</v>
          </cell>
          <cell r="D25">
            <v>34125</v>
          </cell>
          <cell r="K25">
            <v>34125</v>
          </cell>
        </row>
        <row r="26">
          <cell r="A26">
            <v>15</v>
          </cell>
          <cell r="B26">
            <v>962</v>
          </cell>
          <cell r="C26">
            <v>962</v>
          </cell>
          <cell r="D26">
            <v>33670</v>
          </cell>
          <cell r="K26">
            <v>33670</v>
          </cell>
        </row>
      </sheetData>
      <sheetData sheetId="6"/>
      <sheetData sheetId="7">
        <row r="11">
          <cell r="A11">
            <v>1</v>
          </cell>
          <cell r="C11">
            <v>5.3</v>
          </cell>
          <cell r="E11">
            <v>5.3</v>
          </cell>
          <cell r="G11">
            <v>5.3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2</v>
          </cell>
          <cell r="C12">
            <v>5.3</v>
          </cell>
          <cell r="E12">
            <v>5.3</v>
          </cell>
          <cell r="G12">
            <v>5.3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3</v>
          </cell>
          <cell r="C13">
            <v>5.3</v>
          </cell>
          <cell r="E13">
            <v>5.3</v>
          </cell>
          <cell r="F13">
            <v>14</v>
          </cell>
          <cell r="G13">
            <v>5.3</v>
          </cell>
          <cell r="H13">
            <v>0</v>
          </cell>
          <cell r="I13">
            <v>0</v>
          </cell>
          <cell r="J13">
            <v>32277</v>
          </cell>
          <cell r="K13">
            <v>32277</v>
          </cell>
        </row>
        <row r="14">
          <cell r="A14">
            <v>4</v>
          </cell>
          <cell r="C14">
            <v>5.3</v>
          </cell>
          <cell r="E14">
            <v>5.3</v>
          </cell>
          <cell r="F14">
            <v>16</v>
          </cell>
          <cell r="G14">
            <v>5.3</v>
          </cell>
          <cell r="H14">
            <v>0</v>
          </cell>
          <cell r="I14">
            <v>0</v>
          </cell>
          <cell r="J14">
            <v>36888</v>
          </cell>
          <cell r="K14">
            <v>36888</v>
          </cell>
        </row>
        <row r="15">
          <cell r="A15">
            <v>5</v>
          </cell>
          <cell r="C15">
            <v>5.3</v>
          </cell>
          <cell r="E15">
            <v>5.3</v>
          </cell>
          <cell r="F15">
            <v>14</v>
          </cell>
          <cell r="G15">
            <v>5.3</v>
          </cell>
          <cell r="H15">
            <v>0</v>
          </cell>
          <cell r="I15">
            <v>0</v>
          </cell>
          <cell r="J15">
            <v>32277</v>
          </cell>
          <cell r="K15">
            <v>32277</v>
          </cell>
        </row>
        <row r="16">
          <cell r="A16">
            <v>6</v>
          </cell>
          <cell r="C16">
            <v>5.3</v>
          </cell>
          <cell r="E16">
            <v>5.3</v>
          </cell>
          <cell r="F16">
            <v>12</v>
          </cell>
          <cell r="G16">
            <v>5.3</v>
          </cell>
          <cell r="H16">
            <v>0</v>
          </cell>
          <cell r="I16">
            <v>0</v>
          </cell>
          <cell r="J16">
            <v>27666</v>
          </cell>
          <cell r="K16">
            <v>27666</v>
          </cell>
        </row>
        <row r="17">
          <cell r="A17">
            <v>7</v>
          </cell>
          <cell r="C17">
            <v>5.3</v>
          </cell>
          <cell r="E17">
            <v>5.3</v>
          </cell>
          <cell r="F17">
            <v>13</v>
          </cell>
          <cell r="G17">
            <v>5.3</v>
          </cell>
          <cell r="H17">
            <v>0</v>
          </cell>
          <cell r="I17">
            <v>0</v>
          </cell>
          <cell r="J17">
            <v>29972</v>
          </cell>
          <cell r="K17">
            <v>29972</v>
          </cell>
        </row>
        <row r="18">
          <cell r="A18">
            <v>8</v>
          </cell>
          <cell r="C18">
            <v>5.3</v>
          </cell>
          <cell r="E18">
            <v>5.3</v>
          </cell>
          <cell r="F18">
            <v>15</v>
          </cell>
          <cell r="G18">
            <v>5.3</v>
          </cell>
          <cell r="H18">
            <v>0</v>
          </cell>
          <cell r="I18">
            <v>0</v>
          </cell>
          <cell r="J18">
            <v>34582</v>
          </cell>
          <cell r="K18">
            <v>34582</v>
          </cell>
        </row>
        <row r="19">
          <cell r="A19">
            <v>9</v>
          </cell>
          <cell r="C19">
            <v>5.3</v>
          </cell>
          <cell r="E19">
            <v>5.3</v>
          </cell>
          <cell r="F19">
            <v>14</v>
          </cell>
          <cell r="G19">
            <v>5.3</v>
          </cell>
          <cell r="H19">
            <v>0</v>
          </cell>
          <cell r="I19">
            <v>0</v>
          </cell>
          <cell r="J19">
            <v>32277</v>
          </cell>
          <cell r="K19">
            <v>32277</v>
          </cell>
        </row>
        <row r="20">
          <cell r="A20">
            <v>10</v>
          </cell>
          <cell r="C20">
            <v>5.3</v>
          </cell>
          <cell r="E20">
            <v>5.3</v>
          </cell>
          <cell r="F20">
            <v>9</v>
          </cell>
          <cell r="G20">
            <v>5.3</v>
          </cell>
          <cell r="H20">
            <v>0</v>
          </cell>
          <cell r="I20">
            <v>0</v>
          </cell>
          <cell r="J20">
            <v>20750</v>
          </cell>
          <cell r="K20">
            <v>20750</v>
          </cell>
        </row>
        <row r="21">
          <cell r="A21">
            <v>11</v>
          </cell>
          <cell r="C21">
            <v>5.3</v>
          </cell>
          <cell r="E21">
            <v>5.3</v>
          </cell>
          <cell r="F21">
            <v>14</v>
          </cell>
          <cell r="G21">
            <v>5.3</v>
          </cell>
          <cell r="H21">
            <v>0</v>
          </cell>
          <cell r="I21">
            <v>0</v>
          </cell>
          <cell r="J21">
            <v>32277</v>
          </cell>
          <cell r="K21">
            <v>32277</v>
          </cell>
        </row>
        <row r="22">
          <cell r="A22">
            <v>12</v>
          </cell>
          <cell r="C22">
            <v>5.3</v>
          </cell>
          <cell r="E22">
            <v>5.3</v>
          </cell>
          <cell r="F22">
            <v>13</v>
          </cell>
          <cell r="G22">
            <v>5.3</v>
          </cell>
          <cell r="H22">
            <v>0</v>
          </cell>
          <cell r="I22">
            <v>0</v>
          </cell>
          <cell r="J22">
            <v>29972</v>
          </cell>
          <cell r="K22">
            <v>29972</v>
          </cell>
        </row>
        <row r="23">
          <cell r="A23">
            <v>13</v>
          </cell>
          <cell r="C23">
            <v>5.3</v>
          </cell>
          <cell r="E23">
            <v>5.3</v>
          </cell>
          <cell r="F23">
            <v>17</v>
          </cell>
          <cell r="G23">
            <v>5.3</v>
          </cell>
          <cell r="H23">
            <v>0</v>
          </cell>
          <cell r="I23">
            <v>0</v>
          </cell>
          <cell r="J23">
            <v>39194</v>
          </cell>
          <cell r="K23">
            <v>39194</v>
          </cell>
        </row>
        <row r="24">
          <cell r="A24">
            <v>14</v>
          </cell>
          <cell r="C24">
            <v>5.3</v>
          </cell>
          <cell r="E24">
            <v>5.3</v>
          </cell>
          <cell r="F24">
            <v>17</v>
          </cell>
          <cell r="G24">
            <v>5.3</v>
          </cell>
          <cell r="H24">
            <v>0</v>
          </cell>
          <cell r="I24">
            <v>0</v>
          </cell>
          <cell r="J24">
            <v>39194</v>
          </cell>
          <cell r="K24">
            <v>39194</v>
          </cell>
        </row>
        <row r="25">
          <cell r="A25">
            <v>15</v>
          </cell>
          <cell r="C25">
            <v>5.3</v>
          </cell>
          <cell r="E25">
            <v>5.3</v>
          </cell>
          <cell r="F25">
            <v>16</v>
          </cell>
          <cell r="G25">
            <v>5.3</v>
          </cell>
          <cell r="H25">
            <v>0</v>
          </cell>
          <cell r="I25">
            <v>0</v>
          </cell>
          <cell r="J25">
            <v>36888</v>
          </cell>
          <cell r="K25">
            <v>36888</v>
          </cell>
        </row>
      </sheetData>
      <sheetData sheetId="8">
        <row r="5">
          <cell r="A5" t="str">
            <v>NGÀY​​​​ 01 ĐẾN 15 THÁNG 01 NĂM 2026</v>
          </cell>
        </row>
        <row r="11">
          <cell r="A11">
            <v>1</v>
          </cell>
          <cell r="C11">
            <v>5.3</v>
          </cell>
          <cell r="E11">
            <v>5.3</v>
          </cell>
          <cell r="G11">
            <v>5.3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2</v>
          </cell>
          <cell r="C12">
            <v>5.3</v>
          </cell>
          <cell r="E12">
            <v>5.3</v>
          </cell>
          <cell r="G12">
            <v>5.3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3</v>
          </cell>
          <cell r="C13">
            <v>5.3</v>
          </cell>
          <cell r="E13">
            <v>5.3</v>
          </cell>
          <cell r="F13">
            <v>14</v>
          </cell>
          <cell r="G13">
            <v>5.3</v>
          </cell>
          <cell r="I13">
            <v>0</v>
          </cell>
          <cell r="J13">
            <v>32277</v>
          </cell>
          <cell r="K13">
            <v>32277</v>
          </cell>
        </row>
        <row r="14">
          <cell r="A14">
            <v>4</v>
          </cell>
          <cell r="C14">
            <v>5.3</v>
          </cell>
          <cell r="E14">
            <v>5.3</v>
          </cell>
          <cell r="F14">
            <v>14</v>
          </cell>
          <cell r="G14">
            <v>5.3</v>
          </cell>
          <cell r="I14">
            <v>0</v>
          </cell>
          <cell r="J14">
            <v>32277</v>
          </cell>
          <cell r="K14">
            <v>32277</v>
          </cell>
        </row>
        <row r="15">
          <cell r="A15">
            <v>5</v>
          </cell>
          <cell r="C15">
            <v>5.3</v>
          </cell>
          <cell r="E15">
            <v>5.3</v>
          </cell>
          <cell r="F15">
            <v>13</v>
          </cell>
          <cell r="G15">
            <v>5.3</v>
          </cell>
          <cell r="I15">
            <v>0</v>
          </cell>
          <cell r="J15">
            <v>29972</v>
          </cell>
          <cell r="K15">
            <v>29972</v>
          </cell>
        </row>
        <row r="16">
          <cell r="A16">
            <v>6</v>
          </cell>
          <cell r="C16">
            <v>5.3</v>
          </cell>
          <cell r="E16">
            <v>5.3</v>
          </cell>
          <cell r="F16">
            <v>12</v>
          </cell>
          <cell r="G16">
            <v>5.3</v>
          </cell>
          <cell r="I16">
            <v>0</v>
          </cell>
          <cell r="J16">
            <v>27666</v>
          </cell>
          <cell r="K16">
            <v>27666</v>
          </cell>
        </row>
        <row r="17">
          <cell r="A17">
            <v>7</v>
          </cell>
          <cell r="C17">
            <v>5.3</v>
          </cell>
          <cell r="E17">
            <v>5.3</v>
          </cell>
          <cell r="F17">
            <v>14</v>
          </cell>
          <cell r="G17">
            <v>5.3</v>
          </cell>
          <cell r="I17">
            <v>0</v>
          </cell>
          <cell r="J17">
            <v>32277</v>
          </cell>
          <cell r="K17">
            <v>32277</v>
          </cell>
        </row>
        <row r="18">
          <cell r="A18">
            <v>8</v>
          </cell>
          <cell r="C18">
            <v>5.3</v>
          </cell>
          <cell r="E18">
            <v>5.3</v>
          </cell>
          <cell r="F18">
            <v>15</v>
          </cell>
          <cell r="G18">
            <v>5.3</v>
          </cell>
          <cell r="I18">
            <v>0</v>
          </cell>
          <cell r="J18">
            <v>34583</v>
          </cell>
          <cell r="K18">
            <v>34583</v>
          </cell>
        </row>
        <row r="19">
          <cell r="A19">
            <v>9</v>
          </cell>
          <cell r="C19">
            <v>5.3</v>
          </cell>
          <cell r="E19">
            <v>5.3</v>
          </cell>
          <cell r="F19">
            <v>13</v>
          </cell>
          <cell r="G19">
            <v>5.3</v>
          </cell>
          <cell r="I19">
            <v>0</v>
          </cell>
          <cell r="J19">
            <v>29972</v>
          </cell>
          <cell r="K19">
            <v>29972</v>
          </cell>
        </row>
        <row r="20">
          <cell r="A20">
            <v>10</v>
          </cell>
          <cell r="C20">
            <v>5.3</v>
          </cell>
          <cell r="E20">
            <v>5.3</v>
          </cell>
          <cell r="F20">
            <v>12</v>
          </cell>
          <cell r="G20">
            <v>5.3</v>
          </cell>
          <cell r="I20">
            <v>0</v>
          </cell>
          <cell r="J20">
            <v>27666</v>
          </cell>
          <cell r="K20">
            <v>27666</v>
          </cell>
        </row>
        <row r="21">
          <cell r="A21">
            <v>11</v>
          </cell>
          <cell r="C21">
            <v>5.3</v>
          </cell>
          <cell r="E21">
            <v>5.3</v>
          </cell>
          <cell r="F21">
            <v>13</v>
          </cell>
          <cell r="G21">
            <v>5.3</v>
          </cell>
          <cell r="I21">
            <v>0</v>
          </cell>
          <cell r="J21">
            <v>29972</v>
          </cell>
          <cell r="K21">
            <v>29972</v>
          </cell>
        </row>
        <row r="22">
          <cell r="A22">
            <v>12</v>
          </cell>
          <cell r="C22">
            <v>5.3</v>
          </cell>
          <cell r="E22">
            <v>5.3</v>
          </cell>
          <cell r="G22">
            <v>5.3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13</v>
          </cell>
          <cell r="C23">
            <v>5.3</v>
          </cell>
          <cell r="E23">
            <v>5.3</v>
          </cell>
          <cell r="F23">
            <v>14</v>
          </cell>
          <cell r="G23">
            <v>5.3</v>
          </cell>
          <cell r="I23">
            <v>0</v>
          </cell>
          <cell r="J23">
            <v>32277</v>
          </cell>
          <cell r="K23">
            <v>32277</v>
          </cell>
        </row>
        <row r="24">
          <cell r="A24">
            <v>14</v>
          </cell>
          <cell r="C24">
            <v>5.3</v>
          </cell>
          <cell r="E24">
            <v>5.3</v>
          </cell>
          <cell r="F24">
            <v>14</v>
          </cell>
          <cell r="G24">
            <v>5.3</v>
          </cell>
          <cell r="I24">
            <v>0</v>
          </cell>
          <cell r="J24">
            <v>32277</v>
          </cell>
          <cell r="K24">
            <v>32277</v>
          </cell>
        </row>
        <row r="25">
          <cell r="A25">
            <v>15</v>
          </cell>
          <cell r="C25">
            <v>5.3</v>
          </cell>
          <cell r="E25">
            <v>5.3</v>
          </cell>
          <cell r="F25">
            <v>17</v>
          </cell>
          <cell r="G25">
            <v>5.3</v>
          </cell>
          <cell r="I25">
            <v>0</v>
          </cell>
          <cell r="J25">
            <v>39194</v>
          </cell>
          <cell r="K25">
            <v>39194</v>
          </cell>
        </row>
      </sheetData>
      <sheetData sheetId="9">
        <row r="11">
          <cell r="A11">
            <v>1</v>
          </cell>
          <cell r="B11">
            <v>0</v>
          </cell>
          <cell r="C11">
            <v>5.3</v>
          </cell>
          <cell r="E11">
            <v>5.3</v>
          </cell>
          <cell r="G11">
            <v>5.3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2</v>
          </cell>
          <cell r="B12">
            <v>0</v>
          </cell>
          <cell r="C12">
            <v>5.3</v>
          </cell>
          <cell r="E12">
            <v>5.3</v>
          </cell>
          <cell r="G12">
            <v>5.3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3</v>
          </cell>
          <cell r="B13">
            <v>0</v>
          </cell>
          <cell r="C13">
            <v>5.3</v>
          </cell>
          <cell r="E13">
            <v>5.3</v>
          </cell>
          <cell r="G13">
            <v>5.3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4</v>
          </cell>
          <cell r="B14">
            <v>0</v>
          </cell>
          <cell r="C14">
            <v>5.3</v>
          </cell>
          <cell r="E14">
            <v>5.3</v>
          </cell>
          <cell r="G14">
            <v>5.3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5</v>
          </cell>
          <cell r="B15">
            <v>0</v>
          </cell>
          <cell r="C15">
            <v>5.3</v>
          </cell>
          <cell r="E15">
            <v>5.3</v>
          </cell>
          <cell r="F15">
            <v>12</v>
          </cell>
          <cell r="G15">
            <v>5.3</v>
          </cell>
          <cell r="H15">
            <v>0</v>
          </cell>
          <cell r="I15">
            <v>0</v>
          </cell>
          <cell r="J15">
            <v>27666</v>
          </cell>
          <cell r="K15">
            <v>27666</v>
          </cell>
        </row>
        <row r="16">
          <cell r="A16">
            <v>6</v>
          </cell>
          <cell r="B16">
            <v>0</v>
          </cell>
          <cell r="C16">
            <v>5.3</v>
          </cell>
          <cell r="E16">
            <v>5.3</v>
          </cell>
          <cell r="F16">
            <v>9</v>
          </cell>
          <cell r="G16">
            <v>5.3</v>
          </cell>
          <cell r="H16">
            <v>0</v>
          </cell>
          <cell r="I16">
            <v>0</v>
          </cell>
          <cell r="J16">
            <v>20750</v>
          </cell>
          <cell r="K16">
            <v>20750</v>
          </cell>
        </row>
        <row r="17">
          <cell r="A17">
            <v>7</v>
          </cell>
          <cell r="B17">
            <v>0</v>
          </cell>
          <cell r="C17">
            <v>5.3</v>
          </cell>
          <cell r="E17">
            <v>5.3</v>
          </cell>
          <cell r="F17">
            <v>11</v>
          </cell>
          <cell r="G17">
            <v>5.3</v>
          </cell>
          <cell r="H17">
            <v>0</v>
          </cell>
          <cell r="I17">
            <v>0</v>
          </cell>
          <cell r="J17">
            <v>25360</v>
          </cell>
          <cell r="K17">
            <v>25360</v>
          </cell>
        </row>
        <row r="18">
          <cell r="A18">
            <v>8</v>
          </cell>
          <cell r="B18">
            <v>0</v>
          </cell>
          <cell r="C18">
            <v>5.3</v>
          </cell>
          <cell r="E18">
            <v>5.3</v>
          </cell>
          <cell r="F18">
            <v>12</v>
          </cell>
          <cell r="G18">
            <v>5.3</v>
          </cell>
          <cell r="H18">
            <v>0</v>
          </cell>
          <cell r="I18">
            <v>0</v>
          </cell>
          <cell r="J18">
            <v>27666</v>
          </cell>
          <cell r="K18">
            <v>27666</v>
          </cell>
        </row>
        <row r="19">
          <cell r="A19">
            <v>9</v>
          </cell>
          <cell r="B19">
            <v>0</v>
          </cell>
          <cell r="C19">
            <v>5.3</v>
          </cell>
          <cell r="E19">
            <v>5.3</v>
          </cell>
          <cell r="G19">
            <v>5.3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10</v>
          </cell>
          <cell r="B20">
            <v>0</v>
          </cell>
          <cell r="C20">
            <v>5.3</v>
          </cell>
          <cell r="E20">
            <v>5.3</v>
          </cell>
          <cell r="G20">
            <v>5.3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11</v>
          </cell>
          <cell r="B21">
            <v>0</v>
          </cell>
          <cell r="C21">
            <v>5.3</v>
          </cell>
          <cell r="E21">
            <v>5.3</v>
          </cell>
          <cell r="G21">
            <v>5.3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12</v>
          </cell>
          <cell r="B22">
            <v>0</v>
          </cell>
          <cell r="C22">
            <v>5.3</v>
          </cell>
          <cell r="E22">
            <v>5.3</v>
          </cell>
          <cell r="G22">
            <v>5.3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13</v>
          </cell>
          <cell r="B23">
            <v>0</v>
          </cell>
          <cell r="C23">
            <v>5.3</v>
          </cell>
          <cell r="E23">
            <v>5.3</v>
          </cell>
          <cell r="G23">
            <v>5.3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14</v>
          </cell>
          <cell r="B24">
            <v>0</v>
          </cell>
          <cell r="C24">
            <v>5.3</v>
          </cell>
          <cell r="E24">
            <v>5.3</v>
          </cell>
          <cell r="G24">
            <v>5.3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15</v>
          </cell>
          <cell r="B25">
            <v>0</v>
          </cell>
          <cell r="C25">
            <v>5.3</v>
          </cell>
          <cell r="E25">
            <v>5.3</v>
          </cell>
          <cell r="G25">
            <v>5.3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</sheetData>
      <sheetData sheetId="10">
        <row r="11">
          <cell r="A11">
            <v>1</v>
          </cell>
          <cell r="B11">
            <v>0</v>
          </cell>
          <cell r="C11">
            <v>5.3</v>
          </cell>
          <cell r="D11">
            <v>0</v>
          </cell>
          <cell r="E11">
            <v>5.3</v>
          </cell>
          <cell r="G11">
            <v>5.3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>
            <v>2</v>
          </cell>
          <cell r="B12">
            <v>0</v>
          </cell>
          <cell r="C12">
            <v>5.3</v>
          </cell>
          <cell r="D12">
            <v>0</v>
          </cell>
          <cell r="E12">
            <v>5.3</v>
          </cell>
          <cell r="G12">
            <v>5.3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>
            <v>3</v>
          </cell>
          <cell r="B13">
            <v>0</v>
          </cell>
          <cell r="C13">
            <v>5.3</v>
          </cell>
          <cell r="D13">
            <v>0</v>
          </cell>
          <cell r="E13">
            <v>5.3</v>
          </cell>
          <cell r="G13">
            <v>5.3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>
            <v>4</v>
          </cell>
          <cell r="B14">
            <v>0</v>
          </cell>
          <cell r="C14">
            <v>5.3</v>
          </cell>
          <cell r="D14">
            <v>0</v>
          </cell>
          <cell r="E14">
            <v>5.3</v>
          </cell>
          <cell r="G14">
            <v>5.3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A15">
            <v>5</v>
          </cell>
          <cell r="B15">
            <v>0</v>
          </cell>
          <cell r="C15">
            <v>5.3</v>
          </cell>
          <cell r="E15">
            <v>5.3</v>
          </cell>
          <cell r="G15">
            <v>5.3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A16">
            <v>6</v>
          </cell>
          <cell r="B16">
            <v>0</v>
          </cell>
          <cell r="C16">
            <v>5.3</v>
          </cell>
          <cell r="D16">
            <v>0</v>
          </cell>
          <cell r="E16">
            <v>5.3</v>
          </cell>
          <cell r="F16">
            <v>12</v>
          </cell>
          <cell r="G16">
            <v>5.3</v>
          </cell>
          <cell r="H16">
            <v>0</v>
          </cell>
          <cell r="I16">
            <v>0</v>
          </cell>
          <cell r="J16">
            <v>27666</v>
          </cell>
          <cell r="K16">
            <v>27666</v>
          </cell>
        </row>
        <row r="17">
          <cell r="A17">
            <v>7</v>
          </cell>
          <cell r="B17">
            <v>0</v>
          </cell>
          <cell r="C17">
            <v>5.3</v>
          </cell>
          <cell r="E17">
            <v>5.3</v>
          </cell>
          <cell r="F17">
            <v>13</v>
          </cell>
          <cell r="G17">
            <v>5.3</v>
          </cell>
          <cell r="H17">
            <v>0</v>
          </cell>
          <cell r="I17">
            <v>0</v>
          </cell>
          <cell r="J17">
            <v>29972</v>
          </cell>
          <cell r="K17">
            <v>29972</v>
          </cell>
        </row>
        <row r="18">
          <cell r="A18">
            <v>8</v>
          </cell>
          <cell r="B18">
            <v>0</v>
          </cell>
          <cell r="C18">
            <v>5.3</v>
          </cell>
          <cell r="E18">
            <v>5.3</v>
          </cell>
          <cell r="F18">
            <v>14</v>
          </cell>
          <cell r="G18">
            <v>5.3</v>
          </cell>
          <cell r="H18">
            <v>0</v>
          </cell>
          <cell r="I18">
            <v>0</v>
          </cell>
          <cell r="J18">
            <v>32277</v>
          </cell>
          <cell r="K18">
            <v>32277</v>
          </cell>
        </row>
        <row r="19">
          <cell r="A19">
            <v>9</v>
          </cell>
          <cell r="B19">
            <v>0</v>
          </cell>
          <cell r="C19">
            <v>5.3</v>
          </cell>
          <cell r="E19">
            <v>5.3</v>
          </cell>
          <cell r="G19">
            <v>5.3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>
            <v>10</v>
          </cell>
          <cell r="B20">
            <v>0</v>
          </cell>
          <cell r="C20">
            <v>5.3</v>
          </cell>
          <cell r="E20">
            <v>5.3</v>
          </cell>
          <cell r="G20">
            <v>5.3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>
            <v>11</v>
          </cell>
          <cell r="B21">
            <v>0</v>
          </cell>
          <cell r="C21">
            <v>5.3</v>
          </cell>
          <cell r="E21">
            <v>5.3</v>
          </cell>
          <cell r="G21">
            <v>5.3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A22">
            <v>12</v>
          </cell>
          <cell r="B22">
            <v>0</v>
          </cell>
          <cell r="C22">
            <v>5.3</v>
          </cell>
          <cell r="E22">
            <v>5.3</v>
          </cell>
          <cell r="G22">
            <v>5.3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A23">
            <v>13</v>
          </cell>
          <cell r="B23">
            <v>0</v>
          </cell>
          <cell r="C23">
            <v>5.3</v>
          </cell>
          <cell r="E23">
            <v>5.3</v>
          </cell>
          <cell r="G23">
            <v>5.3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A24">
            <v>14</v>
          </cell>
          <cell r="B24">
            <v>0</v>
          </cell>
          <cell r="C24">
            <v>5.3</v>
          </cell>
          <cell r="E24">
            <v>5.3</v>
          </cell>
          <cell r="G24">
            <v>5.3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>
            <v>15</v>
          </cell>
          <cell r="B25">
            <v>0</v>
          </cell>
          <cell r="C25">
            <v>5.3</v>
          </cell>
          <cell r="E25">
            <v>5.3</v>
          </cell>
          <cell r="G25">
            <v>5.3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D D2T9"/>
      <sheetName val="BPTL D1T9"/>
      <sheetName val="BCC D1 (26)"/>
      <sheetName val="BTHKL D1 T10 (26)"/>
      <sheetName val="BPHAN CHIA "/>
      <sheetName val="KLCN t12 dot 2"/>
      <sheetName val="TTL dot​2 (31947)"/>
    </sheetNames>
    <sheetDataSet>
      <sheetData sheetId="0" refreshError="1"/>
      <sheetData sheetId="1" refreshError="1"/>
      <sheetData sheetId="2" refreshError="1">
        <row r="12">
          <cell r="X12">
            <v>12</v>
          </cell>
        </row>
        <row r="93">
          <cell r="X93">
            <v>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44"/>
  <sheetViews>
    <sheetView tabSelected="1" topLeftCell="A20" workbookViewId="0">
      <selection activeCell="A26" sqref="A26:H26"/>
    </sheetView>
  </sheetViews>
  <sheetFormatPr defaultColWidth="9" defaultRowHeight="18"/>
  <cols>
    <col min="1" max="1" width="3.375" style="128" customWidth="1"/>
    <col min="2" max="2" width="12.375" style="128" customWidth="1"/>
    <col min="3" max="3" width="11.5" style="128" customWidth="1"/>
    <col min="4" max="4" width="11.125" style="128" customWidth="1"/>
    <col min="5" max="5" width="15.25" style="128" customWidth="1"/>
    <col min="6" max="6" width="16.25" style="128" customWidth="1"/>
    <col min="7" max="7" width="16.875" style="189" customWidth="1"/>
    <col min="8" max="8" width="13.125" style="128" customWidth="1"/>
    <col min="9" max="9" width="8.625" style="128" customWidth="1"/>
    <col min="10" max="10" width="14.875" style="128" bestFit="1" customWidth="1"/>
    <col min="11" max="11" width="6.875" style="190" customWidth="1"/>
    <col min="12" max="12" width="4.75" style="32" customWidth="1"/>
    <col min="13" max="13" width="8.875" style="32" customWidth="1"/>
    <col min="14" max="24" width="9" style="19"/>
    <col min="25" max="16384" width="9" style="128"/>
  </cols>
  <sheetData>
    <row r="1" spans="1:24" s="184" customFormat="1" ht="25.5">
      <c r="A1" s="753" t="s">
        <v>0</v>
      </c>
      <c r="B1" s="753"/>
      <c r="C1" s="753"/>
      <c r="D1" s="753"/>
      <c r="E1" s="753"/>
      <c r="F1" s="53"/>
      <c r="G1" s="753" t="s">
        <v>1</v>
      </c>
      <c r="H1" s="753"/>
      <c r="I1" s="753"/>
      <c r="J1" s="53"/>
    </row>
    <row r="2" spans="1:24" customFormat="1" ht="17.45" customHeight="1">
      <c r="A2" s="754" t="s">
        <v>2</v>
      </c>
      <c r="B2" s="754"/>
      <c r="C2" s="754"/>
      <c r="D2" s="754"/>
      <c r="E2" s="754"/>
      <c r="F2" s="2"/>
      <c r="G2" s="755" t="s">
        <v>3</v>
      </c>
      <c r="H2" s="755"/>
      <c r="I2" s="755"/>
      <c r="J2" s="2"/>
    </row>
    <row r="3" spans="1:24" s="184" customFormat="1" ht="25.5">
      <c r="A3" s="753" t="s">
        <v>4</v>
      </c>
      <c r="B3" s="753"/>
      <c r="C3" s="753"/>
      <c r="D3" s="753"/>
      <c r="E3" s="753"/>
      <c r="F3" s="53"/>
      <c r="G3" s="753" t="s">
        <v>5</v>
      </c>
      <c r="H3" s="753"/>
      <c r="I3" s="753"/>
      <c r="J3" s="53"/>
    </row>
    <row r="4" spans="1:24" customFormat="1" ht="15.75">
      <c r="A4" s="754" t="s">
        <v>6</v>
      </c>
      <c r="B4" s="754"/>
      <c r="C4" s="754"/>
      <c r="D4" s="754"/>
      <c r="E4" s="754"/>
      <c r="F4" s="4"/>
      <c r="G4" s="756" t="s">
        <v>7</v>
      </c>
      <c r="H4" s="756"/>
      <c r="I4" s="756"/>
      <c r="J4" s="4"/>
    </row>
    <row r="5" spans="1:24" customFormat="1" ht="23.45" customHeight="1">
      <c r="A5" s="7"/>
      <c r="B5" s="7"/>
      <c r="C5" s="7"/>
      <c r="D5" s="4"/>
      <c r="E5" s="4"/>
      <c r="F5" s="3"/>
      <c r="G5" s="3"/>
      <c r="H5" s="3"/>
      <c r="I5" s="4"/>
      <c r="J5" s="4"/>
    </row>
    <row r="6" spans="1:24" s="85" customFormat="1" ht="29.25">
      <c r="A6" s="757" t="s">
        <v>8</v>
      </c>
      <c r="B6" s="757"/>
      <c r="C6" s="757"/>
      <c r="D6" s="757"/>
      <c r="E6" s="757"/>
      <c r="F6" s="757"/>
      <c r="G6" s="757"/>
      <c r="H6" s="757"/>
      <c r="I6" s="757"/>
      <c r="J6" s="220"/>
      <c r="K6" s="133"/>
      <c r="L6" s="17"/>
      <c r="M6" s="17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s="85" customFormat="1" ht="29.25">
      <c r="A7" s="758" t="s">
        <v>373</v>
      </c>
      <c r="B7" s="758"/>
      <c r="C7" s="758"/>
      <c r="D7" s="758"/>
      <c r="E7" s="758"/>
      <c r="F7" s="758"/>
      <c r="G7" s="758"/>
      <c r="H7" s="758"/>
      <c r="I7" s="758"/>
      <c r="J7" s="220"/>
      <c r="K7" s="133"/>
      <c r="L7" s="17"/>
      <c r="M7" s="17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s="85" customFormat="1" ht="18.75">
      <c r="A8" s="759" t="s">
        <v>9</v>
      </c>
      <c r="B8" s="759"/>
      <c r="C8" s="759"/>
      <c r="D8" s="759"/>
      <c r="E8" s="759"/>
      <c r="F8" s="759"/>
      <c r="G8" s="759"/>
      <c r="H8" s="759"/>
      <c r="I8" s="759"/>
      <c r="J8" s="89"/>
      <c r="K8" s="133"/>
      <c r="L8" s="17"/>
      <c r="M8" s="17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s="85" customFormat="1" ht="18.75">
      <c r="A9" s="759" t="s">
        <v>374</v>
      </c>
      <c r="B9" s="759"/>
      <c r="C9" s="759"/>
      <c r="D9" s="759"/>
      <c r="E9" s="759"/>
      <c r="F9" s="759"/>
      <c r="G9" s="759"/>
      <c r="H9" s="759"/>
      <c r="I9" s="759"/>
      <c r="J9" s="89"/>
      <c r="K9" s="133"/>
      <c r="L9" s="17"/>
      <c r="M9" s="17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1" spans="1:24" ht="29.25" customHeight="1">
      <c r="B11" s="191" t="s">
        <v>375</v>
      </c>
      <c r="C11" s="33"/>
      <c r="D11" s="33"/>
      <c r="E11" s="33"/>
      <c r="G11" s="192">
        <f>G12+G13</f>
        <v>45775579</v>
      </c>
      <c r="H11" s="1" t="s">
        <v>10</v>
      </c>
      <c r="J11" s="221">
        <f>'TTL dot​2 (31947)'!K84</f>
        <v>45775579</v>
      </c>
    </row>
    <row r="12" spans="1:24" s="185" customFormat="1" ht="27.95" customHeight="1">
      <c r="A12" s="193"/>
      <c r="B12" s="194" t="s">
        <v>256</v>
      </c>
      <c r="C12" s="195"/>
      <c r="D12" s="195"/>
      <c r="E12" s="196"/>
      <c r="F12" s="197"/>
      <c r="G12" s="198">
        <f>'TTL dot​2 (31947)'!G84</f>
        <v>45775579</v>
      </c>
      <c r="H12" s="199" t="s">
        <v>10</v>
      </c>
      <c r="I12" s="222"/>
      <c r="J12" s="223" t="e">
        <f>#REF!</f>
        <v>#REF!</v>
      </c>
      <c r="K12" s="224"/>
      <c r="L12" s="26"/>
      <c r="M12" s="26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1:24" s="185" customFormat="1" ht="27.95" customHeight="1">
      <c r="A13" s="193"/>
      <c r="B13" s="194" t="s">
        <v>257</v>
      </c>
      <c r="C13" s="195"/>
      <c r="D13" s="195"/>
      <c r="E13" s="196"/>
      <c r="F13" s="197"/>
      <c r="G13" s="198">
        <f>'TTL dot​2 (31947)'!I84</f>
        <v>0</v>
      </c>
      <c r="H13" s="199" t="s">
        <v>10</v>
      </c>
      <c r="I13" s="222"/>
      <c r="J13" s="223">
        <f>'[1]TTL dot 1 (31948)'!I84</f>
        <v>0</v>
      </c>
      <c r="K13" s="224"/>
      <c r="L13" s="26"/>
      <c r="M13" s="26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1:24" ht="30" customHeight="1">
      <c r="A14" s="186"/>
      <c r="B14" s="200" t="s">
        <v>11</v>
      </c>
      <c r="C14" s="201"/>
      <c r="D14" s="201"/>
      <c r="E14" s="202"/>
      <c r="F14" s="186"/>
      <c r="G14" s="203">
        <f>SUM(G15:G16)</f>
        <v>932463</v>
      </c>
      <c r="H14" s="1" t="s">
        <v>10</v>
      </c>
      <c r="J14" s="225">
        <f>G14+G17</f>
        <v>932463</v>
      </c>
    </row>
    <row r="15" spans="1:24" ht="27.95" customHeight="1">
      <c r="A15" s="186"/>
      <c r="B15" s="204" t="s">
        <v>258</v>
      </c>
      <c r="C15" s="205"/>
      <c r="D15" s="205"/>
      <c r="E15" s="201"/>
      <c r="F15" s="186"/>
      <c r="G15" s="206">
        <f>'TTL dot​2 (31947)'!L84</f>
        <v>0</v>
      </c>
      <c r="H15" s="82" t="s">
        <v>10</v>
      </c>
      <c r="I15" s="225"/>
    </row>
    <row r="16" spans="1:24" s="185" customFormat="1" ht="27.95" customHeight="1">
      <c r="A16" s="193"/>
      <c r="B16" s="760" t="s">
        <v>259</v>
      </c>
      <c r="C16" s="760"/>
      <c r="D16" s="760"/>
      <c r="E16" s="760"/>
      <c r="F16" s="193"/>
      <c r="G16" s="207">
        <f>'TTL dot​2 (31947)'!M84</f>
        <v>932463</v>
      </c>
      <c r="H16" s="208" t="s">
        <v>10</v>
      </c>
      <c r="I16" s="222"/>
      <c r="J16" s="227"/>
      <c r="K16" s="224"/>
      <c r="L16" s="26"/>
      <c r="M16" s="26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ht="30" customHeight="1">
      <c r="A17" s="186"/>
      <c r="B17" s="200" t="s">
        <v>260</v>
      </c>
      <c r="C17" s="205"/>
      <c r="D17" s="205"/>
      <c r="E17" s="201"/>
      <c r="F17" s="186"/>
      <c r="G17" s="203">
        <f>SUM(G18:G21)</f>
        <v>0</v>
      </c>
      <c r="H17" s="85" t="s">
        <v>10</v>
      </c>
      <c r="I17" s="225"/>
      <c r="J17" s="226">
        <f>'TTL dot​2 (31947)'!Q84</f>
        <v>932463</v>
      </c>
    </row>
    <row r="18" spans="1:24" ht="27.95" customHeight="1">
      <c r="A18" s="186"/>
      <c r="B18" s="204" t="s">
        <v>12</v>
      </c>
      <c r="C18" s="209"/>
      <c r="D18" s="209"/>
      <c r="E18" s="201"/>
      <c r="F18" s="186"/>
      <c r="G18" s="210">
        <f>'TTL dot​2 (31947)'!P84</f>
        <v>0</v>
      </c>
      <c r="H18" s="82" t="s">
        <v>10</v>
      </c>
      <c r="I18" s="225"/>
      <c r="J18" s="221"/>
    </row>
    <row r="19" spans="1:24" ht="27.95" hidden="1" customHeight="1">
      <c r="A19" s="186"/>
      <c r="B19" s="760" t="s">
        <v>259</v>
      </c>
      <c r="C19" s="760"/>
      <c r="D19" s="760"/>
      <c r="E19" s="760"/>
      <c r="F19" s="186"/>
      <c r="G19" s="210">
        <v>0</v>
      </c>
      <c r="H19" s="82" t="s">
        <v>10</v>
      </c>
      <c r="I19" s="225"/>
      <c r="J19" s="221"/>
    </row>
    <row r="20" spans="1:24" ht="31.5">
      <c r="A20" s="186"/>
      <c r="B20" s="760" t="s">
        <v>261</v>
      </c>
      <c r="C20" s="760"/>
      <c r="D20" s="760"/>
      <c r="E20" s="760"/>
      <c r="F20" s="186"/>
      <c r="G20" s="210">
        <f>'TTL dot​2 (31947)'!O84</f>
        <v>0</v>
      </c>
      <c r="H20" s="82" t="s">
        <v>10</v>
      </c>
      <c r="I20" s="225"/>
      <c r="J20" s="221"/>
    </row>
    <row r="21" spans="1:24" ht="27.95" customHeight="1">
      <c r="A21" s="186"/>
      <c r="B21" s="204" t="s">
        <v>262</v>
      </c>
      <c r="C21" s="201"/>
      <c r="D21" s="201"/>
      <c r="E21" s="201"/>
      <c r="F21" s="186"/>
      <c r="G21" s="210">
        <v>0</v>
      </c>
      <c r="H21" s="82" t="s">
        <v>10</v>
      </c>
      <c r="I21" s="225"/>
      <c r="J21" s="228"/>
    </row>
    <row r="22" spans="1:24" ht="30" customHeight="1">
      <c r="A22" s="186"/>
      <c r="B22" s="200" t="s">
        <v>263</v>
      </c>
      <c r="C22" s="201"/>
      <c r="D22" s="201"/>
      <c r="E22" s="201"/>
      <c r="F22" s="186"/>
      <c r="G22" s="211">
        <f>G23</f>
        <v>44843116</v>
      </c>
      <c r="H22" s="82" t="s">
        <v>10</v>
      </c>
      <c r="I22" s="225"/>
      <c r="J22" s="221"/>
      <c r="M22" s="32" t="s">
        <v>339</v>
      </c>
    </row>
    <row r="23" spans="1:24" s="37" customFormat="1" ht="30" customHeight="1">
      <c r="A23" s="186"/>
      <c r="B23" s="212" t="s">
        <v>264</v>
      </c>
      <c r="C23" s="209"/>
      <c r="D23" s="201"/>
      <c r="E23" s="201"/>
      <c r="F23" s="186"/>
      <c r="G23" s="213">
        <f>ROUND(G11-G14-G17,0)</f>
        <v>44843116</v>
      </c>
      <c r="H23" s="82" t="s">
        <v>10</v>
      </c>
      <c r="I23" s="229"/>
      <c r="J23" s="213">
        <f>'TTL dot​2 (31947)'!R84</f>
        <v>44843116</v>
      </c>
      <c r="K23" s="133"/>
      <c r="L23" s="17"/>
      <c r="M23" s="230" t="s">
        <v>340</v>
      </c>
      <c r="N23" s="17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s="37" customFormat="1" ht="13.9" customHeight="1">
      <c r="A24" s="214"/>
      <c r="B24" s="215"/>
      <c r="C24" s="216"/>
      <c r="D24" s="214"/>
      <c r="E24" s="214"/>
      <c r="F24" s="214"/>
      <c r="G24" s="217"/>
      <c r="H24" s="218"/>
      <c r="I24" s="231"/>
      <c r="K24" s="133"/>
      <c r="L24" s="17"/>
      <c r="M24" s="17"/>
      <c r="N24" s="17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s="37" customFormat="1" ht="36" customHeight="1">
      <c r="A25" s="892" t="s">
        <v>379</v>
      </c>
      <c r="B25" s="892"/>
      <c r="C25" s="892"/>
      <c r="D25" s="892"/>
      <c r="E25" s="892"/>
      <c r="F25" s="892"/>
      <c r="G25" s="892"/>
      <c r="H25" s="892"/>
      <c r="I25" s="895"/>
      <c r="J25" s="895"/>
      <c r="K25" s="895"/>
      <c r="L25" s="895"/>
      <c r="M25" s="895"/>
      <c r="N25" s="895"/>
      <c r="O25" s="895"/>
      <c r="P25" s="895"/>
      <c r="Q25" s="895"/>
      <c r="R25" s="895"/>
      <c r="S25" s="895"/>
      <c r="T25" s="4"/>
      <c r="U25" s="4"/>
      <c r="V25" s="4"/>
      <c r="W25" s="4"/>
      <c r="X25" s="4"/>
    </row>
    <row r="26" spans="1:24" s="186" customFormat="1" ht="19.5">
      <c r="A26" s="761" t="s">
        <v>380</v>
      </c>
      <c r="B26" s="761"/>
      <c r="C26" s="761"/>
      <c r="D26" s="761"/>
      <c r="E26" s="761"/>
      <c r="F26" s="761"/>
      <c r="G26" s="761"/>
      <c r="H26" s="761"/>
      <c r="I26" s="461"/>
      <c r="J26" s="461"/>
      <c r="K26" s="461"/>
      <c r="L26" s="461"/>
      <c r="M26" s="461"/>
      <c r="N26" s="461"/>
      <c r="O26" s="461"/>
      <c r="P26" s="461"/>
      <c r="Q26" s="461"/>
      <c r="R26" s="461"/>
      <c r="S26" s="461"/>
      <c r="T26" s="4"/>
      <c r="U26" s="4"/>
      <c r="V26" s="4"/>
      <c r="W26" s="4"/>
      <c r="X26" s="4"/>
    </row>
    <row r="28" spans="1:24" s="85" customFormat="1" ht="27.75">
      <c r="F28" s="762" t="s">
        <v>376</v>
      </c>
      <c r="G28" s="762"/>
      <c r="H28" s="762"/>
      <c r="I28" s="762"/>
      <c r="J28" s="232"/>
      <c r="K28" s="133"/>
      <c r="L28" s="17"/>
      <c r="M28" s="17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s="187" customFormat="1" ht="30" customHeight="1">
      <c r="A29" s="763" t="s">
        <v>13</v>
      </c>
      <c r="B29" s="763"/>
      <c r="C29" s="763"/>
      <c r="D29" s="763"/>
      <c r="E29" s="763" t="s">
        <v>4</v>
      </c>
      <c r="F29" s="763"/>
      <c r="G29" s="763" t="s">
        <v>14</v>
      </c>
      <c r="H29" s="763"/>
      <c r="I29" s="763"/>
      <c r="K29" s="233"/>
      <c r="L29" s="234"/>
      <c r="M29" s="234"/>
    </row>
    <row r="30" spans="1:24" s="89" customFormat="1" ht="16.5">
      <c r="A30" s="765" t="s">
        <v>15</v>
      </c>
      <c r="B30" s="765"/>
      <c r="C30" s="765"/>
      <c r="D30" s="765"/>
      <c r="E30" s="766" t="s">
        <v>6</v>
      </c>
      <c r="F30" s="766"/>
      <c r="G30" s="766" t="s">
        <v>16</v>
      </c>
      <c r="H30" s="766"/>
      <c r="I30" s="766"/>
      <c r="K30" s="235"/>
      <c r="L30" s="114"/>
      <c r="M30" s="114"/>
    </row>
    <row r="31" spans="1:24" s="89" customFormat="1" ht="16.5">
      <c r="B31" s="43"/>
      <c r="C31" s="43"/>
      <c r="D31" s="43"/>
      <c r="E31" s="43"/>
      <c r="F31" s="43"/>
      <c r="G31" s="43"/>
      <c r="H31" s="43"/>
      <c r="K31" s="235"/>
      <c r="L31" s="114"/>
      <c r="M31" s="114"/>
    </row>
    <row r="32" spans="1:24" s="43" customFormat="1" ht="16.5">
      <c r="G32" s="179"/>
      <c r="K32" s="236"/>
      <c r="L32" s="166"/>
      <c r="M32" s="166"/>
    </row>
    <row r="33" spans="1:24" s="43" customFormat="1" ht="16.5">
      <c r="G33" s="179"/>
      <c r="K33" s="236"/>
      <c r="L33" s="166"/>
      <c r="M33" s="166"/>
    </row>
    <row r="34" spans="1:24" s="43" customFormat="1" ht="19.149999999999999" customHeight="1">
      <c r="A34" s="765"/>
      <c r="B34" s="765"/>
      <c r="C34" s="765"/>
      <c r="D34" s="765"/>
      <c r="E34" s="765"/>
      <c r="F34" s="89"/>
      <c r="G34" s="765" t="s">
        <v>17</v>
      </c>
      <c r="H34" s="765"/>
      <c r="I34" s="765"/>
      <c r="J34" s="89"/>
      <c r="K34" s="236"/>
      <c r="L34" s="166"/>
      <c r="M34" s="166"/>
    </row>
    <row r="35" spans="1:24" s="85" customFormat="1" ht="26.25" customHeight="1">
      <c r="A35" s="763" t="s">
        <v>18</v>
      </c>
      <c r="B35" s="763"/>
      <c r="C35" s="763"/>
      <c r="D35" s="763"/>
      <c r="E35" s="763"/>
      <c r="F35" s="763"/>
      <c r="G35" s="763"/>
      <c r="H35" s="763"/>
      <c r="I35" s="763"/>
      <c r="J35" s="1"/>
      <c r="K35" s="133"/>
      <c r="L35" s="17"/>
      <c r="M35" s="17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s="85" customFormat="1" ht="18.75">
      <c r="A36" s="764"/>
      <c r="B36" s="764"/>
      <c r="C36" s="764"/>
      <c r="D36" s="764"/>
      <c r="E36" s="764"/>
      <c r="F36" s="764"/>
      <c r="G36" s="764"/>
      <c r="H36" s="764"/>
      <c r="I36" s="764"/>
      <c r="K36" s="133"/>
      <c r="L36" s="17"/>
      <c r="M36" s="17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s="188" customFormat="1" ht="21.75" customHeight="1">
      <c r="J37" s="237"/>
      <c r="K37" s="238"/>
      <c r="L37" s="239"/>
      <c r="M37" s="239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</row>
    <row r="38" spans="1:24" s="85" customFormat="1" ht="18.75" customHeight="1">
      <c r="J38" s="240"/>
      <c r="K38" s="133"/>
      <c r="L38" s="17"/>
      <c r="M38" s="17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s="85" customFormat="1" ht="18.75">
      <c r="A39" s="4"/>
      <c r="B39" s="4"/>
      <c r="C39" s="4"/>
      <c r="D39" s="4"/>
      <c r="E39" s="4"/>
      <c r="F39" s="4"/>
      <c r="G39" s="219"/>
      <c r="H39" s="4"/>
      <c r="I39" s="4"/>
      <c r="K39" s="133"/>
      <c r="L39" s="17"/>
      <c r="M39" s="17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s="85" customFormat="1" ht="18.75">
      <c r="G40" s="134"/>
      <c r="K40" s="133"/>
      <c r="L40" s="17"/>
      <c r="M40" s="17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s="85" customFormat="1" ht="18.75">
      <c r="G41" s="134"/>
      <c r="K41" s="133"/>
      <c r="L41" s="17"/>
      <c r="M41" s="17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s="85" customFormat="1" ht="18.75">
      <c r="G42" s="134"/>
      <c r="K42" s="133"/>
      <c r="L42" s="17"/>
      <c r="M42" s="17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s="85" customFormat="1" ht="18.75">
      <c r="G43" s="134"/>
      <c r="K43" s="133"/>
      <c r="L43" s="17"/>
      <c r="M43" s="17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s="85" customFormat="1" ht="18.75">
      <c r="A44" s="759"/>
      <c r="B44" s="759"/>
      <c r="C44" s="759"/>
      <c r="D44" s="759"/>
      <c r="F44" s="1"/>
      <c r="G44" s="1"/>
      <c r="H44" s="1"/>
      <c r="K44" s="133"/>
      <c r="L44" s="17"/>
      <c r="M44" s="17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</sheetData>
  <mergeCells count="29">
    <mergeCell ref="A35:I35"/>
    <mergeCell ref="A36:I36"/>
    <mergeCell ref="A44:D44"/>
    <mergeCell ref="A30:D30"/>
    <mergeCell ref="E30:F30"/>
    <mergeCell ref="G30:I30"/>
    <mergeCell ref="A34:E34"/>
    <mergeCell ref="G34:I34"/>
    <mergeCell ref="A26:H26"/>
    <mergeCell ref="F28:I28"/>
    <mergeCell ref="A29:D29"/>
    <mergeCell ref="E29:F29"/>
    <mergeCell ref="G29:I29"/>
    <mergeCell ref="A9:I9"/>
    <mergeCell ref="B16:E16"/>
    <mergeCell ref="B19:E19"/>
    <mergeCell ref="B20:E20"/>
    <mergeCell ref="A25:H25"/>
    <mergeCell ref="A4:E4"/>
    <mergeCell ref="G4:I4"/>
    <mergeCell ref="A6:I6"/>
    <mergeCell ref="A7:I7"/>
    <mergeCell ref="A8:I8"/>
    <mergeCell ref="A1:E1"/>
    <mergeCell ref="G1:I1"/>
    <mergeCell ref="A2:E2"/>
    <mergeCell ref="G2:I2"/>
    <mergeCell ref="A3:E3"/>
    <mergeCell ref="G3:I3"/>
  </mergeCells>
  <printOptions horizontalCentered="1" verticalCentered="1"/>
  <pageMargins left="0.196527777777778" right="0.118055555555556" top="0.31458333333333299" bottom="0.118055555555556" header="0.118055555555556" footer="0.118055555555556"/>
  <pageSetup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39"/>
  <sheetViews>
    <sheetView topLeftCell="A17" zoomScale="85" zoomScaleNormal="85" workbookViewId="0">
      <selection activeCell="A26" sqref="A26:I26"/>
    </sheetView>
  </sheetViews>
  <sheetFormatPr defaultColWidth="9" defaultRowHeight="18"/>
  <cols>
    <col min="1" max="1" width="5.75" style="140" customWidth="1"/>
    <col min="2" max="2" width="35.625" style="140" customWidth="1"/>
    <col min="3" max="4" width="11.75" style="140" customWidth="1"/>
    <col min="5" max="5" width="14.5" style="140" customWidth="1"/>
    <col min="6" max="6" width="10" style="141" customWidth="1"/>
    <col min="7" max="7" width="11.625" style="141" customWidth="1"/>
    <col min="8" max="8" width="14.625" style="140" customWidth="1"/>
    <col min="9" max="9" width="16.125" style="140" customWidth="1"/>
    <col min="10" max="10" width="9" style="141"/>
    <col min="11" max="11" width="10" style="142" customWidth="1"/>
    <col min="12" max="12" width="20.5" style="142" customWidth="1"/>
    <col min="13" max="13" width="19" style="142" customWidth="1"/>
    <col min="14" max="14" width="15.25" style="142" customWidth="1"/>
    <col min="15" max="23" width="9" style="142"/>
    <col min="24" max="16384" width="9" style="141"/>
  </cols>
  <sheetData>
    <row r="1" spans="1:23" ht="9" hidden="1" customHeight="1">
      <c r="A1" s="138"/>
      <c r="B1" s="138"/>
    </row>
    <row r="2" spans="1:23" customFormat="1" ht="29.25">
      <c r="A2" s="767" t="s">
        <v>0</v>
      </c>
      <c r="B2" s="767"/>
      <c r="C2" s="767"/>
      <c r="D2" s="2"/>
      <c r="E2" s="5"/>
      <c r="F2" s="5"/>
      <c r="G2" s="767" t="s">
        <v>1</v>
      </c>
      <c r="H2" s="767"/>
      <c r="I2" s="767"/>
      <c r="J2" s="5"/>
      <c r="K2" s="5"/>
    </row>
    <row r="3" spans="1:23" customFormat="1" ht="15.75">
      <c r="A3" s="754" t="s">
        <v>2</v>
      </c>
      <c r="B3" s="754"/>
      <c r="C3" s="754"/>
      <c r="D3" s="2"/>
      <c r="E3" s="2"/>
      <c r="F3" s="2"/>
      <c r="G3" s="755" t="s">
        <v>3</v>
      </c>
      <c r="H3" s="755"/>
      <c r="I3" s="755"/>
      <c r="J3" s="2"/>
      <c r="K3" s="2"/>
    </row>
    <row r="4" spans="1:23" customFormat="1" ht="29.25">
      <c r="A4" s="768" t="s">
        <v>4</v>
      </c>
      <c r="B4" s="768"/>
      <c r="C4" s="768"/>
      <c r="D4" s="4"/>
      <c r="E4" s="5"/>
      <c r="F4" s="5"/>
      <c r="G4" s="767" t="s">
        <v>5</v>
      </c>
      <c r="H4" s="767"/>
      <c r="I4" s="767"/>
      <c r="J4" s="5"/>
      <c r="K4" s="5"/>
    </row>
    <row r="5" spans="1:23" customFormat="1" ht="15.75">
      <c r="A5" s="769" t="s">
        <v>6</v>
      </c>
      <c r="B5" s="769"/>
      <c r="C5" s="769"/>
      <c r="D5" s="4"/>
      <c r="E5" s="4"/>
      <c r="F5" s="4"/>
      <c r="G5" s="756" t="s">
        <v>7</v>
      </c>
      <c r="H5" s="756"/>
      <c r="I5" s="756"/>
      <c r="J5" s="4"/>
      <c r="K5" s="4"/>
    </row>
    <row r="6" spans="1:23" customFormat="1" ht="18" customHeight="1">
      <c r="A6" s="7"/>
      <c r="B6" s="7"/>
      <c r="C6" s="7"/>
      <c r="D6" s="4"/>
      <c r="E6" s="4"/>
      <c r="F6" s="3"/>
      <c r="G6" s="3"/>
      <c r="H6" s="3"/>
      <c r="I6" s="4"/>
      <c r="J6" s="4"/>
      <c r="K6" s="4"/>
    </row>
    <row r="7" spans="1:23" s="43" customFormat="1" ht="39" customHeight="1">
      <c r="A7" s="770" t="s">
        <v>341</v>
      </c>
      <c r="B7" s="770"/>
      <c r="C7" s="770"/>
      <c r="D7" s="770"/>
      <c r="E7" s="770"/>
      <c r="F7" s="770"/>
      <c r="G7" s="770"/>
      <c r="H7" s="770"/>
      <c r="I7" s="770"/>
      <c r="J7" s="165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</row>
    <row r="8" spans="1:23" s="43" customFormat="1" ht="20.25">
      <c r="A8" s="771" t="s">
        <v>342</v>
      </c>
      <c r="B8" s="771"/>
      <c r="C8" s="771"/>
      <c r="D8" s="771"/>
      <c r="E8" s="771"/>
      <c r="F8" s="771"/>
      <c r="G8" s="771"/>
      <c r="H8" s="771"/>
      <c r="I8" s="771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</row>
    <row r="9" spans="1:23" s="43" customFormat="1" ht="12.6" customHeight="1">
      <c r="A9" s="143"/>
      <c r="B9" s="143"/>
      <c r="C9" s="143"/>
      <c r="D9" s="143"/>
      <c r="E9" s="143"/>
      <c r="F9" s="143"/>
      <c r="G9" s="143"/>
      <c r="H9" s="143"/>
      <c r="I9" s="143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</row>
    <row r="10" spans="1:23" s="89" customFormat="1" ht="34.5" customHeight="1">
      <c r="A10" s="43"/>
      <c r="B10" s="144"/>
      <c r="C10" s="43"/>
      <c r="D10" s="43"/>
      <c r="E10" s="43"/>
      <c r="F10" s="43"/>
      <c r="G10" s="43"/>
      <c r="H10" s="145" t="s">
        <v>19</v>
      </c>
      <c r="I10" s="167" t="s">
        <v>20</v>
      </c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</row>
    <row r="11" spans="1:23" s="135" customFormat="1" ht="50.45" customHeight="1">
      <c r="A11" s="146" t="s">
        <v>21</v>
      </c>
      <c r="B11" s="146" t="s">
        <v>22</v>
      </c>
      <c r="C11" s="146" t="s">
        <v>23</v>
      </c>
      <c r="D11" s="772" t="s">
        <v>24</v>
      </c>
      <c r="E11" s="772"/>
      <c r="F11" s="772" t="s">
        <v>25</v>
      </c>
      <c r="G11" s="772"/>
      <c r="H11" s="146" t="s">
        <v>26</v>
      </c>
      <c r="I11" s="146" t="s">
        <v>27</v>
      </c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</row>
    <row r="12" spans="1:23" s="136" customFormat="1" ht="54.75" customHeight="1">
      <c r="A12" s="147" t="s">
        <v>28</v>
      </c>
      <c r="B12" s="148" t="s">
        <v>29</v>
      </c>
      <c r="C12" s="149" t="s">
        <v>30</v>
      </c>
      <c r="D12" s="150" t="s">
        <v>31</v>
      </c>
      <c r="E12" s="16" t="s">
        <v>32</v>
      </c>
      <c r="F12" s="16" t="s">
        <v>31</v>
      </c>
      <c r="G12" s="16" t="s">
        <v>32</v>
      </c>
      <c r="H12" s="148" t="s">
        <v>33</v>
      </c>
      <c r="I12" s="148" t="s">
        <v>34</v>
      </c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</row>
    <row r="13" spans="1:23" s="136" customFormat="1" ht="27" customHeight="1">
      <c r="A13" s="45" t="s">
        <v>35</v>
      </c>
      <c r="B13" s="45" t="s">
        <v>36</v>
      </c>
      <c r="C13" s="45">
        <v>1</v>
      </c>
      <c r="D13" s="45">
        <v>2</v>
      </c>
      <c r="E13" s="45" t="s">
        <v>37</v>
      </c>
      <c r="F13" s="45">
        <v>4</v>
      </c>
      <c r="G13" s="45" t="s">
        <v>38</v>
      </c>
      <c r="H13" s="45" t="s">
        <v>39</v>
      </c>
      <c r="I13" s="45">
        <v>7</v>
      </c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</row>
    <row r="14" spans="1:23" s="136" customFormat="1" ht="27" customHeight="1">
      <c r="A14" s="775" t="s">
        <v>370</v>
      </c>
      <c r="B14" s="776"/>
      <c r="C14" s="776"/>
      <c r="D14" s="777"/>
      <c r="E14" s="151">
        <f>SUM(E15:E22)</f>
        <v>45775579</v>
      </c>
      <c r="F14" s="45"/>
      <c r="G14" s="45"/>
      <c r="H14" s="151">
        <f>SUM(H15:H22)</f>
        <v>45775579</v>
      </c>
      <c r="I14" s="45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</row>
    <row r="15" spans="1:23" s="136" customFormat="1" ht="51.75" customHeight="1">
      <c r="A15" s="416">
        <v>1</v>
      </c>
      <c r="B15" s="245" t="s">
        <v>334</v>
      </c>
      <c r="C15" s="49">
        <v>31947</v>
      </c>
      <c r="D15" s="152">
        <f>'BTHKL D1 T1 (26)'!F12</f>
        <v>725.03</v>
      </c>
      <c r="E15" s="153">
        <f>ROUND(D15*C15,0)</f>
        <v>23162533</v>
      </c>
      <c r="F15" s="45"/>
      <c r="G15" s="45"/>
      <c r="H15" s="153">
        <f t="shared" ref="H15:H23" si="0">G15+E15</f>
        <v>23162533</v>
      </c>
      <c r="I15" s="45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</row>
    <row r="16" spans="1:23" s="136" customFormat="1" ht="51.75" customHeight="1">
      <c r="A16" s="416">
        <f>+A15+1</f>
        <v>2</v>
      </c>
      <c r="B16" s="245" t="s">
        <v>335</v>
      </c>
      <c r="C16" s="49">
        <v>31947</v>
      </c>
      <c r="D16" s="152">
        <f>'BTHKL D1 T1 (26)'!F13</f>
        <v>479.8</v>
      </c>
      <c r="E16" s="153">
        <f t="shared" ref="E16:E22" si="1">ROUND(D16*C16,0)</f>
        <v>15328171</v>
      </c>
      <c r="F16" s="45"/>
      <c r="G16" s="45"/>
      <c r="H16" s="153">
        <f t="shared" si="0"/>
        <v>15328171</v>
      </c>
      <c r="I16" s="45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</row>
    <row r="17" spans="1:23" s="136" customFormat="1" ht="27.75">
      <c r="A17" s="416">
        <f t="shared" ref="A17:A22" si="2">+A16+1</f>
        <v>3</v>
      </c>
      <c r="B17" s="129" t="s">
        <v>40</v>
      </c>
      <c r="C17" s="49">
        <v>31947</v>
      </c>
      <c r="D17" s="152">
        <f>'BTHKL D1 T1 (26)'!F14</f>
        <v>27.04</v>
      </c>
      <c r="E17" s="153">
        <f t="shared" si="1"/>
        <v>863847</v>
      </c>
      <c r="F17" s="45"/>
      <c r="G17" s="154"/>
      <c r="H17" s="153">
        <f t="shared" si="0"/>
        <v>863847</v>
      </c>
      <c r="I17" s="45"/>
      <c r="K17" s="169">
        <f>1*0.9391*C17</f>
        <v>30001.4277</v>
      </c>
      <c r="L17" s="169" t="e">
        <f>SUM(#REF!)-K17</f>
        <v>#REF!</v>
      </c>
      <c r="M17" s="169" t="e">
        <f>H17-L17</f>
        <v>#REF!</v>
      </c>
      <c r="N17" s="169"/>
      <c r="O17" s="169"/>
      <c r="P17" s="169"/>
      <c r="Q17" s="169"/>
      <c r="R17" s="169"/>
      <c r="S17" s="169"/>
      <c r="T17" s="169"/>
      <c r="U17" s="169"/>
      <c r="V17" s="169"/>
      <c r="W17" s="169"/>
    </row>
    <row r="18" spans="1:23" s="136" customFormat="1" ht="23.1" customHeight="1">
      <c r="A18" s="416">
        <f t="shared" si="2"/>
        <v>4</v>
      </c>
      <c r="B18" s="155" t="s">
        <v>41</v>
      </c>
      <c r="C18" s="49">
        <v>31947</v>
      </c>
      <c r="D18" s="152">
        <f>'BTHKL D1 T1 (26)'!F17</f>
        <v>52.59</v>
      </c>
      <c r="E18" s="153">
        <f t="shared" si="1"/>
        <v>1680093</v>
      </c>
      <c r="F18" s="45"/>
      <c r="G18" s="154"/>
      <c r="H18" s="153">
        <f t="shared" si="0"/>
        <v>1680093</v>
      </c>
      <c r="I18" s="45"/>
      <c r="K18" s="169">
        <f>33.17*C17</f>
        <v>1059681.99</v>
      </c>
      <c r="L18" s="169">
        <f>SUM(H18:H19)</f>
        <v>4560115</v>
      </c>
      <c r="M18" s="169" t="e">
        <f>SUM(#REF!)</f>
        <v>#REF!</v>
      </c>
      <c r="N18" s="169"/>
      <c r="O18" s="169"/>
      <c r="P18" s="169"/>
      <c r="Q18" s="169"/>
      <c r="R18" s="169"/>
      <c r="S18" s="169"/>
      <c r="T18" s="169"/>
      <c r="U18" s="169"/>
      <c r="V18" s="169"/>
      <c r="W18" s="169"/>
    </row>
    <row r="19" spans="1:23" s="136" customFormat="1" ht="23.1" customHeight="1">
      <c r="A19" s="416">
        <f t="shared" si="2"/>
        <v>5</v>
      </c>
      <c r="B19" s="130" t="s">
        <v>42</v>
      </c>
      <c r="C19" s="49">
        <v>31947</v>
      </c>
      <c r="D19" s="152">
        <f>'BTHKL D1 T1 (26)'!F18</f>
        <v>90.15</v>
      </c>
      <c r="E19" s="153">
        <f t="shared" si="1"/>
        <v>2880022</v>
      </c>
      <c r="F19" s="45"/>
      <c r="G19" s="154"/>
      <c r="H19" s="153">
        <f t="shared" si="0"/>
        <v>2880022</v>
      </c>
      <c r="I19" s="45"/>
      <c r="K19" s="169">
        <f>24.42*C22</f>
        <v>780145.74000000011</v>
      </c>
      <c r="L19" s="169">
        <f>L18+K18+K19</f>
        <v>6399942.7300000004</v>
      </c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</row>
    <row r="20" spans="1:23" s="136" customFormat="1" ht="23.1" customHeight="1">
      <c r="A20" s="416">
        <f t="shared" si="2"/>
        <v>6</v>
      </c>
      <c r="B20" s="131" t="s">
        <v>43</v>
      </c>
      <c r="C20" s="49">
        <v>31947</v>
      </c>
      <c r="D20" s="152">
        <f>'BTHKL D1 T1 (26)'!F19</f>
        <v>24.93</v>
      </c>
      <c r="E20" s="153">
        <f t="shared" si="1"/>
        <v>796439</v>
      </c>
      <c r="F20" s="45"/>
      <c r="G20" s="154"/>
      <c r="H20" s="153">
        <f t="shared" si="0"/>
        <v>796439</v>
      </c>
      <c r="I20" s="45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</row>
    <row r="21" spans="1:23" s="136" customFormat="1" ht="23.1" customHeight="1">
      <c r="A21" s="416">
        <f t="shared" si="2"/>
        <v>7</v>
      </c>
      <c r="B21" s="132" t="s">
        <v>44</v>
      </c>
      <c r="C21" s="49">
        <v>31947</v>
      </c>
      <c r="D21" s="152">
        <f>'BTHKL D1 T1 (26)'!F20</f>
        <v>13.11</v>
      </c>
      <c r="E21" s="153">
        <f t="shared" si="1"/>
        <v>418825</v>
      </c>
      <c r="F21" s="45"/>
      <c r="G21" s="154"/>
      <c r="H21" s="153">
        <f t="shared" si="0"/>
        <v>418825</v>
      </c>
      <c r="I21" s="45"/>
      <c r="K21" s="169"/>
      <c r="L21" s="169">
        <f>ROUND(D23*C22,0)</f>
        <v>45775578</v>
      </c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</row>
    <row r="22" spans="1:23" s="136" customFormat="1" ht="23.1" customHeight="1">
      <c r="A22" s="416">
        <f t="shared" si="2"/>
        <v>8</v>
      </c>
      <c r="B22" s="131" t="s">
        <v>45</v>
      </c>
      <c r="C22" s="49">
        <v>31947</v>
      </c>
      <c r="D22" s="152">
        <f>'BTHKL D1 T1 (26)'!F21</f>
        <v>20.21</v>
      </c>
      <c r="E22" s="153">
        <f t="shared" si="1"/>
        <v>645649</v>
      </c>
      <c r="F22" s="45"/>
      <c r="G22" s="154"/>
      <c r="H22" s="153">
        <f t="shared" si="0"/>
        <v>645649</v>
      </c>
      <c r="I22" s="45"/>
      <c r="K22" s="169"/>
      <c r="L22" s="169">
        <f>'TTL dot​2 (31947)'!G84</f>
        <v>45775579</v>
      </c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</row>
    <row r="23" spans="1:23" s="136" customFormat="1" ht="23.1" customHeight="1">
      <c r="A23" s="16"/>
      <c r="B23" s="778" t="s">
        <v>46</v>
      </c>
      <c r="C23" s="779"/>
      <c r="D23" s="447">
        <f>SUM(D15:D22)</f>
        <v>1432.86</v>
      </c>
      <c r="E23" s="156">
        <f>SUM(E15:E22)</f>
        <v>45775579</v>
      </c>
      <c r="F23" s="45"/>
      <c r="G23" s="154"/>
      <c r="H23" s="156">
        <f t="shared" si="0"/>
        <v>45775579</v>
      </c>
      <c r="I23" s="45"/>
      <c r="K23" s="169"/>
      <c r="L23" s="169">
        <f>L22-L21</f>
        <v>1</v>
      </c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</row>
    <row r="24" spans="1:23" s="137" customFormat="1" ht="24" customHeight="1">
      <c r="A24" s="157"/>
      <c r="B24" s="158"/>
      <c r="C24" s="159"/>
      <c r="D24" s="160"/>
      <c r="E24" s="161"/>
      <c r="F24" s="161"/>
      <c r="G24" s="161"/>
      <c r="H24" s="161"/>
      <c r="I24" s="170"/>
      <c r="K24" s="171"/>
      <c r="L24" s="172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spans="1:23" ht="28.5" customHeight="1">
      <c r="A25" s="780" t="s">
        <v>377</v>
      </c>
      <c r="B25" s="780"/>
      <c r="C25" s="780"/>
      <c r="D25" s="780"/>
      <c r="E25" s="780"/>
      <c r="F25" s="780"/>
      <c r="G25" s="780"/>
      <c r="H25" s="780"/>
      <c r="I25" s="780"/>
      <c r="J25" s="173"/>
      <c r="K25" s="174"/>
      <c r="L25" s="174" t="b">
        <f>A25=[2]Sheet1!$N$9</f>
        <v>0</v>
      </c>
      <c r="M25" s="175"/>
      <c r="N25" s="175"/>
      <c r="O25" s="175"/>
      <c r="P25" s="175"/>
      <c r="Q25" s="175"/>
      <c r="R25" s="175"/>
    </row>
    <row r="26" spans="1:23" ht="28.5" customHeight="1">
      <c r="A26" s="761" t="s">
        <v>371</v>
      </c>
      <c r="B26" s="761"/>
      <c r="C26" s="761"/>
      <c r="D26" s="761"/>
      <c r="E26" s="761"/>
      <c r="F26" s="761"/>
      <c r="G26" s="761"/>
      <c r="H26" s="761"/>
      <c r="I26" s="761"/>
      <c r="J26" s="98"/>
      <c r="K26" s="761"/>
      <c r="L26" s="761"/>
      <c r="M26" s="761"/>
      <c r="N26" s="761"/>
      <c r="O26" s="761"/>
      <c r="P26" s="761"/>
      <c r="Q26" s="761"/>
      <c r="R26" s="761"/>
    </row>
    <row r="27" spans="1:23" ht="14.25" customHeight="1">
      <c r="A27" s="162"/>
      <c r="B27" s="162"/>
      <c r="C27" s="162"/>
      <c r="D27" s="162"/>
      <c r="E27" s="162"/>
      <c r="F27" s="162"/>
      <c r="G27" s="162"/>
      <c r="H27" s="162"/>
      <c r="I27" s="162"/>
      <c r="K27" s="176"/>
      <c r="L27" s="177"/>
      <c r="M27" s="176"/>
      <c r="N27" s="176"/>
    </row>
    <row r="28" spans="1:23" s="43" customFormat="1" ht="25.9" customHeight="1">
      <c r="E28" s="784" t="s">
        <v>372</v>
      </c>
      <c r="F28" s="785"/>
      <c r="G28" s="785"/>
      <c r="H28" s="785"/>
      <c r="I28" s="785"/>
      <c r="J28" s="178"/>
      <c r="K28" s="179"/>
      <c r="L28" s="179" t="s">
        <v>47</v>
      </c>
      <c r="M28" s="179"/>
      <c r="N28" s="166"/>
      <c r="O28" s="166"/>
      <c r="P28" s="166"/>
      <c r="Q28" s="166"/>
      <c r="R28" s="166"/>
      <c r="S28" s="166"/>
      <c r="T28" s="166"/>
      <c r="U28" s="166"/>
      <c r="V28" s="166"/>
      <c r="W28" s="166"/>
    </row>
    <row r="29" spans="1:23" s="138" customFormat="1" ht="31.15" customHeight="1">
      <c r="A29" s="786" t="s">
        <v>48</v>
      </c>
      <c r="B29" s="786"/>
      <c r="C29" s="786"/>
      <c r="D29" s="786"/>
      <c r="E29" s="787" t="s">
        <v>49</v>
      </c>
      <c r="F29" s="787"/>
      <c r="G29" s="787"/>
      <c r="H29" s="787"/>
      <c r="I29" s="787"/>
      <c r="J29" s="180"/>
      <c r="K29" s="773"/>
      <c r="L29" s="773"/>
      <c r="M29" s="773"/>
      <c r="N29" s="773"/>
      <c r="O29" s="773"/>
      <c r="P29" s="773"/>
      <c r="Q29" s="773"/>
      <c r="R29" s="773"/>
      <c r="S29" s="183"/>
      <c r="T29" s="183"/>
      <c r="U29" s="183"/>
      <c r="V29" s="183"/>
      <c r="W29" s="183"/>
    </row>
    <row r="30" spans="1:23" s="43" customFormat="1" ht="18" customHeight="1">
      <c r="E30" s="163"/>
      <c r="F30" s="163"/>
      <c r="G30" s="163"/>
      <c r="H30" s="163"/>
      <c r="I30" s="163"/>
      <c r="J30" s="178"/>
      <c r="K30" s="179"/>
      <c r="L30" s="179"/>
      <c r="M30" s="179"/>
      <c r="N30" s="166"/>
      <c r="O30" s="166"/>
      <c r="P30" s="166"/>
      <c r="Q30" s="166"/>
      <c r="R30" s="166"/>
      <c r="S30" s="166"/>
      <c r="T30" s="166"/>
      <c r="U30" s="166"/>
      <c r="V30" s="166"/>
      <c r="W30" s="166"/>
    </row>
    <row r="31" spans="1:23" s="43" customFormat="1" ht="18" customHeight="1">
      <c r="E31" s="163"/>
      <c r="F31" s="163"/>
      <c r="G31" s="163"/>
      <c r="H31" s="163"/>
      <c r="I31" s="163"/>
      <c r="J31" s="178"/>
      <c r="K31" s="179"/>
      <c r="L31" s="179"/>
      <c r="M31" s="179"/>
      <c r="N31" s="166"/>
      <c r="O31" s="166"/>
      <c r="P31" s="166"/>
      <c r="Q31" s="166"/>
      <c r="R31" s="166"/>
      <c r="S31" s="166"/>
      <c r="T31" s="166"/>
      <c r="U31" s="166"/>
      <c r="V31" s="166"/>
      <c r="W31" s="166"/>
    </row>
    <row r="32" spans="1:23" s="43" customFormat="1" ht="18" customHeight="1">
      <c r="E32" s="774" t="s">
        <v>17</v>
      </c>
      <c r="F32" s="774"/>
      <c r="G32" s="774"/>
      <c r="H32" s="774"/>
      <c r="I32" s="774"/>
      <c r="J32" s="178"/>
      <c r="K32" s="179"/>
      <c r="L32" s="179"/>
      <c r="M32" s="179"/>
      <c r="N32" s="166"/>
      <c r="O32" s="166"/>
      <c r="P32" s="166"/>
      <c r="Q32" s="166"/>
      <c r="R32" s="166"/>
      <c r="S32" s="166"/>
      <c r="T32" s="166"/>
      <c r="U32" s="166"/>
      <c r="V32" s="166"/>
      <c r="W32" s="166"/>
    </row>
    <row r="33" spans="1:23" s="139" customFormat="1" ht="27">
      <c r="A33" s="781" t="s">
        <v>50</v>
      </c>
      <c r="B33" s="781"/>
      <c r="C33" s="781"/>
      <c r="D33" s="781"/>
      <c r="E33" s="781" t="s">
        <v>51</v>
      </c>
      <c r="F33" s="781"/>
      <c r="G33" s="781"/>
      <c r="H33" s="781"/>
      <c r="I33" s="781"/>
      <c r="K33" s="181"/>
      <c r="L33" s="181"/>
      <c r="M33" s="181"/>
      <c r="N33" s="182"/>
      <c r="O33" s="182"/>
      <c r="P33" s="182"/>
      <c r="Q33" s="182"/>
      <c r="R33" s="182"/>
      <c r="S33" s="182"/>
      <c r="T33" s="182"/>
      <c r="U33" s="182"/>
      <c r="V33" s="182"/>
      <c r="W33" s="182"/>
    </row>
    <row r="34" spans="1:23" s="43" customFormat="1" ht="16.5">
      <c r="A34" s="89"/>
      <c r="C34" s="89"/>
      <c r="D34" s="89"/>
      <c r="E34" s="164"/>
      <c r="G34" s="164"/>
      <c r="H34" s="164"/>
      <c r="I34" s="164"/>
      <c r="J34" s="143"/>
      <c r="K34" s="179"/>
      <c r="L34" s="179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</row>
    <row r="35" spans="1:23" s="43" customFormat="1" ht="16.5">
      <c r="A35" s="89"/>
      <c r="C35" s="89"/>
      <c r="D35" s="89"/>
      <c r="E35" s="164"/>
      <c r="G35" s="164"/>
      <c r="H35" s="164"/>
      <c r="I35" s="164"/>
      <c r="J35" s="143"/>
      <c r="K35" s="179"/>
      <c r="L35" s="179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</row>
    <row r="36" spans="1:23" s="43" customFormat="1" ht="16.5">
      <c r="A36" s="89"/>
      <c r="C36" s="89"/>
      <c r="D36" s="89"/>
      <c r="E36" s="164"/>
      <c r="G36" s="164"/>
      <c r="H36" s="164"/>
      <c r="I36" s="164"/>
      <c r="J36" s="143"/>
      <c r="K36" s="179"/>
      <c r="L36" s="179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</row>
    <row r="37" spans="1:23" s="43" customFormat="1" ht="16.5">
      <c r="A37" s="89"/>
      <c r="C37" s="89"/>
      <c r="D37" s="89"/>
      <c r="E37" s="164"/>
      <c r="G37" s="164"/>
      <c r="H37" s="164"/>
      <c r="I37" s="164"/>
      <c r="J37" s="143"/>
      <c r="K37" s="179"/>
      <c r="L37" s="179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</row>
    <row r="38" spans="1:23" s="43" customFormat="1" ht="24.75" customHeight="1">
      <c r="A38" s="782" t="s">
        <v>52</v>
      </c>
      <c r="B38" s="782"/>
      <c r="C38" s="782"/>
      <c r="D38" s="782"/>
      <c r="E38" s="782"/>
      <c r="F38" s="782"/>
      <c r="G38" s="782"/>
      <c r="H38" s="782"/>
      <c r="I38" s="782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</row>
    <row r="39" spans="1:23" s="43" customFormat="1" ht="16.5">
      <c r="A39" s="783"/>
      <c r="B39" s="783"/>
      <c r="C39" s="783"/>
      <c r="D39" s="783"/>
      <c r="E39" s="783"/>
      <c r="F39" s="783"/>
      <c r="G39" s="783"/>
      <c r="H39" s="783"/>
      <c r="I39" s="783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</row>
  </sheetData>
  <mergeCells count="26">
    <mergeCell ref="A33:D33"/>
    <mergeCell ref="E33:I33"/>
    <mergeCell ref="A38:I38"/>
    <mergeCell ref="A39:I39"/>
    <mergeCell ref="E28:I28"/>
    <mergeCell ref="A29:D29"/>
    <mergeCell ref="E29:I29"/>
    <mergeCell ref="K29:R29"/>
    <mergeCell ref="E32:I32"/>
    <mergeCell ref="A14:D14"/>
    <mergeCell ref="B23:C23"/>
    <mergeCell ref="A25:I25"/>
    <mergeCell ref="A26:I26"/>
    <mergeCell ref="K26:R26"/>
    <mergeCell ref="A5:C5"/>
    <mergeCell ref="G5:I5"/>
    <mergeCell ref="A7:I7"/>
    <mergeCell ref="A8:I8"/>
    <mergeCell ref="D11:E11"/>
    <mergeCell ref="F11:G11"/>
    <mergeCell ref="A2:C2"/>
    <mergeCell ref="G2:I2"/>
    <mergeCell ref="A3:C3"/>
    <mergeCell ref="G3:I3"/>
    <mergeCell ref="A4:C4"/>
    <mergeCell ref="G4:I4"/>
  </mergeCells>
  <printOptions horizontalCentered="1"/>
  <pageMargins left="0.35433070866141736" right="0.15748031496062992" top="0.59055118110236227" bottom="0.19685039370078741" header="0.15748031496062992" footer="0.15748031496062992"/>
  <pageSetup paperSize="9"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5"/>
  <sheetViews>
    <sheetView view="pageBreakPreview" topLeftCell="A70" zoomScale="85" zoomScaleNormal="85" zoomScaleSheetLayoutView="85" workbookViewId="0">
      <selection activeCell="R69" sqref="R69"/>
    </sheetView>
  </sheetViews>
  <sheetFormatPr defaultRowHeight="15.75"/>
  <cols>
    <col min="1" max="1" width="6" style="690" customWidth="1"/>
    <col min="2" max="2" width="12.25" style="244" customWidth="1"/>
    <col min="3" max="3" width="19.125" style="244" bestFit="1" customWidth="1"/>
    <col min="4" max="4" width="14.125" style="244" customWidth="1"/>
    <col min="5" max="5" width="14.375" style="690" customWidth="1"/>
    <col min="6" max="8" width="3.875" style="244" customWidth="1"/>
    <col min="9" max="9" width="3.875" style="460" customWidth="1"/>
    <col min="10" max="10" width="3.875" style="289" customWidth="1"/>
    <col min="11" max="15" width="3.875" style="244" customWidth="1"/>
    <col min="16" max="16" width="3.875" style="460" customWidth="1"/>
    <col min="17" max="17" width="3.875" style="289" customWidth="1"/>
    <col min="18" max="20" width="3.875" style="244" customWidth="1"/>
    <col min="21" max="21" width="8.5" style="244" customWidth="1"/>
    <col min="22" max="22" width="11.75" style="244" customWidth="1"/>
    <col min="23" max="23" width="9.25" style="244" customWidth="1"/>
    <col min="24" max="24" width="12.75" style="244" bestFit="1" customWidth="1"/>
    <col min="25" max="25" width="12.75" style="244" customWidth="1"/>
    <col min="26" max="26" width="9" style="244"/>
    <col min="27" max="27" width="10.25" style="244" bestFit="1" customWidth="1"/>
    <col min="28" max="28" width="10.375" style="244" bestFit="1" customWidth="1"/>
    <col min="29" max="29" width="10.25" style="244" bestFit="1" customWidth="1"/>
    <col min="30" max="30" width="9" style="244"/>
    <col min="31" max="31" width="10.25" style="244" bestFit="1" customWidth="1"/>
    <col min="32" max="16384" width="9" style="244"/>
  </cols>
  <sheetData>
    <row r="1" spans="1:31" ht="25.5">
      <c r="A1" s="789" t="s">
        <v>0</v>
      </c>
      <c r="B1" s="789"/>
      <c r="C1" s="789"/>
      <c r="D1" s="789"/>
      <c r="E1" s="686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790" t="s">
        <v>1</v>
      </c>
      <c r="Q1" s="790"/>
      <c r="R1" s="790"/>
      <c r="S1" s="790"/>
      <c r="T1" s="790"/>
      <c r="U1" s="790"/>
      <c r="V1" s="790"/>
      <c r="W1" s="790"/>
    </row>
    <row r="2" spans="1:31">
      <c r="A2" s="791" t="s">
        <v>2</v>
      </c>
      <c r="B2" s="791"/>
      <c r="C2" s="791"/>
      <c r="D2" s="791"/>
      <c r="E2" s="688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792" t="s">
        <v>3</v>
      </c>
      <c r="Q2" s="792"/>
      <c r="R2" s="792"/>
      <c r="S2" s="792"/>
      <c r="T2" s="792"/>
      <c r="U2" s="792"/>
      <c r="V2" s="792"/>
      <c r="W2" s="792"/>
    </row>
    <row r="3" spans="1:31" ht="27">
      <c r="A3" s="793" t="s">
        <v>4</v>
      </c>
      <c r="B3" s="793"/>
      <c r="C3" s="793"/>
      <c r="D3" s="793"/>
      <c r="E3" s="376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790" t="s">
        <v>5</v>
      </c>
      <c r="Q3" s="790"/>
      <c r="R3" s="790"/>
      <c r="S3" s="790"/>
      <c r="T3" s="790"/>
      <c r="U3" s="790"/>
      <c r="V3" s="790"/>
      <c r="W3" s="790"/>
    </row>
    <row r="4" spans="1:31">
      <c r="A4" s="794" t="s">
        <v>6</v>
      </c>
      <c r="B4" s="794"/>
      <c r="C4" s="794"/>
      <c r="D4" s="794"/>
      <c r="E4" s="689"/>
      <c r="I4" s="244"/>
      <c r="J4" s="244"/>
      <c r="P4" s="795" t="s">
        <v>7</v>
      </c>
      <c r="Q4" s="795"/>
      <c r="R4" s="795"/>
      <c r="S4" s="795"/>
      <c r="T4" s="795"/>
      <c r="U4" s="795"/>
      <c r="V4" s="795"/>
      <c r="W4" s="795"/>
    </row>
    <row r="5" spans="1:31" ht="16.5" customHeight="1">
      <c r="A5" s="307"/>
      <c r="B5" s="306"/>
      <c r="C5" s="306"/>
      <c r="D5" s="306"/>
      <c r="E5" s="307"/>
      <c r="F5" s="306"/>
      <c r="G5" s="306"/>
      <c r="H5" s="306"/>
      <c r="I5" s="306"/>
      <c r="J5" s="306"/>
      <c r="K5" s="306"/>
      <c r="L5" s="306"/>
      <c r="M5" s="306"/>
      <c r="N5" s="306"/>
      <c r="O5" s="306"/>
      <c r="P5" s="306"/>
      <c r="Q5" s="455"/>
      <c r="R5" s="306"/>
      <c r="S5" s="306"/>
      <c r="T5" s="306"/>
      <c r="U5" s="306"/>
      <c r="V5" s="306"/>
      <c r="W5" s="306"/>
      <c r="X5" s="377"/>
      <c r="Y5" s="377"/>
    </row>
    <row r="6" spans="1:31" s="262" customFormat="1" ht="22.5" customHeight="1">
      <c r="A6" s="796" t="str">
        <f>'[3]BCC D1'!A6:W6</f>
        <v xml:space="preserve">តារាងវត្តមានកម្មកររោងចក្រកែច្នៃជ័រកៅស៊ូ
</v>
      </c>
      <c r="B6" s="796"/>
      <c r="C6" s="796"/>
      <c r="D6" s="796"/>
      <c r="E6" s="796"/>
      <c r="F6" s="796"/>
      <c r="G6" s="796"/>
      <c r="H6" s="796"/>
      <c r="I6" s="796"/>
      <c r="J6" s="796"/>
      <c r="K6" s="796"/>
      <c r="L6" s="796"/>
      <c r="M6" s="796"/>
      <c r="N6" s="796"/>
      <c r="O6" s="796"/>
      <c r="P6" s="796"/>
      <c r="Q6" s="796"/>
      <c r="R6" s="796"/>
      <c r="S6" s="796"/>
      <c r="T6" s="796"/>
      <c r="U6" s="796"/>
      <c r="V6" s="796"/>
      <c r="W6" s="796"/>
    </row>
    <row r="7" spans="1:31" s="262" customFormat="1" ht="21.75" customHeight="1">
      <c r="A7" s="796" t="str">
        <f>'[3]BCC D1'!A7:W7</f>
        <v>ថ្ងៃ ០១ ៦ឥ ១៥ ខែ ០១ ឆ្នាំ ២០២៦ (វគ្គទី ១)</v>
      </c>
      <c r="B7" s="796"/>
      <c r="C7" s="796"/>
      <c r="D7" s="796"/>
      <c r="E7" s="796"/>
      <c r="F7" s="796"/>
      <c r="G7" s="796"/>
      <c r="H7" s="796"/>
      <c r="I7" s="796"/>
      <c r="J7" s="796"/>
      <c r="K7" s="796"/>
      <c r="L7" s="796"/>
      <c r="M7" s="796"/>
      <c r="N7" s="796"/>
      <c r="O7" s="796"/>
      <c r="P7" s="796"/>
      <c r="Q7" s="796"/>
      <c r="R7" s="796"/>
      <c r="S7" s="796"/>
      <c r="T7" s="796"/>
      <c r="U7" s="796"/>
      <c r="V7" s="796"/>
      <c r="W7" s="796"/>
      <c r="X7" s="378"/>
      <c r="Y7" s="378"/>
    </row>
    <row r="8" spans="1:31" s="262" customFormat="1" ht="30" customHeight="1">
      <c r="A8" s="788" t="str">
        <f>'[3]BCC D1'!A8:W8</f>
        <v>BẢNG CHẤM CÔNG CÔNG NHÂN XƯỞNG CHẾ BIẾN</v>
      </c>
      <c r="B8" s="788"/>
      <c r="C8" s="788"/>
      <c r="D8" s="788"/>
      <c r="E8" s="788"/>
      <c r="F8" s="788"/>
      <c r="G8" s="788"/>
      <c r="H8" s="788"/>
      <c r="I8" s="788"/>
      <c r="J8" s="788"/>
      <c r="K8" s="788"/>
      <c r="L8" s="788"/>
      <c r="M8" s="788"/>
      <c r="N8" s="788"/>
      <c r="O8" s="788"/>
      <c r="P8" s="788"/>
      <c r="Q8" s="788"/>
      <c r="R8" s="788"/>
      <c r="S8" s="788"/>
      <c r="T8" s="788"/>
      <c r="U8" s="788"/>
      <c r="V8" s="788"/>
      <c r="W8" s="788"/>
      <c r="X8" s="378"/>
      <c r="Y8" s="378"/>
      <c r="Z8" s="379"/>
    </row>
    <row r="9" spans="1:31" s="263" customFormat="1" ht="21.75">
      <c r="A9" s="788" t="str">
        <f>'[3]BCC D1'!A9:W9</f>
        <v>NGÀY 01  ĐẾN​15 THÁNG 01 NĂM 2026 (ĐỢT 1)</v>
      </c>
      <c r="B9" s="788"/>
      <c r="C9" s="788"/>
      <c r="D9" s="788"/>
      <c r="E9" s="788"/>
      <c r="F9" s="788"/>
      <c r="G9" s="788"/>
      <c r="H9" s="788"/>
      <c r="I9" s="788"/>
      <c r="J9" s="788"/>
      <c r="K9" s="788"/>
      <c r="L9" s="788"/>
      <c r="M9" s="788"/>
      <c r="N9" s="788"/>
      <c r="O9" s="788"/>
      <c r="P9" s="788"/>
      <c r="Q9" s="788"/>
      <c r="R9" s="788"/>
      <c r="S9" s="788"/>
      <c r="T9" s="788"/>
      <c r="U9" s="788"/>
      <c r="V9" s="788"/>
      <c r="W9" s="788"/>
      <c r="Z9" s="261">
        <f>COUNTIF(F9:T9,"-")</f>
        <v>0</v>
      </c>
    </row>
    <row r="10" spans="1:31">
      <c r="A10" s="380"/>
      <c r="B10" s="265"/>
      <c r="C10" s="265"/>
      <c r="D10" s="265"/>
      <c r="E10" s="691"/>
      <c r="F10" s="798"/>
      <c r="G10" s="798"/>
      <c r="H10" s="798"/>
      <c r="I10" s="798"/>
      <c r="J10" s="798"/>
      <c r="K10" s="798"/>
      <c r="L10" s="798"/>
      <c r="M10" s="798"/>
      <c r="N10" s="798"/>
      <c r="O10" s="798"/>
      <c r="P10" s="798"/>
      <c r="Q10" s="798"/>
      <c r="R10" s="798"/>
      <c r="S10" s="798"/>
      <c r="T10" s="798"/>
      <c r="U10" s="691"/>
      <c r="V10" s="264"/>
      <c r="W10" s="264"/>
    </row>
    <row r="11" spans="1:31" s="261" customFormat="1" ht="83.25" customHeight="1">
      <c r="A11" s="381" t="s">
        <v>176</v>
      </c>
      <c r="B11" s="747" t="s">
        <v>267</v>
      </c>
      <c r="C11" s="748" t="s">
        <v>268</v>
      </c>
      <c r="D11" s="381" t="s">
        <v>210</v>
      </c>
      <c r="E11" s="381" t="s">
        <v>269</v>
      </c>
      <c r="F11" s="333">
        <v>1</v>
      </c>
      <c r="G11" s="333">
        <f t="shared" ref="G11:T11" si="0">F11+1</f>
        <v>2</v>
      </c>
      <c r="H11" s="333">
        <f t="shared" si="0"/>
        <v>3</v>
      </c>
      <c r="I11" s="608">
        <f t="shared" si="0"/>
        <v>4</v>
      </c>
      <c r="J11" s="456">
        <f t="shared" si="0"/>
        <v>5</v>
      </c>
      <c r="K11" s="456">
        <f t="shared" si="0"/>
        <v>6</v>
      </c>
      <c r="L11" s="333">
        <f t="shared" si="0"/>
        <v>7</v>
      </c>
      <c r="M11" s="333">
        <f t="shared" si="0"/>
        <v>8</v>
      </c>
      <c r="N11" s="333">
        <f t="shared" si="0"/>
        <v>9</v>
      </c>
      <c r="O11" s="333">
        <f t="shared" si="0"/>
        <v>10</v>
      </c>
      <c r="P11" s="608">
        <f t="shared" si="0"/>
        <v>11</v>
      </c>
      <c r="Q11" s="456">
        <f t="shared" si="0"/>
        <v>12</v>
      </c>
      <c r="R11" s="456">
        <f t="shared" si="0"/>
        <v>13</v>
      </c>
      <c r="S11" s="333">
        <f t="shared" si="0"/>
        <v>14</v>
      </c>
      <c r="T11" s="333">
        <f t="shared" si="0"/>
        <v>15</v>
      </c>
      <c r="U11" s="333" t="s">
        <v>53</v>
      </c>
      <c r="V11" s="333" t="s">
        <v>211</v>
      </c>
      <c r="W11" s="381" t="s">
        <v>327</v>
      </c>
      <c r="Z11" s="261" t="s">
        <v>212</v>
      </c>
      <c r="AA11" s="261" t="s">
        <v>213</v>
      </c>
    </row>
    <row r="12" spans="1:31" s="261" customFormat="1" ht="30" customHeight="1">
      <c r="A12" s="702">
        <v>1</v>
      </c>
      <c r="B12" s="74" t="s">
        <v>55</v>
      </c>
      <c r="C12" s="415" t="s">
        <v>56</v>
      </c>
      <c r="D12" s="382">
        <v>150952531</v>
      </c>
      <c r="E12" s="383">
        <v>32274</v>
      </c>
      <c r="F12" s="617" t="s">
        <v>216</v>
      </c>
      <c r="G12" s="617" t="s">
        <v>214</v>
      </c>
      <c r="H12" s="617" t="s">
        <v>214</v>
      </c>
      <c r="I12" s="616"/>
      <c r="J12" s="617" t="s">
        <v>214</v>
      </c>
      <c r="K12" s="617" t="s">
        <v>214</v>
      </c>
      <c r="L12" s="609" t="s">
        <v>202</v>
      </c>
      <c r="M12" s="609" t="s">
        <v>202</v>
      </c>
      <c r="N12" s="617" t="s">
        <v>214</v>
      </c>
      <c r="O12" s="617" t="s">
        <v>214</v>
      </c>
      <c r="P12" s="616"/>
      <c r="Q12" s="617" t="s">
        <v>214</v>
      </c>
      <c r="R12" s="617" t="s">
        <v>214</v>
      </c>
      <c r="S12" s="617" t="s">
        <v>214</v>
      </c>
      <c r="T12" s="617" t="s">
        <v>214</v>
      </c>
      <c r="U12" s="457"/>
      <c r="V12" s="566">
        <f t="shared" ref="V12:V22" si="1">COUNTIF(F12:T12,"X")+0.5*COUNTIF(F12:T12,"/")+COUNTIF(F12:T12,"R1")+COUNTIF(F12:T12,"R")+COUNTIF(F12:T12,"R")+COUNTIF(F12:T12,"Xcv")</f>
        <v>10.5</v>
      </c>
      <c r="W12" s="333"/>
      <c r="X12" s="261" t="e">
        <f>#REF!='[3]BCC D1'!#REF!</f>
        <v>#REF!</v>
      </c>
      <c r="Y12" s="261" t="e">
        <f>U12=#REF!</f>
        <v>#REF!</v>
      </c>
      <c r="Z12" s="452">
        <v>1</v>
      </c>
      <c r="AA12" s="261">
        <f>COUNTIF(F12:T12,"-")</f>
        <v>2</v>
      </c>
      <c r="AB12" s="246">
        <f>ROUND(AD12/AC12,4)</f>
        <v>0.95450000000000002</v>
      </c>
      <c r="AC12" s="246">
        <v>11</v>
      </c>
      <c r="AD12" s="247">
        <f>V12</f>
        <v>10.5</v>
      </c>
      <c r="AE12" s="248">
        <f>ROUND(AD12*31947,0)</f>
        <v>335444</v>
      </c>
    </row>
    <row r="13" spans="1:31" s="261" customFormat="1" ht="30" customHeight="1">
      <c r="A13" s="702">
        <f>+A12+1</f>
        <v>2</v>
      </c>
      <c r="B13" s="415" t="s">
        <v>57</v>
      </c>
      <c r="C13" s="371" t="s">
        <v>58</v>
      </c>
      <c r="D13" s="382">
        <v>110471355</v>
      </c>
      <c r="E13" s="383">
        <v>27485</v>
      </c>
      <c r="F13" s="617" t="s">
        <v>214</v>
      </c>
      <c r="G13" s="617" t="s">
        <v>214</v>
      </c>
      <c r="H13" s="617" t="s">
        <v>214</v>
      </c>
      <c r="I13" s="616"/>
      <c r="J13" s="617" t="s">
        <v>214</v>
      </c>
      <c r="K13" s="617" t="s">
        <v>214</v>
      </c>
      <c r="L13" s="617" t="s">
        <v>214</v>
      </c>
      <c r="M13" s="617" t="s">
        <v>214</v>
      </c>
      <c r="N13" s="617" t="s">
        <v>214</v>
      </c>
      <c r="O13" s="617" t="s">
        <v>214</v>
      </c>
      <c r="P13" s="616"/>
      <c r="Q13" s="617" t="s">
        <v>214</v>
      </c>
      <c r="R13" s="617" t="s">
        <v>214</v>
      </c>
      <c r="S13" s="617" t="s">
        <v>214</v>
      </c>
      <c r="T13" s="617" t="s">
        <v>214</v>
      </c>
      <c r="U13" s="12"/>
      <c r="V13" s="566">
        <f t="shared" si="1"/>
        <v>13</v>
      </c>
      <c r="W13" s="385"/>
      <c r="X13" s="261" t="e">
        <f>#REF!='[3]BCC D1'!#REF!</f>
        <v>#REF!</v>
      </c>
      <c r="Y13" s="261" t="e">
        <f>U13=#REF!</f>
        <v>#REF!</v>
      </c>
      <c r="Z13" s="452">
        <v>0</v>
      </c>
      <c r="AA13" s="261">
        <f>COUNTIF(F13:T13,"-")</f>
        <v>0</v>
      </c>
      <c r="AB13" s="246">
        <f>ROUND(AD13/AC13,4)</f>
        <v>1.1818</v>
      </c>
      <c r="AC13" s="246">
        <v>11</v>
      </c>
      <c r="AD13" s="247">
        <f>V13</f>
        <v>13</v>
      </c>
      <c r="AE13" s="248">
        <f>ROUND(AD13*31947,0)</f>
        <v>415311</v>
      </c>
    </row>
    <row r="14" spans="1:31" s="261" customFormat="1" ht="30" customHeight="1">
      <c r="A14" s="702"/>
      <c r="B14" s="415" t="s">
        <v>57</v>
      </c>
      <c r="C14" s="415" t="s">
        <v>58</v>
      </c>
      <c r="D14" s="382" t="s">
        <v>215</v>
      </c>
      <c r="E14" s="383"/>
      <c r="F14" s="384"/>
      <c r="G14" s="384"/>
      <c r="H14" s="384"/>
      <c r="I14" s="616"/>
      <c r="J14" s="384"/>
      <c r="K14" s="384"/>
      <c r="L14" s="617" t="s">
        <v>214</v>
      </c>
      <c r="M14" s="617" t="s">
        <v>214</v>
      </c>
      <c r="N14" s="617" t="s">
        <v>214</v>
      </c>
      <c r="O14" s="441"/>
      <c r="P14" s="744"/>
      <c r="Q14" s="384"/>
      <c r="R14" s="384"/>
      <c r="S14" s="384"/>
      <c r="T14" s="441"/>
      <c r="U14" s="12"/>
      <c r="V14" s="566">
        <f t="shared" si="1"/>
        <v>3</v>
      </c>
      <c r="W14" s="385"/>
      <c r="Y14" s="261" t="e">
        <f>U14=#REF!</f>
        <v>#REF!</v>
      </c>
      <c r="AB14" s="246">
        <f>ROUND(AD14/AC14,4)</f>
        <v>0.2727</v>
      </c>
      <c r="AC14" s="246">
        <v>11</v>
      </c>
      <c r="AD14" s="247">
        <f>V14</f>
        <v>3</v>
      </c>
      <c r="AE14" s="248">
        <f>ROUND(AD14*31947,0)</f>
        <v>95841</v>
      </c>
    </row>
    <row r="15" spans="1:31" s="261" customFormat="1" ht="30" customHeight="1">
      <c r="A15" s="702">
        <f>+A13+1</f>
        <v>3</v>
      </c>
      <c r="B15" s="74" t="s">
        <v>60</v>
      </c>
      <c r="C15" s="415" t="s">
        <v>61</v>
      </c>
      <c r="D15" s="382">
        <v>150981478</v>
      </c>
      <c r="E15" s="383">
        <v>28166</v>
      </c>
      <c r="F15" s="617" t="s">
        <v>214</v>
      </c>
      <c r="G15" s="617" t="s">
        <v>216</v>
      </c>
      <c r="H15" s="617" t="s">
        <v>214</v>
      </c>
      <c r="I15" s="616"/>
      <c r="J15" s="617" t="s">
        <v>214</v>
      </c>
      <c r="K15" s="617" t="s">
        <v>214</v>
      </c>
      <c r="L15" s="617" t="s">
        <v>214</v>
      </c>
      <c r="M15" s="617" t="s">
        <v>214</v>
      </c>
      <c r="N15" s="617" t="s">
        <v>214</v>
      </c>
      <c r="O15" s="617" t="s">
        <v>214</v>
      </c>
      <c r="P15" s="616"/>
      <c r="Q15" s="617" t="s">
        <v>214</v>
      </c>
      <c r="R15" s="617" t="s">
        <v>214</v>
      </c>
      <c r="S15" s="617" t="s">
        <v>214</v>
      </c>
      <c r="T15" s="617" t="s">
        <v>214</v>
      </c>
      <c r="U15" s="12"/>
      <c r="V15" s="566">
        <f t="shared" si="1"/>
        <v>12.5</v>
      </c>
      <c r="W15" s="385"/>
      <c r="X15" s="261" t="e">
        <f>#REF!='[3]BCC D1'!#REF!</f>
        <v>#REF!</v>
      </c>
      <c r="Y15" s="261" t="e">
        <f>U15=#REF!</f>
        <v>#REF!</v>
      </c>
      <c r="Z15" s="452">
        <v>0</v>
      </c>
      <c r="AA15" s="261">
        <f>COUNTIF(F15:T15,"-")</f>
        <v>0</v>
      </c>
      <c r="AB15" s="246">
        <f>ROUND(AD15/AC15,4)</f>
        <v>1.0564</v>
      </c>
      <c r="AC15" s="246">
        <v>10</v>
      </c>
      <c r="AD15" s="247">
        <f>V15*0.8451</f>
        <v>10.563749999999999</v>
      </c>
      <c r="AE15" s="248">
        <f>ROUND(AD15*31947,0)</f>
        <v>337480</v>
      </c>
    </row>
    <row r="16" spans="1:31" s="261" customFormat="1" ht="30" customHeight="1">
      <c r="A16" s="702">
        <f>+A15+1</f>
        <v>4</v>
      </c>
      <c r="B16" s="25" t="s">
        <v>62</v>
      </c>
      <c r="C16" s="442" t="s">
        <v>63</v>
      </c>
      <c r="D16" s="382">
        <v>150644309</v>
      </c>
      <c r="E16" s="383">
        <v>30376</v>
      </c>
      <c r="F16" s="617" t="s">
        <v>214</v>
      </c>
      <c r="G16" s="617"/>
      <c r="H16" s="617" t="s">
        <v>214</v>
      </c>
      <c r="I16" s="616"/>
      <c r="J16" s="617" t="s">
        <v>214</v>
      </c>
      <c r="K16" s="617" t="s">
        <v>214</v>
      </c>
      <c r="L16" s="617" t="s">
        <v>214</v>
      </c>
      <c r="M16" s="617" t="s">
        <v>214</v>
      </c>
      <c r="N16" s="617" t="s">
        <v>214</v>
      </c>
      <c r="O16" s="617" t="s">
        <v>214</v>
      </c>
      <c r="P16" s="616"/>
      <c r="Q16" s="617" t="s">
        <v>214</v>
      </c>
      <c r="R16" s="617" t="s">
        <v>214</v>
      </c>
      <c r="S16" s="617" t="s">
        <v>214</v>
      </c>
      <c r="T16" s="617" t="s">
        <v>214</v>
      </c>
      <c r="U16" s="12"/>
      <c r="V16" s="566">
        <f t="shared" si="1"/>
        <v>12</v>
      </c>
      <c r="W16" s="385"/>
      <c r="X16" s="261" t="e">
        <f>#REF!='[3]BCC D1'!#REF!</f>
        <v>#REF!</v>
      </c>
      <c r="Y16" s="261" t="e">
        <f>U16=#REF!</f>
        <v>#REF!</v>
      </c>
      <c r="Z16" s="452">
        <v>0</v>
      </c>
      <c r="AA16" s="261">
        <f>COUNTIF(F16:T16,"-")</f>
        <v>0</v>
      </c>
      <c r="AB16" s="246">
        <f>ROUND(AD16/AC16,4)</f>
        <v>1.3658999999999999</v>
      </c>
      <c r="AC16" s="246">
        <v>11</v>
      </c>
      <c r="AD16" s="247">
        <f>V16*1.2521</f>
        <v>15.0252</v>
      </c>
      <c r="AE16" s="248">
        <f>ROUND(AD16*31947,0)</f>
        <v>480010</v>
      </c>
    </row>
    <row r="17" spans="1:31" s="261" customFormat="1" ht="30" customHeight="1">
      <c r="A17" s="702"/>
      <c r="B17" s="25" t="s">
        <v>62</v>
      </c>
      <c r="C17" s="442" t="s">
        <v>63</v>
      </c>
      <c r="D17" s="382" t="s">
        <v>215</v>
      </c>
      <c r="E17" s="383"/>
      <c r="F17" s="384"/>
      <c r="G17" s="384"/>
      <c r="H17" s="384" t="s">
        <v>216</v>
      </c>
      <c r="I17" s="616"/>
      <c r="J17" s="384" t="s">
        <v>216</v>
      </c>
      <c r="K17" s="384" t="s">
        <v>216</v>
      </c>
      <c r="L17" s="384" t="s">
        <v>216</v>
      </c>
      <c r="M17" s="384" t="s">
        <v>216</v>
      </c>
      <c r="N17" s="384" t="s">
        <v>216</v>
      </c>
      <c r="O17" s="384" t="s">
        <v>216</v>
      </c>
      <c r="P17" s="616"/>
      <c r="Q17" s="384" t="s">
        <v>216</v>
      </c>
      <c r="R17" s="384" t="s">
        <v>216</v>
      </c>
      <c r="S17" s="384" t="s">
        <v>216</v>
      </c>
      <c r="T17" s="384" t="s">
        <v>216</v>
      </c>
      <c r="U17" s="12"/>
      <c r="V17" s="566">
        <f t="shared" si="1"/>
        <v>5.5</v>
      </c>
      <c r="W17" s="385"/>
      <c r="AB17" s="247">
        <f>V17</f>
        <v>5.5</v>
      </c>
      <c r="AE17" s="248">
        <f>AB17*5000</f>
        <v>27500</v>
      </c>
    </row>
    <row r="18" spans="1:31" s="261" customFormat="1" ht="30" customHeight="1">
      <c r="A18" s="702">
        <v>5</v>
      </c>
      <c r="B18" s="74" t="s">
        <v>64</v>
      </c>
      <c r="C18" s="415" t="s">
        <v>65</v>
      </c>
      <c r="D18" s="382">
        <v>220195668</v>
      </c>
      <c r="E18" s="383">
        <v>37000</v>
      </c>
      <c r="F18" s="617"/>
      <c r="G18" s="617" t="s">
        <v>214</v>
      </c>
      <c r="H18" s="617" t="s">
        <v>214</v>
      </c>
      <c r="I18" s="616"/>
      <c r="J18" s="617" t="s">
        <v>216</v>
      </c>
      <c r="K18" s="617" t="s">
        <v>214</v>
      </c>
      <c r="L18" s="617"/>
      <c r="M18" s="617"/>
      <c r="N18" s="617"/>
      <c r="O18" s="617" t="s">
        <v>214</v>
      </c>
      <c r="P18" s="616"/>
      <c r="Q18" s="617" t="s">
        <v>214</v>
      </c>
      <c r="R18" s="617" t="s">
        <v>214</v>
      </c>
      <c r="S18" s="617" t="s">
        <v>214</v>
      </c>
      <c r="T18" s="617" t="s">
        <v>214</v>
      </c>
      <c r="U18" s="12"/>
      <c r="V18" s="566">
        <f t="shared" si="1"/>
        <v>8.5</v>
      </c>
      <c r="W18" s="443"/>
      <c r="X18" s="261" t="e">
        <f>#REF!='[3]BCC D1'!#REF!</f>
        <v>#REF!</v>
      </c>
      <c r="Y18" s="261" t="e">
        <f>U18=#REF!</f>
        <v>#REF!</v>
      </c>
      <c r="Z18" s="452">
        <v>0</v>
      </c>
      <c r="AA18" s="261">
        <f>COUNTIF(F18:T18,"-")</f>
        <v>0</v>
      </c>
      <c r="AB18" s="246">
        <f>ROUND(AD18/AC18,4)</f>
        <v>0.96750000000000003</v>
      </c>
      <c r="AC18" s="246">
        <v>11</v>
      </c>
      <c r="AD18" s="247">
        <f>V18*1.2521</f>
        <v>10.642849999999999</v>
      </c>
      <c r="AE18" s="248">
        <f>ROUND(AD18*31947,0)</f>
        <v>340007</v>
      </c>
    </row>
    <row r="19" spans="1:31" s="261" customFormat="1" ht="30" customHeight="1">
      <c r="A19" s="702"/>
      <c r="B19" s="74" t="s">
        <v>64</v>
      </c>
      <c r="C19" s="415" t="s">
        <v>65</v>
      </c>
      <c r="D19" s="382" t="s">
        <v>215</v>
      </c>
      <c r="E19" s="383"/>
      <c r="F19" s="384"/>
      <c r="G19" s="384"/>
      <c r="H19" s="384"/>
      <c r="I19" s="616"/>
      <c r="J19" s="384"/>
      <c r="K19" s="384"/>
      <c r="L19" s="384"/>
      <c r="M19" s="384"/>
      <c r="N19" s="384"/>
      <c r="O19" s="384" t="s">
        <v>216</v>
      </c>
      <c r="P19" s="616"/>
      <c r="Q19" s="384" t="s">
        <v>216</v>
      </c>
      <c r="R19" s="384" t="s">
        <v>216</v>
      </c>
      <c r="S19" s="384" t="s">
        <v>216</v>
      </c>
      <c r="T19" s="384" t="s">
        <v>216</v>
      </c>
      <c r="U19" s="12"/>
      <c r="V19" s="566">
        <f t="shared" si="1"/>
        <v>2.5</v>
      </c>
      <c r="W19" s="385"/>
      <c r="AB19" s="247">
        <f>V19</f>
        <v>2.5</v>
      </c>
      <c r="AE19" s="248">
        <f>AB19*5000</f>
        <v>12500</v>
      </c>
    </row>
    <row r="20" spans="1:31" s="261" customFormat="1" ht="30" customHeight="1">
      <c r="A20" s="702">
        <v>6</v>
      </c>
      <c r="B20" s="346" t="s">
        <v>66</v>
      </c>
      <c r="C20" s="370" t="s">
        <v>67</v>
      </c>
      <c r="D20" s="382">
        <v>220208913</v>
      </c>
      <c r="E20" s="383">
        <v>36814</v>
      </c>
      <c r="F20" s="617"/>
      <c r="G20" s="617" t="s">
        <v>214</v>
      </c>
      <c r="H20" s="617" t="s">
        <v>214</v>
      </c>
      <c r="I20" s="616"/>
      <c r="J20" s="617" t="s">
        <v>214</v>
      </c>
      <c r="K20" s="617" t="s">
        <v>214</v>
      </c>
      <c r="L20" s="617" t="s">
        <v>214</v>
      </c>
      <c r="M20" s="617" t="s">
        <v>214</v>
      </c>
      <c r="N20" s="617" t="s">
        <v>214</v>
      </c>
      <c r="O20" s="617" t="s">
        <v>214</v>
      </c>
      <c r="P20" s="616"/>
      <c r="Q20" s="617" t="s">
        <v>214</v>
      </c>
      <c r="R20" s="617" t="s">
        <v>214</v>
      </c>
      <c r="S20" s="617" t="s">
        <v>214</v>
      </c>
      <c r="T20" s="617" t="s">
        <v>214</v>
      </c>
      <c r="U20" s="12"/>
      <c r="V20" s="566">
        <f t="shared" si="1"/>
        <v>12</v>
      </c>
      <c r="W20" s="385"/>
      <c r="X20" s="261" t="e">
        <f>#REF!='[3]BCC D1'!#REF!</f>
        <v>#REF!</v>
      </c>
      <c r="Y20" s="261" t="e">
        <f>U20=#REF!</f>
        <v>#REF!</v>
      </c>
      <c r="Z20" s="452">
        <v>0</v>
      </c>
      <c r="AA20" s="261">
        <f>COUNTIF(F20:T20,"-")</f>
        <v>0</v>
      </c>
      <c r="AB20" s="247">
        <f>V20*1.2521</f>
        <v>15.0252</v>
      </c>
      <c r="AC20" s="248">
        <f>ROUND(V20*31947,0)</f>
        <v>383364</v>
      </c>
    </row>
    <row r="21" spans="1:31" s="261" customFormat="1" ht="30" customHeight="1">
      <c r="A21" s="702"/>
      <c r="B21" s="346" t="s">
        <v>66</v>
      </c>
      <c r="C21" s="370" t="s">
        <v>67</v>
      </c>
      <c r="D21" s="382" t="s">
        <v>215</v>
      </c>
      <c r="E21" s="383"/>
      <c r="F21" s="384"/>
      <c r="G21" s="384"/>
      <c r="H21" s="384" t="s">
        <v>216</v>
      </c>
      <c r="I21" s="616"/>
      <c r="J21" s="384" t="s">
        <v>216</v>
      </c>
      <c r="K21" s="384" t="s">
        <v>216</v>
      </c>
      <c r="L21" s="384" t="s">
        <v>216</v>
      </c>
      <c r="M21" s="384" t="s">
        <v>216</v>
      </c>
      <c r="N21" s="384" t="s">
        <v>216</v>
      </c>
      <c r="O21" s="384" t="s">
        <v>216</v>
      </c>
      <c r="P21" s="616"/>
      <c r="Q21" s="384" t="s">
        <v>216</v>
      </c>
      <c r="R21" s="384" t="s">
        <v>216</v>
      </c>
      <c r="S21" s="384" t="s">
        <v>216</v>
      </c>
      <c r="T21" s="384" t="s">
        <v>216</v>
      </c>
      <c r="U21" s="12"/>
      <c r="V21" s="566">
        <f t="shared" si="1"/>
        <v>5.5</v>
      </c>
      <c r="W21" s="385"/>
      <c r="AB21" s="247">
        <f>V21</f>
        <v>5.5</v>
      </c>
      <c r="AC21" s="248">
        <f>V21*5000</f>
        <v>27500</v>
      </c>
    </row>
    <row r="22" spans="1:31" s="261" customFormat="1" ht="30" customHeight="1">
      <c r="A22" s="702">
        <v>7</v>
      </c>
      <c r="B22" s="567" t="s">
        <v>68</v>
      </c>
      <c r="C22" s="568" t="s">
        <v>69</v>
      </c>
      <c r="D22" s="569">
        <v>150911076</v>
      </c>
      <c r="E22" s="386">
        <v>37169</v>
      </c>
      <c r="F22" s="12"/>
      <c r="G22" s="12"/>
      <c r="H22" s="12"/>
      <c r="I22" s="12"/>
      <c r="J22" s="728" t="s">
        <v>361</v>
      </c>
      <c r="K22" s="728" t="s">
        <v>361</v>
      </c>
      <c r="L22" s="728"/>
      <c r="M22" s="728" t="s">
        <v>361</v>
      </c>
      <c r="N22" s="728" t="s">
        <v>214</v>
      </c>
      <c r="O22" s="728" t="s">
        <v>214</v>
      </c>
      <c r="P22" s="728" t="s">
        <v>214</v>
      </c>
      <c r="Q22" s="728" t="s">
        <v>214</v>
      </c>
      <c r="R22" s="728" t="s">
        <v>214</v>
      </c>
      <c r="S22" s="728" t="s">
        <v>214</v>
      </c>
      <c r="T22" s="728" t="s">
        <v>214</v>
      </c>
      <c r="U22" s="12"/>
      <c r="V22" s="566">
        <f t="shared" si="1"/>
        <v>10</v>
      </c>
      <c r="W22" s="385"/>
      <c r="X22" s="261" t="e">
        <f>#REF!='[3]BCC D1'!#REF!</f>
        <v>#REF!</v>
      </c>
      <c r="Z22" s="452">
        <v>1</v>
      </c>
      <c r="AA22" s="261">
        <f t="shared" ref="AA22:AA50" si="2">COUNTIF(F22:T22,"-")</f>
        <v>0</v>
      </c>
      <c r="AB22" s="247"/>
      <c r="AC22" s="248"/>
    </row>
    <row r="23" spans="1:31" s="261" customFormat="1" ht="30" customHeight="1">
      <c r="A23" s="702">
        <f t="shared" ref="A23:A42" si="3">A22+1</f>
        <v>8</v>
      </c>
      <c r="B23" s="570" t="s">
        <v>70</v>
      </c>
      <c r="C23" s="369" t="s">
        <v>71</v>
      </c>
      <c r="D23" s="569">
        <v>220102094</v>
      </c>
      <c r="E23" s="386">
        <v>34977</v>
      </c>
      <c r="F23" s="12"/>
      <c r="G23" s="12"/>
      <c r="H23" s="12"/>
      <c r="I23" s="12"/>
      <c r="J23" s="728" t="s">
        <v>361</v>
      </c>
      <c r="K23" s="728" t="s">
        <v>361</v>
      </c>
      <c r="L23" s="728" t="s">
        <v>361</v>
      </c>
      <c r="M23" s="728" t="s">
        <v>361</v>
      </c>
      <c r="N23" s="728" t="s">
        <v>214</v>
      </c>
      <c r="O23" s="728" t="s">
        <v>214</v>
      </c>
      <c r="P23" s="728" t="s">
        <v>214</v>
      </c>
      <c r="Q23" s="728" t="s">
        <v>214</v>
      </c>
      <c r="R23" s="728" t="s">
        <v>214</v>
      </c>
      <c r="S23" s="735" t="s">
        <v>202</v>
      </c>
      <c r="T23" s="728" t="s">
        <v>214</v>
      </c>
      <c r="U23" s="12"/>
      <c r="V23" s="566">
        <f t="shared" ref="V23:V43" si="4">COUNTIF(F23:T23,"X")+0.5*COUNTIF(F23:T23,"/")+COUNTIF(F23:T23,"R1")+COUNTIF(F23:T23,"R")+COUNTIF(F23:T23,"R")+COUNTIF(F23:T23,"Xcv")</f>
        <v>10</v>
      </c>
      <c r="W23" s="385"/>
      <c r="X23" s="261" t="e">
        <f>#REF!='[3]BCC D1'!#REF!</f>
        <v>#REF!</v>
      </c>
      <c r="Z23" s="452">
        <v>0</v>
      </c>
      <c r="AA23" s="261">
        <f t="shared" si="2"/>
        <v>1</v>
      </c>
      <c r="AB23" s="247"/>
      <c r="AC23" s="248"/>
    </row>
    <row r="24" spans="1:31" s="261" customFormat="1" ht="30" customHeight="1">
      <c r="A24" s="702">
        <f t="shared" si="3"/>
        <v>9</v>
      </c>
      <c r="B24" s="570" t="s">
        <v>74</v>
      </c>
      <c r="C24" s="571" t="s">
        <v>75</v>
      </c>
      <c r="D24" s="569">
        <v>210050404</v>
      </c>
      <c r="E24" s="386">
        <v>35370</v>
      </c>
      <c r="F24" s="12"/>
      <c r="G24" s="12"/>
      <c r="H24" s="12"/>
      <c r="I24" s="12"/>
      <c r="J24" s="728"/>
      <c r="K24" s="728"/>
      <c r="L24" s="728"/>
      <c r="M24" s="728"/>
      <c r="N24" s="728" t="s">
        <v>214</v>
      </c>
      <c r="O24" s="728" t="s">
        <v>214</v>
      </c>
      <c r="P24" s="728" t="s">
        <v>214</v>
      </c>
      <c r="Q24" s="728" t="s">
        <v>214</v>
      </c>
      <c r="R24" s="728" t="s">
        <v>214</v>
      </c>
      <c r="S24" s="728" t="s">
        <v>214</v>
      </c>
      <c r="T24" s="728" t="s">
        <v>214</v>
      </c>
      <c r="U24" s="12"/>
      <c r="V24" s="566">
        <f t="shared" si="4"/>
        <v>7</v>
      </c>
      <c r="W24" s="385"/>
      <c r="X24" s="261" t="e">
        <f>#REF!='[3]BCC D1'!#REF!</f>
        <v>#REF!</v>
      </c>
      <c r="Z24" s="452">
        <v>1</v>
      </c>
      <c r="AA24" s="261">
        <f t="shared" si="2"/>
        <v>0</v>
      </c>
      <c r="AB24" s="247"/>
      <c r="AC24" s="248"/>
    </row>
    <row r="25" spans="1:31" s="261" customFormat="1" ht="30" customHeight="1">
      <c r="A25" s="702">
        <f t="shared" si="3"/>
        <v>10</v>
      </c>
      <c r="B25" s="570" t="s">
        <v>76</v>
      </c>
      <c r="C25" s="572" t="s">
        <v>77</v>
      </c>
      <c r="D25" s="573">
        <v>151006137</v>
      </c>
      <c r="E25" s="386">
        <v>38944</v>
      </c>
      <c r="F25" s="12"/>
      <c r="G25" s="12"/>
      <c r="H25" s="12"/>
      <c r="I25" s="12"/>
      <c r="J25" s="728"/>
      <c r="K25" s="728"/>
      <c r="L25" s="728"/>
      <c r="M25" s="728"/>
      <c r="N25" s="728" t="s">
        <v>214</v>
      </c>
      <c r="O25" s="728" t="s">
        <v>214</v>
      </c>
      <c r="P25" s="728" t="s">
        <v>214</v>
      </c>
      <c r="Q25" s="728" t="s">
        <v>214</v>
      </c>
      <c r="R25" s="728" t="s">
        <v>214</v>
      </c>
      <c r="S25" s="728" t="s">
        <v>214</v>
      </c>
      <c r="T25" s="735" t="s">
        <v>202</v>
      </c>
      <c r="U25" s="457"/>
      <c r="V25" s="566">
        <f t="shared" si="4"/>
        <v>6</v>
      </c>
      <c r="W25" s="385"/>
      <c r="X25" s="261" t="e">
        <f>#REF!='[3]BCC D1'!#REF!</f>
        <v>#REF!</v>
      </c>
      <c r="Z25" s="452">
        <v>1</v>
      </c>
      <c r="AA25" s="261">
        <f t="shared" si="2"/>
        <v>1</v>
      </c>
      <c r="AB25" s="247"/>
      <c r="AC25" s="248"/>
    </row>
    <row r="26" spans="1:31" s="261" customFormat="1" ht="30" customHeight="1">
      <c r="A26" s="702">
        <f t="shared" si="3"/>
        <v>11</v>
      </c>
      <c r="B26" s="570" t="s">
        <v>78</v>
      </c>
      <c r="C26" s="574" t="s">
        <v>79</v>
      </c>
      <c r="D26" s="569" t="s">
        <v>183</v>
      </c>
      <c r="E26" s="575">
        <v>34973</v>
      </c>
      <c r="F26" s="12"/>
      <c r="G26" s="12"/>
      <c r="H26" s="12"/>
      <c r="I26" s="12"/>
      <c r="J26" s="728" t="s">
        <v>361</v>
      </c>
      <c r="K26" s="728" t="s">
        <v>361</v>
      </c>
      <c r="L26" s="728" t="s">
        <v>361</v>
      </c>
      <c r="M26" s="728" t="s">
        <v>361</v>
      </c>
      <c r="N26" s="728" t="s">
        <v>214</v>
      </c>
      <c r="O26" s="728" t="s">
        <v>214</v>
      </c>
      <c r="P26" s="728" t="s">
        <v>214</v>
      </c>
      <c r="Q26" s="728" t="s">
        <v>214</v>
      </c>
      <c r="R26" s="728" t="s">
        <v>214</v>
      </c>
      <c r="S26" s="728" t="s">
        <v>214</v>
      </c>
      <c r="T26" s="728" t="s">
        <v>214</v>
      </c>
      <c r="U26" s="457"/>
      <c r="V26" s="566">
        <f t="shared" si="4"/>
        <v>11</v>
      </c>
      <c r="W26" s="385"/>
      <c r="X26" s="261" t="e">
        <f>#REF!='[3]BCC D1'!#REF!</f>
        <v>#REF!</v>
      </c>
      <c r="Z26" s="452">
        <v>1</v>
      </c>
      <c r="AA26" s="261">
        <f t="shared" si="2"/>
        <v>0</v>
      </c>
      <c r="AB26" s="247"/>
      <c r="AC26" s="248"/>
    </row>
    <row r="27" spans="1:31" s="261" customFormat="1" ht="30" customHeight="1">
      <c r="A27" s="702">
        <f t="shared" si="3"/>
        <v>12</v>
      </c>
      <c r="B27" s="570" t="s">
        <v>80</v>
      </c>
      <c r="C27" s="574" t="s">
        <v>81</v>
      </c>
      <c r="D27" s="569">
        <v>150469697</v>
      </c>
      <c r="E27" s="386">
        <v>33704</v>
      </c>
      <c r="F27" s="12"/>
      <c r="G27" s="12"/>
      <c r="H27" s="12"/>
      <c r="I27" s="12"/>
      <c r="J27" s="728"/>
      <c r="K27" s="728"/>
      <c r="L27" s="728" t="s">
        <v>361</v>
      </c>
      <c r="M27" s="728"/>
      <c r="N27" s="728" t="s">
        <v>214</v>
      </c>
      <c r="O27" s="728" t="s">
        <v>214</v>
      </c>
      <c r="P27" s="728" t="s">
        <v>214</v>
      </c>
      <c r="Q27" s="728" t="s">
        <v>214</v>
      </c>
      <c r="R27" s="728" t="s">
        <v>214</v>
      </c>
      <c r="S27" s="728" t="s">
        <v>214</v>
      </c>
      <c r="T27" s="728" t="s">
        <v>214</v>
      </c>
      <c r="U27" s="457"/>
      <c r="V27" s="566">
        <f t="shared" si="4"/>
        <v>8</v>
      </c>
      <c r="W27" s="385"/>
      <c r="X27" s="261" t="e">
        <f>#REF!='[3]BCC D1'!#REF!</f>
        <v>#REF!</v>
      </c>
      <c r="Z27" s="452">
        <v>4</v>
      </c>
      <c r="AA27" s="261">
        <f t="shared" si="2"/>
        <v>0</v>
      </c>
      <c r="AB27" s="247"/>
      <c r="AC27" s="248"/>
    </row>
    <row r="28" spans="1:31" s="261" customFormat="1" ht="30" customHeight="1">
      <c r="A28" s="702">
        <f t="shared" si="3"/>
        <v>13</v>
      </c>
      <c r="B28" s="570" t="s">
        <v>82</v>
      </c>
      <c r="C28" s="574" t="s">
        <v>83</v>
      </c>
      <c r="D28" s="569">
        <v>150927708</v>
      </c>
      <c r="E28" s="386">
        <v>37085</v>
      </c>
      <c r="F28" s="12"/>
      <c r="G28" s="12"/>
      <c r="H28" s="12"/>
      <c r="I28" s="12"/>
      <c r="J28" s="728"/>
      <c r="K28" s="728"/>
      <c r="L28" s="728"/>
      <c r="M28" s="728"/>
      <c r="N28" s="728" t="s">
        <v>214</v>
      </c>
      <c r="O28" s="728" t="s">
        <v>214</v>
      </c>
      <c r="P28" s="728" t="s">
        <v>214</v>
      </c>
      <c r="Q28" s="728" t="s">
        <v>214</v>
      </c>
      <c r="R28" s="728" t="s">
        <v>214</v>
      </c>
      <c r="S28" s="728" t="s">
        <v>214</v>
      </c>
      <c r="T28" s="728" t="s">
        <v>214</v>
      </c>
      <c r="U28" s="12"/>
      <c r="V28" s="566">
        <f t="shared" si="4"/>
        <v>7</v>
      </c>
      <c r="W28" s="385"/>
      <c r="X28" s="261" t="e">
        <f>#REF!='[3]BCC D1'!#REF!</f>
        <v>#REF!</v>
      </c>
      <c r="Z28" s="452">
        <v>0</v>
      </c>
      <c r="AA28" s="261">
        <f t="shared" si="2"/>
        <v>0</v>
      </c>
      <c r="AB28" s="247"/>
      <c r="AC28" s="248"/>
    </row>
    <row r="29" spans="1:31" s="261" customFormat="1" ht="30" customHeight="1">
      <c r="A29" s="702">
        <f t="shared" si="3"/>
        <v>14</v>
      </c>
      <c r="B29" s="576" t="s">
        <v>84</v>
      </c>
      <c r="C29" s="577" t="s">
        <v>85</v>
      </c>
      <c r="D29" s="569">
        <v>151034061</v>
      </c>
      <c r="E29" s="386">
        <v>39153</v>
      </c>
      <c r="F29" s="12"/>
      <c r="G29" s="12"/>
      <c r="H29" s="12"/>
      <c r="I29" s="12"/>
      <c r="J29" s="728"/>
      <c r="K29" s="728"/>
      <c r="L29" s="728"/>
      <c r="M29" s="728"/>
      <c r="N29" s="728" t="s">
        <v>214</v>
      </c>
      <c r="O29" s="728" t="s">
        <v>216</v>
      </c>
      <c r="P29" s="728" t="s">
        <v>214</v>
      </c>
      <c r="Q29" s="728" t="s">
        <v>214</v>
      </c>
      <c r="R29" s="728" t="s">
        <v>214</v>
      </c>
      <c r="S29" s="728" t="s">
        <v>214</v>
      </c>
      <c r="T29" s="735" t="s">
        <v>202</v>
      </c>
      <c r="U29" s="457"/>
      <c r="V29" s="566">
        <f t="shared" si="4"/>
        <v>5.5</v>
      </c>
      <c r="W29" s="385"/>
      <c r="X29" s="261" t="e">
        <f>#REF!='[3]BCC D1'!#REF!</f>
        <v>#REF!</v>
      </c>
      <c r="Z29" s="452">
        <v>3</v>
      </c>
      <c r="AA29" s="261">
        <f t="shared" si="2"/>
        <v>1</v>
      </c>
      <c r="AB29" s="247"/>
      <c r="AC29" s="248"/>
    </row>
    <row r="30" spans="1:31" s="261" customFormat="1" ht="30" customHeight="1">
      <c r="A30" s="702">
        <f t="shared" si="3"/>
        <v>15</v>
      </c>
      <c r="B30" s="578" t="s">
        <v>86</v>
      </c>
      <c r="C30" s="579" t="s">
        <v>87</v>
      </c>
      <c r="D30" s="569">
        <v>150911069</v>
      </c>
      <c r="E30" s="386">
        <v>37366</v>
      </c>
      <c r="F30" s="12"/>
      <c r="G30" s="12"/>
      <c r="H30" s="12"/>
      <c r="I30" s="12"/>
      <c r="J30" s="728"/>
      <c r="K30" s="728"/>
      <c r="L30" s="728"/>
      <c r="M30" s="728"/>
      <c r="N30" s="728" t="s">
        <v>214</v>
      </c>
      <c r="O30" s="728" t="s">
        <v>214</v>
      </c>
      <c r="P30" s="728" t="s">
        <v>214</v>
      </c>
      <c r="Q30" s="728" t="s">
        <v>214</v>
      </c>
      <c r="R30" s="728" t="s">
        <v>214</v>
      </c>
      <c r="S30" s="735" t="s">
        <v>202</v>
      </c>
      <c r="T30" s="728" t="s">
        <v>214</v>
      </c>
      <c r="U30" s="12"/>
      <c r="V30" s="566">
        <f t="shared" si="4"/>
        <v>6</v>
      </c>
      <c r="W30" s="385"/>
      <c r="X30" s="261" t="e">
        <f>#REF!='[3]BCC D1'!#REF!</f>
        <v>#REF!</v>
      </c>
      <c r="Z30" s="452">
        <v>1</v>
      </c>
      <c r="AA30" s="261">
        <f t="shared" si="2"/>
        <v>1</v>
      </c>
      <c r="AB30" s="247"/>
      <c r="AC30" s="248"/>
    </row>
    <row r="31" spans="1:31" s="261" customFormat="1" ht="30" customHeight="1">
      <c r="A31" s="702">
        <f t="shared" si="3"/>
        <v>16</v>
      </c>
      <c r="B31" s="578" t="s">
        <v>88</v>
      </c>
      <c r="C31" s="579" t="s">
        <v>89</v>
      </c>
      <c r="D31" s="569" t="s">
        <v>184</v>
      </c>
      <c r="E31" s="386">
        <v>31484</v>
      </c>
      <c r="F31" s="12"/>
      <c r="G31" s="12"/>
      <c r="H31" s="12"/>
      <c r="I31" s="12"/>
      <c r="J31" s="728" t="s">
        <v>361</v>
      </c>
      <c r="K31" s="728" t="s">
        <v>361</v>
      </c>
      <c r="L31" s="728" t="s">
        <v>361</v>
      </c>
      <c r="M31" s="728" t="s">
        <v>361</v>
      </c>
      <c r="N31" s="735" t="s">
        <v>202</v>
      </c>
      <c r="O31" s="728" t="s">
        <v>214</v>
      </c>
      <c r="P31" s="728" t="s">
        <v>214</v>
      </c>
      <c r="Q31" s="728" t="s">
        <v>214</v>
      </c>
      <c r="R31" s="728" t="s">
        <v>214</v>
      </c>
      <c r="S31" s="728" t="s">
        <v>214</v>
      </c>
      <c r="T31" s="728" t="s">
        <v>214</v>
      </c>
      <c r="U31" s="12"/>
      <c r="V31" s="566">
        <f t="shared" si="4"/>
        <v>10</v>
      </c>
      <c r="W31" s="385"/>
      <c r="X31" s="261" t="e">
        <f>#REF!='[3]BCC D1'!#REF!</f>
        <v>#REF!</v>
      </c>
      <c r="Z31" s="452">
        <v>0</v>
      </c>
      <c r="AA31" s="261">
        <f t="shared" si="2"/>
        <v>1</v>
      </c>
      <c r="AB31" s="247"/>
      <c r="AC31" s="248"/>
    </row>
    <row r="32" spans="1:31" s="261" customFormat="1" ht="30" customHeight="1">
      <c r="A32" s="702">
        <f t="shared" si="3"/>
        <v>17</v>
      </c>
      <c r="B32" s="580" t="s">
        <v>90</v>
      </c>
      <c r="C32" s="369" t="s">
        <v>91</v>
      </c>
      <c r="D32" s="569">
        <v>220175393</v>
      </c>
      <c r="E32" s="581">
        <v>31413</v>
      </c>
      <c r="F32" s="12"/>
      <c r="G32" s="12"/>
      <c r="H32" s="12"/>
      <c r="I32" s="12"/>
      <c r="J32" s="728"/>
      <c r="K32" s="728"/>
      <c r="L32" s="728"/>
      <c r="M32" s="728"/>
      <c r="N32" s="735" t="s">
        <v>202</v>
      </c>
      <c r="O32" s="735" t="s">
        <v>202</v>
      </c>
      <c r="P32" s="728" t="s">
        <v>214</v>
      </c>
      <c r="Q32" s="728" t="s">
        <v>214</v>
      </c>
      <c r="R32" s="728" t="s">
        <v>214</v>
      </c>
      <c r="S32" s="728" t="s">
        <v>214</v>
      </c>
      <c r="T32" s="735" t="s">
        <v>202</v>
      </c>
      <c r="U32" s="12"/>
      <c r="V32" s="566">
        <f t="shared" si="4"/>
        <v>4</v>
      </c>
      <c r="W32" s="385"/>
      <c r="X32" s="261" t="e">
        <f>#REF!='[3]BCC D1'!#REF!</f>
        <v>#REF!</v>
      </c>
      <c r="Z32" s="452">
        <v>1</v>
      </c>
      <c r="AA32" s="261">
        <f t="shared" si="2"/>
        <v>3</v>
      </c>
      <c r="AB32" s="247"/>
      <c r="AC32" s="248"/>
    </row>
    <row r="33" spans="1:29" s="261" customFormat="1" ht="30" customHeight="1">
      <c r="A33" s="702">
        <f t="shared" si="3"/>
        <v>18</v>
      </c>
      <c r="B33" s="582" t="s">
        <v>92</v>
      </c>
      <c r="C33" s="583" t="s">
        <v>93</v>
      </c>
      <c r="D33" s="569">
        <v>150936257</v>
      </c>
      <c r="E33" s="581">
        <v>37356</v>
      </c>
      <c r="F33" s="12"/>
      <c r="G33" s="12"/>
      <c r="H33" s="12"/>
      <c r="I33" s="12"/>
      <c r="J33" s="728"/>
      <c r="K33" s="728"/>
      <c r="L33" s="728"/>
      <c r="M33" s="728"/>
      <c r="N33" s="728" t="s">
        <v>214</v>
      </c>
      <c r="O33" s="728" t="s">
        <v>214</v>
      </c>
      <c r="P33" s="728" t="s">
        <v>214</v>
      </c>
      <c r="Q33" s="728" t="s">
        <v>214</v>
      </c>
      <c r="R33" s="728" t="s">
        <v>214</v>
      </c>
      <c r="S33" s="728" t="s">
        <v>214</v>
      </c>
      <c r="T33" s="728" t="s">
        <v>214</v>
      </c>
      <c r="U33" s="457"/>
      <c r="V33" s="566">
        <f t="shared" si="4"/>
        <v>7</v>
      </c>
      <c r="W33" s="385"/>
      <c r="X33" s="261" t="e">
        <f>#REF!='[3]BCC D1'!#REF!</f>
        <v>#REF!</v>
      </c>
      <c r="Z33" s="452">
        <v>1</v>
      </c>
      <c r="AA33" s="261">
        <f t="shared" si="2"/>
        <v>0</v>
      </c>
      <c r="AB33" s="247"/>
      <c r="AC33" s="248"/>
    </row>
    <row r="34" spans="1:29" s="261" customFormat="1" ht="30" customHeight="1">
      <c r="A34" s="702">
        <f t="shared" si="3"/>
        <v>19</v>
      </c>
      <c r="B34" s="582" t="s">
        <v>94</v>
      </c>
      <c r="C34" s="584" t="s">
        <v>95</v>
      </c>
      <c r="D34" s="569">
        <v>220137301</v>
      </c>
      <c r="E34" s="581">
        <v>30074</v>
      </c>
      <c r="F34" s="12"/>
      <c r="G34" s="12"/>
      <c r="H34" s="12"/>
      <c r="I34" s="12"/>
      <c r="J34" s="728" t="s">
        <v>361</v>
      </c>
      <c r="K34" s="728" t="s">
        <v>361</v>
      </c>
      <c r="L34" s="728" t="s">
        <v>361</v>
      </c>
      <c r="M34" s="728" t="s">
        <v>361</v>
      </c>
      <c r="N34" s="728" t="s">
        <v>214</v>
      </c>
      <c r="O34" s="735" t="s">
        <v>202</v>
      </c>
      <c r="P34" s="728" t="s">
        <v>214</v>
      </c>
      <c r="Q34" s="728" t="s">
        <v>214</v>
      </c>
      <c r="R34" s="728" t="s">
        <v>214</v>
      </c>
      <c r="S34" s="728" t="s">
        <v>214</v>
      </c>
      <c r="T34" s="728" t="s">
        <v>214</v>
      </c>
      <c r="U34" s="457"/>
      <c r="V34" s="566">
        <f t="shared" si="4"/>
        <v>10</v>
      </c>
      <c r="W34" s="385"/>
      <c r="X34" s="261" t="e">
        <f>#REF!='[3]BCC D1'!#REF!</f>
        <v>#REF!</v>
      </c>
      <c r="Z34" s="452">
        <v>3</v>
      </c>
      <c r="AA34" s="261">
        <f t="shared" si="2"/>
        <v>1</v>
      </c>
      <c r="AB34" s="247"/>
      <c r="AC34" s="248"/>
    </row>
    <row r="35" spans="1:29" s="261" customFormat="1" ht="30" customHeight="1">
      <c r="A35" s="702">
        <f t="shared" si="3"/>
        <v>20</v>
      </c>
      <c r="B35" s="582" t="s">
        <v>96</v>
      </c>
      <c r="C35" s="584" t="s">
        <v>97</v>
      </c>
      <c r="D35" s="569">
        <v>150940509</v>
      </c>
      <c r="E35" s="581">
        <v>37662</v>
      </c>
      <c r="F35" s="12"/>
      <c r="G35" s="12"/>
      <c r="H35" s="12"/>
      <c r="I35" s="12"/>
      <c r="J35" s="728" t="s">
        <v>361</v>
      </c>
      <c r="K35" s="728" t="s">
        <v>361</v>
      </c>
      <c r="L35" s="728" t="s">
        <v>361</v>
      </c>
      <c r="M35" s="728" t="s">
        <v>361</v>
      </c>
      <c r="N35" s="728" t="s">
        <v>214</v>
      </c>
      <c r="O35" s="735" t="s">
        <v>202</v>
      </c>
      <c r="P35" s="728" t="s">
        <v>214</v>
      </c>
      <c r="Q35" s="728" t="s">
        <v>214</v>
      </c>
      <c r="R35" s="735" t="s">
        <v>202</v>
      </c>
      <c r="S35" s="728" t="s">
        <v>214</v>
      </c>
      <c r="T35" s="728" t="s">
        <v>214</v>
      </c>
      <c r="U35" s="12"/>
      <c r="V35" s="566">
        <f t="shared" si="4"/>
        <v>9</v>
      </c>
      <c r="W35" s="385"/>
      <c r="X35" s="261" t="e">
        <f>#REF!='[3]BCC D1'!#REF!</f>
        <v>#REF!</v>
      </c>
      <c r="Z35" s="452">
        <v>0</v>
      </c>
      <c r="AA35" s="261">
        <f t="shared" si="2"/>
        <v>2</v>
      </c>
      <c r="AB35" s="247"/>
      <c r="AC35" s="248"/>
    </row>
    <row r="36" spans="1:29" s="261" customFormat="1" ht="30" customHeight="1">
      <c r="A36" s="702">
        <f t="shared" si="3"/>
        <v>21</v>
      </c>
      <c r="B36" s="582" t="s">
        <v>98</v>
      </c>
      <c r="C36" s="585" t="s">
        <v>99</v>
      </c>
      <c r="D36" s="569">
        <v>150657948</v>
      </c>
      <c r="E36" s="581">
        <v>36192</v>
      </c>
      <c r="F36" s="12"/>
      <c r="G36" s="12"/>
      <c r="H36" s="12"/>
      <c r="I36" s="12"/>
      <c r="J36" s="728" t="s">
        <v>361</v>
      </c>
      <c r="K36" s="728"/>
      <c r="L36" s="728"/>
      <c r="M36" s="728" t="s">
        <v>361</v>
      </c>
      <c r="N36" s="728" t="s">
        <v>214</v>
      </c>
      <c r="O36" s="728" t="s">
        <v>214</v>
      </c>
      <c r="P36" s="728" t="s">
        <v>214</v>
      </c>
      <c r="Q36" s="728" t="s">
        <v>214</v>
      </c>
      <c r="R36" s="728" t="s">
        <v>214</v>
      </c>
      <c r="S36" s="728" t="s">
        <v>214</v>
      </c>
      <c r="T36" s="735" t="s">
        <v>202</v>
      </c>
      <c r="U36" s="12"/>
      <c r="V36" s="566">
        <f t="shared" si="4"/>
        <v>8</v>
      </c>
      <c r="W36" s="385"/>
      <c r="X36" s="261" t="e">
        <f>#REF!='[3]BCC D1'!#REF!</f>
        <v>#REF!</v>
      </c>
      <c r="Z36" s="452">
        <v>0</v>
      </c>
      <c r="AA36" s="261">
        <f t="shared" si="2"/>
        <v>1</v>
      </c>
      <c r="AB36" s="247"/>
      <c r="AC36" s="248"/>
    </row>
    <row r="37" spans="1:29" s="261" customFormat="1" ht="30" customHeight="1">
      <c r="A37" s="702">
        <f t="shared" si="3"/>
        <v>22</v>
      </c>
      <c r="B37" s="582" t="s">
        <v>100</v>
      </c>
      <c r="C37" s="585" t="s">
        <v>101</v>
      </c>
      <c r="D37" s="569">
        <v>150952503</v>
      </c>
      <c r="E37" s="581">
        <v>38207</v>
      </c>
      <c r="F37" s="12"/>
      <c r="G37" s="12"/>
      <c r="H37" s="12"/>
      <c r="I37" s="12"/>
      <c r="J37" s="728"/>
      <c r="K37" s="728"/>
      <c r="L37" s="728"/>
      <c r="M37" s="728"/>
      <c r="N37" s="728" t="s">
        <v>214</v>
      </c>
      <c r="O37" s="728" t="s">
        <v>214</v>
      </c>
      <c r="P37" s="728" t="s">
        <v>214</v>
      </c>
      <c r="Q37" s="728" t="s">
        <v>214</v>
      </c>
      <c r="R37" s="728" t="s">
        <v>214</v>
      </c>
      <c r="S37" s="728" t="s">
        <v>214</v>
      </c>
      <c r="T37" s="728" t="s">
        <v>214</v>
      </c>
      <c r="U37" s="457"/>
      <c r="V37" s="566">
        <f t="shared" si="4"/>
        <v>7</v>
      </c>
      <c r="W37" s="385"/>
      <c r="X37" s="261" t="e">
        <f>#REF!='[3]BCC D1'!#REF!</f>
        <v>#REF!</v>
      </c>
      <c r="Z37" s="452">
        <v>3</v>
      </c>
      <c r="AA37" s="261">
        <f t="shared" si="2"/>
        <v>0</v>
      </c>
      <c r="AB37" s="247"/>
      <c r="AC37" s="248"/>
    </row>
    <row r="38" spans="1:29" s="261" customFormat="1" ht="30" customHeight="1">
      <c r="A38" s="702">
        <f t="shared" si="3"/>
        <v>23</v>
      </c>
      <c r="B38" s="582" t="s">
        <v>102</v>
      </c>
      <c r="C38" s="585" t="s">
        <v>103</v>
      </c>
      <c r="D38" s="569">
        <v>220248893</v>
      </c>
      <c r="E38" s="581">
        <v>33855</v>
      </c>
      <c r="F38" s="12"/>
      <c r="G38" s="12"/>
      <c r="H38" s="12"/>
      <c r="I38" s="12"/>
      <c r="J38" s="728"/>
      <c r="K38" s="728"/>
      <c r="L38" s="728"/>
      <c r="M38" s="728"/>
      <c r="N38" s="728" t="s">
        <v>214</v>
      </c>
      <c r="O38" s="728" t="s">
        <v>214</v>
      </c>
      <c r="P38" s="728" t="s">
        <v>214</v>
      </c>
      <c r="Q38" s="728" t="s">
        <v>214</v>
      </c>
      <c r="R38" s="728" t="s">
        <v>214</v>
      </c>
      <c r="S38" s="728" t="s">
        <v>214</v>
      </c>
      <c r="T38" s="728" t="s">
        <v>214</v>
      </c>
      <c r="U38" s="457"/>
      <c r="V38" s="566">
        <f t="shared" si="4"/>
        <v>7</v>
      </c>
      <c r="W38" s="385"/>
      <c r="X38" s="261" t="e">
        <f>#REF!='[3]BCC D1'!#REF!</f>
        <v>#REF!</v>
      </c>
      <c r="Z38" s="452">
        <v>3</v>
      </c>
      <c r="AA38" s="261">
        <f t="shared" si="2"/>
        <v>0</v>
      </c>
      <c r="AB38" s="247"/>
      <c r="AC38" s="248"/>
    </row>
    <row r="39" spans="1:29" s="261" customFormat="1" ht="30" customHeight="1">
      <c r="A39" s="702">
        <f t="shared" si="3"/>
        <v>24</v>
      </c>
      <c r="B39" s="582" t="s">
        <v>104</v>
      </c>
      <c r="C39" s="586" t="s">
        <v>105</v>
      </c>
      <c r="D39" s="569">
        <v>220105697</v>
      </c>
      <c r="E39" s="581">
        <v>35623</v>
      </c>
      <c r="F39" s="12"/>
      <c r="G39" s="12"/>
      <c r="H39" s="12"/>
      <c r="I39" s="12"/>
      <c r="J39" s="728"/>
      <c r="K39" s="728"/>
      <c r="L39" s="728"/>
      <c r="M39" s="728"/>
      <c r="N39" s="728" t="s">
        <v>214</v>
      </c>
      <c r="O39" s="728" t="s">
        <v>214</v>
      </c>
      <c r="P39" s="728" t="s">
        <v>214</v>
      </c>
      <c r="Q39" s="728" t="s">
        <v>214</v>
      </c>
      <c r="R39" s="728" t="s">
        <v>214</v>
      </c>
      <c r="S39" s="728" t="s">
        <v>214</v>
      </c>
      <c r="T39" s="728" t="s">
        <v>214</v>
      </c>
      <c r="U39" s="457"/>
      <c r="V39" s="566">
        <f t="shared" si="4"/>
        <v>7</v>
      </c>
      <c r="W39" s="385"/>
      <c r="X39" s="261" t="e">
        <f>#REF!='[3]BCC D1'!#REF!</f>
        <v>#REF!</v>
      </c>
      <c r="Z39" s="452">
        <v>1</v>
      </c>
      <c r="AA39" s="261">
        <f t="shared" si="2"/>
        <v>0</v>
      </c>
      <c r="AB39" s="247"/>
      <c r="AC39" s="248"/>
    </row>
    <row r="40" spans="1:29" s="261" customFormat="1" ht="30" customHeight="1">
      <c r="A40" s="702">
        <f t="shared" si="3"/>
        <v>25</v>
      </c>
      <c r="B40" s="578" t="s">
        <v>219</v>
      </c>
      <c r="C40" s="586" t="s">
        <v>220</v>
      </c>
      <c r="D40" s="569">
        <v>220216744</v>
      </c>
      <c r="E40" s="581">
        <v>37994</v>
      </c>
      <c r="F40" s="12"/>
      <c r="G40" s="12"/>
      <c r="H40" s="12"/>
      <c r="I40" s="12"/>
      <c r="J40" s="728"/>
      <c r="K40" s="728"/>
      <c r="L40" s="728"/>
      <c r="M40" s="728"/>
      <c r="N40" s="728" t="s">
        <v>214</v>
      </c>
      <c r="O40" s="728" t="s">
        <v>214</v>
      </c>
      <c r="P40" s="728" t="s">
        <v>214</v>
      </c>
      <c r="Q40" s="728" t="s">
        <v>214</v>
      </c>
      <c r="R40" s="728" t="s">
        <v>214</v>
      </c>
      <c r="S40" s="728" t="s">
        <v>214</v>
      </c>
      <c r="T40" s="728" t="s">
        <v>214</v>
      </c>
      <c r="U40" s="457"/>
      <c r="V40" s="566">
        <f t="shared" si="4"/>
        <v>7</v>
      </c>
      <c r="W40" s="385"/>
      <c r="X40" s="261" t="e">
        <f>#REF!='[3]BCC D1'!#REF!</f>
        <v>#REF!</v>
      </c>
      <c r="Z40" s="452">
        <v>1</v>
      </c>
      <c r="AA40" s="261">
        <f t="shared" si="2"/>
        <v>0</v>
      </c>
      <c r="AB40" s="247"/>
      <c r="AC40" s="248"/>
    </row>
    <row r="41" spans="1:29" s="261" customFormat="1" ht="30" customHeight="1">
      <c r="A41" s="702">
        <f t="shared" si="3"/>
        <v>26</v>
      </c>
      <c r="B41" s="749" t="s">
        <v>278</v>
      </c>
      <c r="C41" s="586" t="s">
        <v>279</v>
      </c>
      <c r="D41" s="569">
        <v>220211460</v>
      </c>
      <c r="E41" s="581">
        <v>37970</v>
      </c>
      <c r="F41" s="12"/>
      <c r="G41" s="12"/>
      <c r="H41" s="12"/>
      <c r="I41" s="12"/>
      <c r="J41" s="728" t="s">
        <v>361</v>
      </c>
      <c r="K41" s="728" t="s">
        <v>361</v>
      </c>
      <c r="L41" s="728" t="s">
        <v>361</v>
      </c>
      <c r="M41" s="728" t="s">
        <v>361</v>
      </c>
      <c r="N41" s="735" t="s">
        <v>202</v>
      </c>
      <c r="O41" s="735" t="s">
        <v>202</v>
      </c>
      <c r="P41" s="735" t="s">
        <v>202</v>
      </c>
      <c r="Q41" s="735" t="s">
        <v>202</v>
      </c>
      <c r="R41" s="728" t="s">
        <v>214</v>
      </c>
      <c r="S41" s="728" t="s">
        <v>214</v>
      </c>
      <c r="T41" s="728" t="s">
        <v>214</v>
      </c>
      <c r="U41" s="457"/>
      <c r="V41" s="566">
        <f t="shared" si="4"/>
        <v>7</v>
      </c>
      <c r="W41" s="385"/>
      <c r="X41" s="261" t="e">
        <f>#REF!='[3]BCC D1'!#REF!</f>
        <v>#REF!</v>
      </c>
      <c r="Z41" s="452">
        <v>1</v>
      </c>
      <c r="AA41" s="261">
        <f t="shared" si="2"/>
        <v>4</v>
      </c>
      <c r="AB41" s="247"/>
      <c r="AC41" s="248"/>
    </row>
    <row r="42" spans="1:29" s="261" customFormat="1" ht="30" customHeight="1">
      <c r="A42" s="702">
        <f t="shared" si="3"/>
        <v>27</v>
      </c>
      <c r="B42" s="578" t="s">
        <v>280</v>
      </c>
      <c r="C42" s="586" t="s">
        <v>281</v>
      </c>
      <c r="D42" s="569">
        <v>151056059</v>
      </c>
      <c r="E42" s="581">
        <v>38810</v>
      </c>
      <c r="F42" s="12"/>
      <c r="G42" s="12"/>
      <c r="H42" s="12"/>
      <c r="I42" s="12"/>
      <c r="J42" s="728" t="s">
        <v>216</v>
      </c>
      <c r="K42" s="728"/>
      <c r="L42" s="728"/>
      <c r="M42" s="728"/>
      <c r="N42" s="728" t="s">
        <v>214</v>
      </c>
      <c r="O42" s="728" t="s">
        <v>214</v>
      </c>
      <c r="P42" s="735" t="s">
        <v>202</v>
      </c>
      <c r="Q42" s="735" t="s">
        <v>202</v>
      </c>
      <c r="R42" s="728" t="s">
        <v>214</v>
      </c>
      <c r="S42" s="728" t="s">
        <v>214</v>
      </c>
      <c r="T42" s="728" t="s">
        <v>214</v>
      </c>
      <c r="U42" s="457"/>
      <c r="V42" s="566">
        <f t="shared" si="4"/>
        <v>5.5</v>
      </c>
      <c r="W42" s="385"/>
      <c r="X42" s="261" t="e">
        <f>#REF!='[3]BCC D1'!#REF!</f>
        <v>#REF!</v>
      </c>
      <c r="Z42" s="452">
        <v>2</v>
      </c>
      <c r="AA42" s="261">
        <f t="shared" si="2"/>
        <v>2</v>
      </c>
      <c r="AB42" s="247"/>
      <c r="AC42" s="248"/>
    </row>
    <row r="43" spans="1:29" s="261" customFormat="1" ht="30" customHeight="1">
      <c r="A43" s="702">
        <f>A42+1</f>
        <v>28</v>
      </c>
      <c r="B43" s="567" t="s">
        <v>135</v>
      </c>
      <c r="C43" s="365" t="s">
        <v>136</v>
      </c>
      <c r="D43" s="569" t="s">
        <v>189</v>
      </c>
      <c r="E43" s="386">
        <v>31934</v>
      </c>
      <c r="F43" s="12"/>
      <c r="G43" s="12"/>
      <c r="H43" s="12"/>
      <c r="I43" s="12"/>
      <c r="J43" s="728"/>
      <c r="K43" s="728" t="s">
        <v>361</v>
      </c>
      <c r="L43" s="728"/>
      <c r="M43" s="728" t="s">
        <v>361</v>
      </c>
      <c r="N43" s="728" t="s">
        <v>214</v>
      </c>
      <c r="O43" s="728" t="s">
        <v>214</v>
      </c>
      <c r="P43" s="728" t="s">
        <v>214</v>
      </c>
      <c r="Q43" s="728" t="s">
        <v>214</v>
      </c>
      <c r="R43" s="728" t="s">
        <v>214</v>
      </c>
      <c r="S43" s="728" t="s">
        <v>214</v>
      </c>
      <c r="T43" s="728" t="s">
        <v>214</v>
      </c>
      <c r="U43" s="12"/>
      <c r="V43" s="566">
        <f t="shared" si="4"/>
        <v>9</v>
      </c>
      <c r="W43" s="385"/>
      <c r="X43" s="261" t="e">
        <f>#REF!='[3]BCC D1'!#REF!</f>
        <v>#REF!</v>
      </c>
      <c r="Z43" s="452">
        <v>0</v>
      </c>
      <c r="AA43" s="261">
        <f t="shared" si="2"/>
        <v>0</v>
      </c>
      <c r="AB43" s="247"/>
      <c r="AC43" s="248"/>
    </row>
    <row r="44" spans="1:29" s="261" customFormat="1" ht="30" customHeight="1">
      <c r="A44" s="702">
        <v>29</v>
      </c>
      <c r="B44" s="253" t="s">
        <v>106</v>
      </c>
      <c r="C44" s="610" t="s">
        <v>107</v>
      </c>
      <c r="D44" s="569" t="s">
        <v>185</v>
      </c>
      <c r="E44" s="611">
        <v>32888</v>
      </c>
      <c r="F44" s="13"/>
      <c r="G44" s="13"/>
      <c r="H44" s="13" t="s">
        <v>214</v>
      </c>
      <c r="I44" s="13" t="s">
        <v>214</v>
      </c>
      <c r="J44" s="13" t="s">
        <v>214</v>
      </c>
      <c r="K44" s="13" t="s">
        <v>214</v>
      </c>
      <c r="L44" s="13" t="s">
        <v>214</v>
      </c>
      <c r="M44" s="13" t="s">
        <v>214</v>
      </c>
      <c r="N44" s="13" t="s">
        <v>214</v>
      </c>
      <c r="O44" s="13" t="s">
        <v>214</v>
      </c>
      <c r="P44" s="13" t="s">
        <v>214</v>
      </c>
      <c r="Q44" s="13" t="s">
        <v>214</v>
      </c>
      <c r="R44" s="13" t="s">
        <v>214</v>
      </c>
      <c r="S44" s="13" t="s">
        <v>214</v>
      </c>
      <c r="T44" s="13" t="s">
        <v>214</v>
      </c>
      <c r="U44" s="12"/>
      <c r="V44" s="566">
        <f t="shared" ref="V44:V50" si="5">COUNTIF(F44:T44,"X")+0.5*COUNTIF(F44:T44,"/")+COUNTIF(F44:T44,"R1")+COUNTIF(F44:T44,"R")+COUNTIF(F44:T44,"R")+COUNTIF(F44:T44,"Xcv")</f>
        <v>13</v>
      </c>
      <c r="W44" s="385"/>
      <c r="X44" s="261" t="e">
        <f>#REF!='[3]BCC D1'!#REF!</f>
        <v>#REF!</v>
      </c>
      <c r="Z44" s="452">
        <v>0</v>
      </c>
      <c r="AA44" s="261">
        <f t="shared" si="2"/>
        <v>0</v>
      </c>
      <c r="AB44" s="247"/>
      <c r="AC44" s="248"/>
    </row>
    <row r="45" spans="1:29" s="261" customFormat="1" ht="30" customHeight="1">
      <c r="A45" s="702">
        <f t="shared" ref="A45:A53" si="6">+A44+1</f>
        <v>30</v>
      </c>
      <c r="B45" s="253" t="s">
        <v>108</v>
      </c>
      <c r="C45" s="612" t="s">
        <v>109</v>
      </c>
      <c r="D45" s="569">
        <v>150839024</v>
      </c>
      <c r="E45" s="613">
        <v>29091</v>
      </c>
      <c r="F45" s="13"/>
      <c r="G45" s="13"/>
      <c r="H45" s="13" t="s">
        <v>214</v>
      </c>
      <c r="I45" s="13" t="s">
        <v>214</v>
      </c>
      <c r="J45" s="13" t="s">
        <v>214</v>
      </c>
      <c r="K45" s="13" t="s">
        <v>214</v>
      </c>
      <c r="L45" s="13" t="s">
        <v>214</v>
      </c>
      <c r="M45" s="13" t="s">
        <v>214</v>
      </c>
      <c r="N45" s="13" t="s">
        <v>214</v>
      </c>
      <c r="O45" s="13" t="s">
        <v>214</v>
      </c>
      <c r="P45" s="13" t="s">
        <v>214</v>
      </c>
      <c r="Q45" s="13" t="s">
        <v>214</v>
      </c>
      <c r="R45" s="13" t="s">
        <v>214</v>
      </c>
      <c r="S45" s="13" t="s">
        <v>214</v>
      </c>
      <c r="T45" s="13" t="s">
        <v>214</v>
      </c>
      <c r="U45" s="12"/>
      <c r="V45" s="566">
        <f t="shared" si="5"/>
        <v>13</v>
      </c>
      <c r="W45" s="385"/>
      <c r="X45" s="261" t="e">
        <f>#REF!='[3]BCC D1'!#REF!</f>
        <v>#REF!</v>
      </c>
      <c r="Z45" s="452">
        <v>2</v>
      </c>
      <c r="AA45" s="261">
        <f t="shared" si="2"/>
        <v>0</v>
      </c>
      <c r="AB45" s="247"/>
      <c r="AC45" s="248"/>
    </row>
    <row r="46" spans="1:29" s="261" customFormat="1" ht="30" customHeight="1">
      <c r="A46" s="702">
        <f t="shared" si="6"/>
        <v>31</v>
      </c>
      <c r="B46" s="570" t="s">
        <v>110</v>
      </c>
      <c r="C46" s="574" t="s">
        <v>111</v>
      </c>
      <c r="D46" s="569" t="s">
        <v>186</v>
      </c>
      <c r="E46" s="613">
        <v>34132</v>
      </c>
      <c r="F46" s="13"/>
      <c r="G46" s="13"/>
      <c r="H46" s="13" t="s">
        <v>214</v>
      </c>
      <c r="I46" s="13" t="s">
        <v>214</v>
      </c>
      <c r="J46" s="13" t="s">
        <v>214</v>
      </c>
      <c r="K46" s="13" t="s">
        <v>214</v>
      </c>
      <c r="L46" s="13" t="s">
        <v>214</v>
      </c>
      <c r="M46" s="13" t="s">
        <v>214</v>
      </c>
      <c r="N46" s="13" t="s">
        <v>214</v>
      </c>
      <c r="O46" s="13" t="s">
        <v>214</v>
      </c>
      <c r="P46" s="13" t="s">
        <v>214</v>
      </c>
      <c r="Q46" s="13" t="s">
        <v>214</v>
      </c>
      <c r="R46" s="13" t="s">
        <v>214</v>
      </c>
      <c r="S46" s="13" t="s">
        <v>214</v>
      </c>
      <c r="T46" s="13" t="s">
        <v>214</v>
      </c>
      <c r="U46" s="12"/>
      <c r="V46" s="566">
        <f t="shared" si="5"/>
        <v>13</v>
      </c>
      <c r="W46" s="385"/>
      <c r="X46" s="261" t="e">
        <f>#REF!='[3]BCC D1'!#REF!</f>
        <v>#REF!</v>
      </c>
      <c r="Z46" s="452">
        <v>0</v>
      </c>
      <c r="AA46" s="261">
        <f t="shared" si="2"/>
        <v>0</v>
      </c>
      <c r="AB46" s="247"/>
      <c r="AC46" s="248"/>
    </row>
    <row r="47" spans="1:29" s="261" customFormat="1" ht="30" customHeight="1">
      <c r="A47" s="702">
        <f t="shared" si="6"/>
        <v>32</v>
      </c>
      <c r="B47" s="253" t="s">
        <v>112</v>
      </c>
      <c r="C47" s="610" t="s">
        <v>113</v>
      </c>
      <c r="D47" s="569" t="s">
        <v>187</v>
      </c>
      <c r="E47" s="611">
        <v>33036</v>
      </c>
      <c r="F47" s="13"/>
      <c r="G47" s="13"/>
      <c r="H47" s="13" t="s">
        <v>214</v>
      </c>
      <c r="I47" s="13" t="s">
        <v>214</v>
      </c>
      <c r="J47" s="13" t="s">
        <v>214</v>
      </c>
      <c r="K47" s="13" t="s">
        <v>214</v>
      </c>
      <c r="L47" s="13" t="s">
        <v>214</v>
      </c>
      <c r="M47" s="13" t="s">
        <v>214</v>
      </c>
      <c r="N47" s="13" t="s">
        <v>214</v>
      </c>
      <c r="O47" s="13" t="s">
        <v>214</v>
      </c>
      <c r="P47" s="13" t="s">
        <v>214</v>
      </c>
      <c r="Q47" s="13" t="s">
        <v>214</v>
      </c>
      <c r="R47" s="13" t="s">
        <v>214</v>
      </c>
      <c r="S47" s="13" t="s">
        <v>214</v>
      </c>
      <c r="T47" s="13" t="s">
        <v>214</v>
      </c>
      <c r="U47" s="12"/>
      <c r="V47" s="566">
        <f t="shared" si="5"/>
        <v>13</v>
      </c>
      <c r="W47" s="385"/>
      <c r="X47" s="261" t="e">
        <f>#REF!='[3]BCC D1'!#REF!</f>
        <v>#REF!</v>
      </c>
      <c r="Z47" s="452">
        <v>2</v>
      </c>
      <c r="AA47" s="261">
        <f t="shared" si="2"/>
        <v>0</v>
      </c>
      <c r="AB47" s="247"/>
      <c r="AC47" s="248"/>
    </row>
    <row r="48" spans="1:29" s="261" customFormat="1" ht="30" customHeight="1">
      <c r="A48" s="702">
        <f t="shared" si="6"/>
        <v>33</v>
      </c>
      <c r="B48" s="253" t="s">
        <v>114</v>
      </c>
      <c r="C48" s="614" t="s">
        <v>115</v>
      </c>
      <c r="D48" s="569">
        <v>220137744</v>
      </c>
      <c r="E48" s="613">
        <v>36010</v>
      </c>
      <c r="F48" s="13"/>
      <c r="G48" s="13"/>
      <c r="H48" s="13" t="s">
        <v>214</v>
      </c>
      <c r="I48" s="13" t="s">
        <v>214</v>
      </c>
      <c r="J48" s="13" t="s">
        <v>214</v>
      </c>
      <c r="K48" s="13" t="s">
        <v>214</v>
      </c>
      <c r="L48" s="13" t="s">
        <v>214</v>
      </c>
      <c r="M48" s="13" t="s">
        <v>214</v>
      </c>
      <c r="N48" s="13" t="s">
        <v>214</v>
      </c>
      <c r="O48" s="13" t="s">
        <v>214</v>
      </c>
      <c r="P48" s="13" t="s">
        <v>214</v>
      </c>
      <c r="Q48" s="13" t="s">
        <v>214</v>
      </c>
      <c r="R48" s="13" t="s">
        <v>214</v>
      </c>
      <c r="S48" s="13" t="s">
        <v>214</v>
      </c>
      <c r="T48" s="13" t="s">
        <v>214</v>
      </c>
      <c r="U48" s="12"/>
      <c r="V48" s="566">
        <f t="shared" si="5"/>
        <v>13</v>
      </c>
      <c r="W48" s="385"/>
      <c r="X48" s="261" t="e">
        <f>#REF!='[3]BCC D1'!#REF!</f>
        <v>#REF!</v>
      </c>
      <c r="Z48" s="452">
        <v>0</v>
      </c>
      <c r="AA48" s="261">
        <f t="shared" si="2"/>
        <v>0</v>
      </c>
      <c r="AB48" s="247"/>
      <c r="AC48" s="248"/>
    </row>
    <row r="49" spans="1:29" s="261" customFormat="1" ht="30" customHeight="1">
      <c r="A49" s="702">
        <f t="shared" si="6"/>
        <v>34</v>
      </c>
      <c r="B49" s="253" t="s">
        <v>116</v>
      </c>
      <c r="C49" s="615" t="s">
        <v>117</v>
      </c>
      <c r="D49" s="569">
        <v>150627962</v>
      </c>
      <c r="E49" s="613">
        <v>30957</v>
      </c>
      <c r="F49" s="13"/>
      <c r="G49" s="13"/>
      <c r="H49" s="13" t="s">
        <v>214</v>
      </c>
      <c r="I49" s="13" t="s">
        <v>214</v>
      </c>
      <c r="J49" s="13" t="s">
        <v>214</v>
      </c>
      <c r="K49" s="13" t="s">
        <v>214</v>
      </c>
      <c r="L49" s="13" t="s">
        <v>214</v>
      </c>
      <c r="M49" s="13" t="s">
        <v>214</v>
      </c>
      <c r="N49" s="414" t="s">
        <v>202</v>
      </c>
      <c r="O49" s="13" t="s">
        <v>214</v>
      </c>
      <c r="P49" s="13" t="s">
        <v>214</v>
      </c>
      <c r="Q49" s="13" t="s">
        <v>214</v>
      </c>
      <c r="R49" s="13" t="s">
        <v>214</v>
      </c>
      <c r="S49" s="13" t="s">
        <v>214</v>
      </c>
      <c r="T49" s="13" t="s">
        <v>214</v>
      </c>
      <c r="U49" s="12"/>
      <c r="V49" s="566">
        <f t="shared" si="5"/>
        <v>12</v>
      </c>
      <c r="W49" s="385"/>
      <c r="X49" s="261" t="e">
        <f>#REF!='[3]BCC D1'!#REF!</f>
        <v>#REF!</v>
      </c>
      <c r="Z49" s="452">
        <v>0</v>
      </c>
      <c r="AA49" s="261">
        <f t="shared" si="2"/>
        <v>1</v>
      </c>
      <c r="AB49" s="247"/>
      <c r="AC49" s="248"/>
    </row>
    <row r="50" spans="1:29" s="261" customFormat="1" ht="30" customHeight="1">
      <c r="A50" s="702">
        <f t="shared" si="6"/>
        <v>35</v>
      </c>
      <c r="B50" s="253" t="s">
        <v>118</v>
      </c>
      <c r="C50" s="615" t="s">
        <v>119</v>
      </c>
      <c r="D50" s="569">
        <v>150523228</v>
      </c>
      <c r="E50" s="613">
        <v>34529</v>
      </c>
      <c r="F50" s="13"/>
      <c r="G50" s="13"/>
      <c r="H50" s="13" t="s">
        <v>214</v>
      </c>
      <c r="I50" s="13" t="s">
        <v>214</v>
      </c>
      <c r="J50" s="13" t="s">
        <v>214</v>
      </c>
      <c r="K50" s="13" t="s">
        <v>214</v>
      </c>
      <c r="L50" s="13" t="s">
        <v>214</v>
      </c>
      <c r="M50" s="13" t="s">
        <v>214</v>
      </c>
      <c r="N50" s="13" t="s">
        <v>214</v>
      </c>
      <c r="O50" s="13" t="s">
        <v>214</v>
      </c>
      <c r="P50" s="13" t="s">
        <v>214</v>
      </c>
      <c r="Q50" s="13" t="s">
        <v>214</v>
      </c>
      <c r="R50" s="13" t="s">
        <v>214</v>
      </c>
      <c r="S50" s="13" t="s">
        <v>214</v>
      </c>
      <c r="T50" s="13" t="s">
        <v>214</v>
      </c>
      <c r="U50" s="457"/>
      <c r="V50" s="566">
        <f t="shared" si="5"/>
        <v>13</v>
      </c>
      <c r="W50" s="385"/>
      <c r="Z50" s="452">
        <v>3</v>
      </c>
      <c r="AA50" s="261">
        <f t="shared" si="2"/>
        <v>0</v>
      </c>
      <c r="AB50" s="247"/>
      <c r="AC50" s="248"/>
    </row>
    <row r="51" spans="1:29" s="261" customFormat="1" ht="30" customHeight="1">
      <c r="A51" s="702">
        <f t="shared" si="6"/>
        <v>36</v>
      </c>
      <c r="B51" s="253" t="s">
        <v>120</v>
      </c>
      <c r="C51" s="615" t="s">
        <v>121</v>
      </c>
      <c r="D51" s="569">
        <v>151013383</v>
      </c>
      <c r="E51" s="613">
        <v>36565</v>
      </c>
      <c r="F51" s="13"/>
      <c r="G51" s="13"/>
      <c r="H51" s="13" t="s">
        <v>214</v>
      </c>
      <c r="I51" s="13" t="s">
        <v>214</v>
      </c>
      <c r="J51" s="13" t="s">
        <v>214</v>
      </c>
      <c r="K51" s="13" t="s">
        <v>214</v>
      </c>
      <c r="L51" s="13" t="s">
        <v>214</v>
      </c>
      <c r="M51" s="13" t="s">
        <v>214</v>
      </c>
      <c r="N51" s="13" t="s">
        <v>214</v>
      </c>
      <c r="O51" s="13" t="s">
        <v>214</v>
      </c>
      <c r="P51" s="13" t="s">
        <v>214</v>
      </c>
      <c r="Q51" s="13" t="s">
        <v>214</v>
      </c>
      <c r="R51" s="13" t="s">
        <v>214</v>
      </c>
      <c r="S51" s="13" t="s">
        <v>214</v>
      </c>
      <c r="T51" s="13" t="s">
        <v>214</v>
      </c>
      <c r="U51" s="12"/>
      <c r="V51" s="566">
        <f t="shared" ref="V51:V53" si="7">COUNTIF(F51:T51,"X")+0.5*COUNTIF(F51:T51,"/")+COUNTIF(F51:T51,"R1")+COUNTIF(F51:T51,"R")+COUNTIF(F51:T51,"R")+COUNTIF(F51:T51,"Xcv")</f>
        <v>13</v>
      </c>
      <c r="W51" s="385"/>
      <c r="Z51" s="452"/>
      <c r="AB51" s="247"/>
      <c r="AC51" s="248"/>
    </row>
    <row r="52" spans="1:29" s="261" customFormat="1" ht="30" customHeight="1">
      <c r="A52" s="702">
        <f t="shared" si="6"/>
        <v>37</v>
      </c>
      <c r="B52" s="253" t="s">
        <v>122</v>
      </c>
      <c r="C52" s="614" t="s">
        <v>123</v>
      </c>
      <c r="D52" s="569">
        <v>150537069</v>
      </c>
      <c r="E52" s="613">
        <v>34890</v>
      </c>
      <c r="F52" s="13"/>
      <c r="G52" s="13"/>
      <c r="H52" s="13" t="s">
        <v>214</v>
      </c>
      <c r="I52" s="13" t="s">
        <v>214</v>
      </c>
      <c r="J52" s="13" t="s">
        <v>214</v>
      </c>
      <c r="K52" s="13" t="s">
        <v>214</v>
      </c>
      <c r="L52" s="13" t="s">
        <v>214</v>
      </c>
      <c r="M52" s="13" t="s">
        <v>214</v>
      </c>
      <c r="N52" s="13" t="s">
        <v>214</v>
      </c>
      <c r="O52" s="13" t="s">
        <v>214</v>
      </c>
      <c r="P52" s="13" t="s">
        <v>214</v>
      </c>
      <c r="Q52" s="13" t="s">
        <v>214</v>
      </c>
      <c r="R52" s="13" t="s">
        <v>214</v>
      </c>
      <c r="S52" s="13" t="s">
        <v>214</v>
      </c>
      <c r="T52" s="13" t="s">
        <v>214</v>
      </c>
      <c r="U52" s="12"/>
      <c r="V52" s="566">
        <f t="shared" si="7"/>
        <v>13</v>
      </c>
      <c r="W52" s="385"/>
      <c r="X52" s="261" t="e">
        <f>#REF!='[3]BCC D1'!#REF!</f>
        <v>#REF!</v>
      </c>
      <c r="Z52" s="452">
        <v>1</v>
      </c>
      <c r="AA52" s="261">
        <f>COUNTIF(F52:T52,"-")</f>
        <v>0</v>
      </c>
      <c r="AB52" s="247"/>
      <c r="AC52" s="248"/>
    </row>
    <row r="53" spans="1:29" s="261" customFormat="1" ht="25.5">
      <c r="A53" s="702">
        <f t="shared" si="6"/>
        <v>38</v>
      </c>
      <c r="B53" s="253" t="s">
        <v>338</v>
      </c>
      <c r="C53" s="614" t="s">
        <v>337</v>
      </c>
      <c r="D53" s="569">
        <v>151046569</v>
      </c>
      <c r="E53" s="613">
        <v>29407</v>
      </c>
      <c r="F53" s="617" t="s">
        <v>214</v>
      </c>
      <c r="G53" s="617" t="s">
        <v>214</v>
      </c>
      <c r="H53" s="617" t="s">
        <v>214</v>
      </c>
      <c r="I53" s="616"/>
      <c r="J53" s="617" t="s">
        <v>214</v>
      </c>
      <c r="K53" s="617" t="s">
        <v>214</v>
      </c>
      <c r="L53" s="609" t="s">
        <v>202</v>
      </c>
      <c r="M53" s="609" t="s">
        <v>202</v>
      </c>
      <c r="N53" s="609" t="s">
        <v>202</v>
      </c>
      <c r="O53" s="617" t="s">
        <v>214</v>
      </c>
      <c r="P53" s="616"/>
      <c r="Q53" s="617" t="s">
        <v>214</v>
      </c>
      <c r="R53" s="617" t="s">
        <v>214</v>
      </c>
      <c r="S53" s="617" t="s">
        <v>214</v>
      </c>
      <c r="T53" s="617" t="s">
        <v>214</v>
      </c>
      <c r="U53" s="12"/>
      <c r="V53" s="566">
        <f t="shared" si="7"/>
        <v>10</v>
      </c>
      <c r="W53" s="385"/>
      <c r="X53" s="261" t="e">
        <f>#REF!='[3]BCC D1'!#REF!</f>
        <v>#REF!</v>
      </c>
      <c r="Z53" s="452"/>
      <c r="AA53" s="261">
        <f>COUNTIF(F53:T53,"-")</f>
        <v>3</v>
      </c>
      <c r="AB53" s="247"/>
      <c r="AC53" s="248"/>
    </row>
    <row r="54" spans="1:29" s="261" customFormat="1" ht="30" hidden="1" customHeight="1">
      <c r="A54" s="702"/>
      <c r="B54" s="253" t="s">
        <v>338</v>
      </c>
      <c r="C54" s="614" t="s">
        <v>337</v>
      </c>
      <c r="D54" s="569" t="s">
        <v>215</v>
      </c>
      <c r="E54" s="613"/>
      <c r="F54" s="617"/>
      <c r="G54" s="617"/>
      <c r="H54" s="617"/>
      <c r="I54" s="616"/>
      <c r="J54" s="617"/>
      <c r="K54" s="617"/>
      <c r="L54" s="617"/>
      <c r="M54" s="617"/>
      <c r="N54" s="617"/>
      <c r="O54" s="617"/>
      <c r="P54" s="616"/>
      <c r="Q54" s="617"/>
      <c r="R54" s="617"/>
      <c r="S54" s="617"/>
      <c r="T54" s="617"/>
      <c r="U54" s="12"/>
      <c r="V54" s="566">
        <f t="shared" ref="V54:V82" si="8">COUNTIF(F54:T54,"X")+0.5*COUNTIF(F54:T54,"/")+COUNTIF(F54:T54,"R1")+COUNTIF(F54:T54,"R")+COUNTIF(F54:T54,"R")+COUNTIF(F54:T54,"Xcv")</f>
        <v>0</v>
      </c>
      <c r="W54" s="385"/>
      <c r="Z54" s="452">
        <v>0</v>
      </c>
      <c r="AA54" s="261">
        <f>COUNTIF(F54:T54,"-")</f>
        <v>0</v>
      </c>
      <c r="AB54" s="247"/>
      <c r="AC54" s="248"/>
    </row>
    <row r="55" spans="1:29" s="261" customFormat="1" ht="30" customHeight="1">
      <c r="A55" s="702">
        <v>39</v>
      </c>
      <c r="B55" s="253" t="s">
        <v>124</v>
      </c>
      <c r="C55" s="614" t="s">
        <v>125</v>
      </c>
      <c r="D55" s="569">
        <v>150771197</v>
      </c>
      <c r="E55" s="613">
        <v>30844</v>
      </c>
      <c r="F55" s="617" t="s">
        <v>214</v>
      </c>
      <c r="G55" s="617" t="s">
        <v>214</v>
      </c>
      <c r="H55" s="617" t="s">
        <v>214</v>
      </c>
      <c r="I55" s="616"/>
      <c r="J55" s="617" t="s">
        <v>214</v>
      </c>
      <c r="K55" s="617" t="s">
        <v>214</v>
      </c>
      <c r="L55" s="617" t="s">
        <v>214</v>
      </c>
      <c r="M55" s="617" t="s">
        <v>214</v>
      </c>
      <c r="N55" s="617" t="s">
        <v>214</v>
      </c>
      <c r="O55" s="617" t="s">
        <v>214</v>
      </c>
      <c r="P55" s="616"/>
      <c r="Q55" s="617" t="s">
        <v>214</v>
      </c>
      <c r="R55" s="617" t="s">
        <v>214</v>
      </c>
      <c r="S55" s="617" t="s">
        <v>214</v>
      </c>
      <c r="T55" s="617" t="s">
        <v>214</v>
      </c>
      <c r="U55" s="12"/>
      <c r="V55" s="566">
        <f t="shared" si="8"/>
        <v>13</v>
      </c>
      <c r="W55" s="385"/>
      <c r="X55" s="261" t="e">
        <f>#REF!='[3]BCC D1'!#REF!</f>
        <v>#REF!</v>
      </c>
      <c r="Z55" s="452">
        <v>0</v>
      </c>
      <c r="AA55" s="261">
        <f>COUNTIF(F55:T55,"-")</f>
        <v>0</v>
      </c>
      <c r="AB55" s="247"/>
      <c r="AC55" s="248"/>
    </row>
    <row r="56" spans="1:29" s="261" customFormat="1" ht="30" customHeight="1">
      <c r="A56" s="702">
        <v>40</v>
      </c>
      <c r="B56" s="253" t="s">
        <v>126</v>
      </c>
      <c r="C56" s="614" t="s">
        <v>127</v>
      </c>
      <c r="D56" s="569">
        <v>150936930</v>
      </c>
      <c r="E56" s="613">
        <v>31695</v>
      </c>
      <c r="F56" s="617" t="s">
        <v>214</v>
      </c>
      <c r="G56" s="617" t="s">
        <v>214</v>
      </c>
      <c r="H56" s="617" t="s">
        <v>214</v>
      </c>
      <c r="I56" s="616"/>
      <c r="J56" s="617" t="s">
        <v>214</v>
      </c>
      <c r="K56" s="617" t="s">
        <v>214</v>
      </c>
      <c r="L56" s="617" t="s">
        <v>214</v>
      </c>
      <c r="M56" s="617" t="s">
        <v>214</v>
      </c>
      <c r="N56" s="617" t="s">
        <v>214</v>
      </c>
      <c r="O56" s="617" t="s">
        <v>214</v>
      </c>
      <c r="P56" s="616"/>
      <c r="Q56" s="617" t="s">
        <v>214</v>
      </c>
      <c r="R56" s="617" t="s">
        <v>214</v>
      </c>
      <c r="S56" s="617" t="s">
        <v>214</v>
      </c>
      <c r="T56" s="617" t="s">
        <v>214</v>
      </c>
      <c r="U56" s="12"/>
      <c r="V56" s="566">
        <f t="shared" si="8"/>
        <v>13</v>
      </c>
      <c r="W56" s="385"/>
      <c r="AB56" s="247"/>
      <c r="AC56" s="248"/>
    </row>
    <row r="57" spans="1:29" s="261" customFormat="1" ht="30" customHeight="1">
      <c r="A57" s="702"/>
      <c r="B57" s="253" t="s">
        <v>126</v>
      </c>
      <c r="C57" s="614" t="s">
        <v>127</v>
      </c>
      <c r="D57" s="569" t="s">
        <v>215</v>
      </c>
      <c r="E57" s="613"/>
      <c r="F57" s="384"/>
      <c r="G57" s="384"/>
      <c r="H57" s="384" t="s">
        <v>216</v>
      </c>
      <c r="I57" s="616"/>
      <c r="J57" s="384" t="s">
        <v>216</v>
      </c>
      <c r="K57" s="384" t="s">
        <v>216</v>
      </c>
      <c r="L57" s="384" t="s">
        <v>216</v>
      </c>
      <c r="M57" s="384" t="s">
        <v>216</v>
      </c>
      <c r="N57" s="384" t="s">
        <v>216</v>
      </c>
      <c r="O57" s="384" t="s">
        <v>216</v>
      </c>
      <c r="P57" s="616"/>
      <c r="Q57" s="384" t="s">
        <v>216</v>
      </c>
      <c r="R57" s="384" t="s">
        <v>216</v>
      </c>
      <c r="S57" s="384" t="s">
        <v>216</v>
      </c>
      <c r="T57" s="384" t="s">
        <v>216</v>
      </c>
      <c r="U57" s="12"/>
      <c r="V57" s="566">
        <f t="shared" si="8"/>
        <v>5.5</v>
      </c>
      <c r="W57" s="385"/>
      <c r="X57" s="261" t="e">
        <f>#REF!='[3]BCC D1'!#REF!</f>
        <v>#REF!</v>
      </c>
      <c r="Z57" s="452">
        <v>0</v>
      </c>
      <c r="AA57" s="261">
        <f>COUNTIF(F57:T57,"-")</f>
        <v>0</v>
      </c>
      <c r="AB57" s="247"/>
      <c r="AC57" s="248"/>
    </row>
    <row r="58" spans="1:29" s="261" customFormat="1" ht="30" customHeight="1">
      <c r="A58" s="702">
        <f>+A56+1</f>
        <v>41</v>
      </c>
      <c r="B58" s="253" t="s">
        <v>128</v>
      </c>
      <c r="C58" s="614" t="s">
        <v>129</v>
      </c>
      <c r="D58" s="569">
        <v>180753924</v>
      </c>
      <c r="E58" s="613">
        <v>31999</v>
      </c>
      <c r="F58" s="617" t="s">
        <v>214</v>
      </c>
      <c r="G58" s="617"/>
      <c r="H58" s="617" t="s">
        <v>214</v>
      </c>
      <c r="I58" s="616"/>
      <c r="J58" s="617" t="s">
        <v>214</v>
      </c>
      <c r="K58" s="617" t="s">
        <v>214</v>
      </c>
      <c r="L58" s="617"/>
      <c r="M58" s="617" t="s">
        <v>214</v>
      </c>
      <c r="N58" s="617" t="s">
        <v>214</v>
      </c>
      <c r="O58" s="617" t="s">
        <v>214</v>
      </c>
      <c r="P58" s="616"/>
      <c r="Q58" s="617" t="s">
        <v>214</v>
      </c>
      <c r="R58" s="617" t="s">
        <v>214</v>
      </c>
      <c r="S58" s="617" t="s">
        <v>214</v>
      </c>
      <c r="T58" s="617" t="s">
        <v>214</v>
      </c>
      <c r="U58" s="12"/>
      <c r="V58" s="566">
        <f t="shared" si="8"/>
        <v>11</v>
      </c>
      <c r="W58" s="385"/>
      <c r="AB58" s="247"/>
      <c r="AC58" s="248"/>
    </row>
    <row r="59" spans="1:29" s="261" customFormat="1" ht="30" customHeight="1">
      <c r="A59" s="702"/>
      <c r="B59" s="253" t="s">
        <v>128</v>
      </c>
      <c r="C59" s="614" t="s">
        <v>129</v>
      </c>
      <c r="D59" s="569" t="s">
        <v>215</v>
      </c>
      <c r="E59" s="613"/>
      <c r="F59" s="384"/>
      <c r="G59" s="384"/>
      <c r="H59" s="384"/>
      <c r="I59" s="616"/>
      <c r="J59" s="384"/>
      <c r="K59" s="384"/>
      <c r="L59" s="384"/>
      <c r="M59" s="384"/>
      <c r="N59" s="384" t="s">
        <v>216</v>
      </c>
      <c r="O59" s="384" t="s">
        <v>216</v>
      </c>
      <c r="P59" s="616"/>
      <c r="Q59" s="384" t="s">
        <v>216</v>
      </c>
      <c r="R59" s="384" t="s">
        <v>216</v>
      </c>
      <c r="S59" s="384" t="s">
        <v>216</v>
      </c>
      <c r="T59" s="384" t="s">
        <v>216</v>
      </c>
      <c r="U59" s="12"/>
      <c r="V59" s="566">
        <f t="shared" si="8"/>
        <v>3</v>
      </c>
      <c r="W59" s="385"/>
      <c r="X59" s="261" t="e">
        <f>#REF!='[3]BCC D1'!#REF!</f>
        <v>#REF!</v>
      </c>
      <c r="Z59" s="452">
        <v>0</v>
      </c>
      <c r="AA59" s="261">
        <f t="shared" ref="AA59:AA80" si="9">COUNTIF(F59:T59,"-")</f>
        <v>0</v>
      </c>
      <c r="AB59" s="247"/>
      <c r="AC59" s="248"/>
    </row>
    <row r="60" spans="1:29" s="261" customFormat="1" ht="30" customHeight="1">
      <c r="A60" s="702">
        <f>+A58+1</f>
        <v>42</v>
      </c>
      <c r="B60" s="253" t="s">
        <v>188</v>
      </c>
      <c r="C60" s="614" t="s">
        <v>130</v>
      </c>
      <c r="D60" s="569">
        <v>220208904</v>
      </c>
      <c r="E60" s="613">
        <v>36442</v>
      </c>
      <c r="F60" s="617" t="s">
        <v>214</v>
      </c>
      <c r="G60" s="617" t="s">
        <v>214</v>
      </c>
      <c r="H60" s="617" t="s">
        <v>214</v>
      </c>
      <c r="I60" s="616"/>
      <c r="J60" s="617" t="s">
        <v>214</v>
      </c>
      <c r="K60" s="617" t="s">
        <v>214</v>
      </c>
      <c r="L60" s="617" t="s">
        <v>214</v>
      </c>
      <c r="M60" s="617" t="s">
        <v>214</v>
      </c>
      <c r="N60" s="617" t="s">
        <v>214</v>
      </c>
      <c r="O60" s="617" t="s">
        <v>214</v>
      </c>
      <c r="P60" s="616"/>
      <c r="Q60" s="617" t="s">
        <v>214</v>
      </c>
      <c r="R60" s="617" t="s">
        <v>214</v>
      </c>
      <c r="S60" s="617" t="s">
        <v>214</v>
      </c>
      <c r="T60" s="617" t="s">
        <v>214</v>
      </c>
      <c r="U60" s="12"/>
      <c r="V60" s="566">
        <f t="shared" si="8"/>
        <v>13</v>
      </c>
      <c r="W60" s="385"/>
      <c r="X60" s="261" t="e">
        <f>#REF!='[3]BCC D1'!#REF!</f>
        <v>#REF!</v>
      </c>
      <c r="Z60" s="452"/>
      <c r="AA60" s="261">
        <f t="shared" si="9"/>
        <v>0</v>
      </c>
      <c r="AB60" s="247"/>
      <c r="AC60" s="248"/>
    </row>
    <row r="61" spans="1:29" s="261" customFormat="1" ht="30" customHeight="1">
      <c r="A61" s="702"/>
      <c r="B61" s="253" t="s">
        <v>188</v>
      </c>
      <c r="C61" s="614" t="s">
        <v>130</v>
      </c>
      <c r="D61" s="569" t="s">
        <v>215</v>
      </c>
      <c r="E61" s="613"/>
      <c r="F61" s="384"/>
      <c r="G61" s="384"/>
      <c r="H61" s="384" t="s">
        <v>216</v>
      </c>
      <c r="I61" s="616"/>
      <c r="J61" s="384" t="s">
        <v>216</v>
      </c>
      <c r="K61" s="384" t="s">
        <v>216</v>
      </c>
      <c r="L61" s="384" t="s">
        <v>216</v>
      </c>
      <c r="M61" s="384" t="s">
        <v>216</v>
      </c>
      <c r="N61" s="384" t="s">
        <v>216</v>
      </c>
      <c r="O61" s="384" t="s">
        <v>216</v>
      </c>
      <c r="P61" s="616"/>
      <c r="Q61" s="384" t="s">
        <v>216</v>
      </c>
      <c r="R61" s="384" t="s">
        <v>216</v>
      </c>
      <c r="S61" s="384" t="s">
        <v>216</v>
      </c>
      <c r="T61" s="384" t="s">
        <v>216</v>
      </c>
      <c r="U61" s="12"/>
      <c r="V61" s="566">
        <f t="shared" si="8"/>
        <v>5.5</v>
      </c>
      <c r="W61" s="385"/>
      <c r="X61" s="261" t="e">
        <f>#REF!='[3]BCC D1'!#REF!</f>
        <v>#REF!</v>
      </c>
      <c r="Z61" s="452">
        <v>0</v>
      </c>
      <c r="AA61" s="261">
        <f t="shared" si="9"/>
        <v>0</v>
      </c>
      <c r="AB61" s="247"/>
      <c r="AC61" s="248"/>
    </row>
    <row r="62" spans="1:29" s="261" customFormat="1" ht="30" customHeight="1">
      <c r="A62" s="702">
        <f>+A60+1</f>
        <v>43</v>
      </c>
      <c r="B62" s="567" t="s">
        <v>131</v>
      </c>
      <c r="C62" s="734" t="s">
        <v>132</v>
      </c>
      <c r="D62" s="569">
        <v>150978188</v>
      </c>
      <c r="E62" s="386">
        <v>37990</v>
      </c>
      <c r="F62" s="12"/>
      <c r="G62" s="12"/>
      <c r="H62" s="12"/>
      <c r="I62" s="12"/>
      <c r="J62" s="12"/>
      <c r="K62" s="728" t="s">
        <v>361</v>
      </c>
      <c r="L62" s="728" t="s">
        <v>361</v>
      </c>
      <c r="M62" s="728" t="s">
        <v>361</v>
      </c>
      <c r="N62" s="12"/>
      <c r="O62" s="12" t="s">
        <v>214</v>
      </c>
      <c r="P62" s="12" t="s">
        <v>214</v>
      </c>
      <c r="Q62" s="12" t="s">
        <v>214</v>
      </c>
      <c r="R62" s="12" t="s">
        <v>214</v>
      </c>
      <c r="S62" s="12" t="s">
        <v>214</v>
      </c>
      <c r="T62" s="12" t="s">
        <v>214</v>
      </c>
      <c r="U62" s="12"/>
      <c r="V62" s="566">
        <f t="shared" si="8"/>
        <v>9</v>
      </c>
      <c r="W62" s="385"/>
      <c r="X62" s="261" t="e">
        <f>#REF!='[3]BCC D1'!#REF!</f>
        <v>#REF!</v>
      </c>
      <c r="Z62" s="452">
        <v>0</v>
      </c>
      <c r="AA62" s="261">
        <f t="shared" si="9"/>
        <v>0</v>
      </c>
      <c r="AB62" s="247"/>
      <c r="AC62" s="248"/>
    </row>
    <row r="63" spans="1:29" s="261" customFormat="1" ht="30" customHeight="1">
      <c r="A63" s="702">
        <f t="shared" ref="A63:A90" si="10">+A62+1</f>
        <v>44</v>
      </c>
      <c r="B63" s="567" t="s">
        <v>133</v>
      </c>
      <c r="C63" s="365" t="s">
        <v>134</v>
      </c>
      <c r="D63" s="569">
        <v>210070000</v>
      </c>
      <c r="E63" s="386">
        <v>29441</v>
      </c>
      <c r="F63" s="12"/>
      <c r="G63" s="12"/>
      <c r="H63" s="12"/>
      <c r="I63" s="12"/>
      <c r="J63" s="12"/>
      <c r="K63" s="12"/>
      <c r="L63" s="12"/>
      <c r="M63" s="12"/>
      <c r="N63" s="12"/>
      <c r="O63" s="12" t="s">
        <v>214</v>
      </c>
      <c r="P63" s="12" t="s">
        <v>214</v>
      </c>
      <c r="Q63" s="12" t="s">
        <v>214</v>
      </c>
      <c r="R63" s="12" t="s">
        <v>214</v>
      </c>
      <c r="S63" s="12" t="s">
        <v>214</v>
      </c>
      <c r="T63" s="12" t="s">
        <v>214</v>
      </c>
      <c r="U63" s="12"/>
      <c r="V63" s="566">
        <f t="shared" si="8"/>
        <v>6</v>
      </c>
      <c r="W63" s="385"/>
      <c r="X63" s="261" t="e">
        <f>#REF!='[3]BCC D1'!#REF!</f>
        <v>#REF!</v>
      </c>
      <c r="Z63" s="452">
        <v>1</v>
      </c>
      <c r="AA63" s="261">
        <f t="shared" si="9"/>
        <v>0</v>
      </c>
      <c r="AB63" s="247"/>
      <c r="AC63" s="248"/>
    </row>
    <row r="64" spans="1:29" s="261" customFormat="1" ht="30" customHeight="1">
      <c r="A64" s="702">
        <f t="shared" si="10"/>
        <v>45</v>
      </c>
      <c r="B64" s="567" t="s">
        <v>137</v>
      </c>
      <c r="C64" s="365" t="s">
        <v>138</v>
      </c>
      <c r="D64" s="569">
        <v>150582874</v>
      </c>
      <c r="E64" s="386">
        <v>31240</v>
      </c>
      <c r="F64" s="12"/>
      <c r="G64" s="12"/>
      <c r="H64" s="12"/>
      <c r="I64" s="12"/>
      <c r="J64" s="12"/>
      <c r="K64" s="728" t="s">
        <v>361</v>
      </c>
      <c r="L64" s="12"/>
      <c r="M64" s="12"/>
      <c r="N64" s="12"/>
      <c r="O64" s="12" t="s">
        <v>214</v>
      </c>
      <c r="P64" s="12" t="s">
        <v>214</v>
      </c>
      <c r="Q64" s="12" t="s">
        <v>214</v>
      </c>
      <c r="R64" s="12" t="s">
        <v>214</v>
      </c>
      <c r="S64" s="12" t="s">
        <v>214</v>
      </c>
      <c r="T64" s="12" t="s">
        <v>214</v>
      </c>
      <c r="U64" s="12"/>
      <c r="V64" s="566">
        <f t="shared" si="8"/>
        <v>7</v>
      </c>
      <c r="W64" s="385"/>
      <c r="X64" s="261" t="e">
        <f>#REF!='[3]BCC D1'!#REF!</f>
        <v>#REF!</v>
      </c>
      <c r="Z64" s="452">
        <v>0</v>
      </c>
      <c r="AA64" s="261">
        <f t="shared" si="9"/>
        <v>0</v>
      </c>
      <c r="AB64" s="247"/>
      <c r="AC64" s="248"/>
    </row>
    <row r="65" spans="1:29" s="261" customFormat="1" ht="30" customHeight="1">
      <c r="A65" s="702">
        <f t="shared" si="10"/>
        <v>46</v>
      </c>
      <c r="B65" s="567" t="s">
        <v>139</v>
      </c>
      <c r="C65" s="365" t="s">
        <v>140</v>
      </c>
      <c r="D65" s="569" t="s">
        <v>190</v>
      </c>
      <c r="E65" s="386">
        <v>35221</v>
      </c>
      <c r="F65" s="12"/>
      <c r="G65" s="12"/>
      <c r="H65" s="12"/>
      <c r="I65" s="12"/>
      <c r="J65" s="12"/>
      <c r="K65" s="12"/>
      <c r="L65" s="12"/>
      <c r="M65" s="12"/>
      <c r="N65" s="12"/>
      <c r="O65" s="12" t="s">
        <v>214</v>
      </c>
      <c r="P65" s="457" t="s">
        <v>202</v>
      </c>
      <c r="Q65" s="12" t="s">
        <v>214</v>
      </c>
      <c r="R65" s="12" t="s">
        <v>214</v>
      </c>
      <c r="S65" s="12" t="s">
        <v>214</v>
      </c>
      <c r="T65" s="12" t="s">
        <v>214</v>
      </c>
      <c r="U65" s="12"/>
      <c r="V65" s="566">
        <f t="shared" si="8"/>
        <v>5</v>
      </c>
      <c r="W65" s="385"/>
      <c r="X65" s="261" t="e">
        <f>#REF!='[3]BCC D1'!#REF!</f>
        <v>#REF!</v>
      </c>
      <c r="Z65" s="452">
        <v>0</v>
      </c>
      <c r="AA65" s="261">
        <f t="shared" si="9"/>
        <v>1</v>
      </c>
      <c r="AB65" s="247"/>
      <c r="AC65" s="248"/>
    </row>
    <row r="66" spans="1:29" s="261" customFormat="1" ht="30" customHeight="1">
      <c r="A66" s="702">
        <f t="shared" si="10"/>
        <v>47</v>
      </c>
      <c r="B66" s="567" t="s">
        <v>141</v>
      </c>
      <c r="C66" s="365" t="s">
        <v>142</v>
      </c>
      <c r="D66" s="569">
        <v>151058048</v>
      </c>
      <c r="E66" s="386">
        <v>39700</v>
      </c>
      <c r="F66" s="12"/>
      <c r="G66" s="12"/>
      <c r="H66" s="12"/>
      <c r="I66" s="12"/>
      <c r="J66" s="12"/>
      <c r="K66" s="728" t="s">
        <v>361</v>
      </c>
      <c r="L66" s="728" t="s">
        <v>361</v>
      </c>
      <c r="M66" s="12"/>
      <c r="N66" s="12"/>
      <c r="O66" s="12" t="s">
        <v>214</v>
      </c>
      <c r="P66" s="12" t="s">
        <v>214</v>
      </c>
      <c r="Q66" s="12" t="s">
        <v>214</v>
      </c>
      <c r="R66" s="12" t="s">
        <v>214</v>
      </c>
      <c r="S66" s="12" t="s">
        <v>214</v>
      </c>
      <c r="T66" s="12" t="s">
        <v>214</v>
      </c>
      <c r="U66" s="12"/>
      <c r="V66" s="566">
        <f t="shared" si="8"/>
        <v>8</v>
      </c>
      <c r="W66" s="385"/>
      <c r="X66" s="261" t="e">
        <f>#REF!='[3]BCC D1'!#REF!</f>
        <v>#REF!</v>
      </c>
      <c r="Z66" s="452">
        <v>2</v>
      </c>
      <c r="AA66" s="261">
        <f t="shared" si="9"/>
        <v>0</v>
      </c>
      <c r="AB66" s="247"/>
      <c r="AC66" s="248"/>
    </row>
    <row r="67" spans="1:29" s="261" customFormat="1" ht="30" customHeight="1">
      <c r="A67" s="702">
        <f t="shared" si="10"/>
        <v>48</v>
      </c>
      <c r="B67" s="567" t="s">
        <v>143</v>
      </c>
      <c r="C67" s="365" t="s">
        <v>144</v>
      </c>
      <c r="D67" s="569">
        <v>150925395</v>
      </c>
      <c r="E67" s="386">
        <v>26483</v>
      </c>
      <c r="F67" s="12"/>
      <c r="G67" s="12"/>
      <c r="H67" s="12"/>
      <c r="I67" s="12"/>
      <c r="J67" s="12"/>
      <c r="K67" s="728" t="s">
        <v>361</v>
      </c>
      <c r="L67" s="728" t="s">
        <v>361</v>
      </c>
      <c r="M67" s="728" t="s">
        <v>361</v>
      </c>
      <c r="N67" s="12"/>
      <c r="O67" s="12" t="s">
        <v>214</v>
      </c>
      <c r="P67" s="12" t="s">
        <v>214</v>
      </c>
      <c r="Q67" s="12" t="s">
        <v>214</v>
      </c>
      <c r="R67" s="12" t="s">
        <v>214</v>
      </c>
      <c r="S67" s="12" t="s">
        <v>214</v>
      </c>
      <c r="T67" s="12" t="s">
        <v>214</v>
      </c>
      <c r="U67" s="12"/>
      <c r="V67" s="566">
        <f t="shared" si="8"/>
        <v>9</v>
      </c>
      <c r="W67" s="385"/>
      <c r="X67" s="261" t="e">
        <f>#REF!='[3]BCC D1'!#REF!</f>
        <v>#REF!</v>
      </c>
      <c r="Z67" s="452">
        <v>1</v>
      </c>
      <c r="AA67" s="261">
        <f t="shared" si="9"/>
        <v>0</v>
      </c>
      <c r="AB67" s="247"/>
      <c r="AC67" s="248"/>
    </row>
    <row r="68" spans="1:29" s="261" customFormat="1" ht="30" customHeight="1">
      <c r="A68" s="702">
        <f t="shared" si="10"/>
        <v>49</v>
      </c>
      <c r="B68" s="567" t="s">
        <v>145</v>
      </c>
      <c r="C68" s="365" t="s">
        <v>146</v>
      </c>
      <c r="D68" s="569">
        <v>151075912</v>
      </c>
      <c r="E68" s="386">
        <v>40097</v>
      </c>
      <c r="F68" s="12"/>
      <c r="G68" s="12"/>
      <c r="H68" s="12"/>
      <c r="I68" s="12"/>
      <c r="J68" s="12"/>
      <c r="K68" s="728" t="s">
        <v>361</v>
      </c>
      <c r="L68" s="728" t="s">
        <v>361</v>
      </c>
      <c r="M68" s="12"/>
      <c r="N68" s="12"/>
      <c r="O68" s="12" t="s">
        <v>214</v>
      </c>
      <c r="P68" s="12" t="s">
        <v>214</v>
      </c>
      <c r="Q68" s="12" t="s">
        <v>214</v>
      </c>
      <c r="R68" s="12" t="s">
        <v>214</v>
      </c>
      <c r="S68" s="12" t="s">
        <v>214</v>
      </c>
      <c r="T68" s="12" t="s">
        <v>214</v>
      </c>
      <c r="U68" s="12"/>
      <c r="V68" s="566">
        <f t="shared" si="8"/>
        <v>8</v>
      </c>
      <c r="W68" s="385"/>
      <c r="X68" s="261" t="e">
        <f>#REF!='[3]BCC D1'!#REF!</f>
        <v>#REF!</v>
      </c>
      <c r="Z68" s="452">
        <v>0</v>
      </c>
      <c r="AA68" s="261">
        <f t="shared" si="9"/>
        <v>0</v>
      </c>
      <c r="AB68" s="247"/>
      <c r="AC68" s="248"/>
    </row>
    <row r="69" spans="1:29" s="261" customFormat="1" ht="27.95" customHeight="1">
      <c r="A69" s="702">
        <f t="shared" si="10"/>
        <v>50</v>
      </c>
      <c r="B69" s="580" t="s">
        <v>147</v>
      </c>
      <c r="C69" s="338" t="s">
        <v>148</v>
      </c>
      <c r="D69" s="569">
        <v>151055393</v>
      </c>
      <c r="E69" s="618">
        <v>39725</v>
      </c>
      <c r="F69" s="12"/>
      <c r="G69" s="12"/>
      <c r="H69" s="12"/>
      <c r="I69" s="12"/>
      <c r="J69" s="12"/>
      <c r="K69" s="728" t="s">
        <v>361</v>
      </c>
      <c r="L69" s="728" t="s">
        <v>361</v>
      </c>
      <c r="M69" s="728" t="s">
        <v>361</v>
      </c>
      <c r="N69" s="12"/>
      <c r="O69" s="12" t="s">
        <v>214</v>
      </c>
      <c r="P69" s="12" t="s">
        <v>214</v>
      </c>
      <c r="Q69" s="12" t="s">
        <v>214</v>
      </c>
      <c r="R69" s="12" t="s">
        <v>214</v>
      </c>
      <c r="S69" s="12" t="s">
        <v>214</v>
      </c>
      <c r="T69" s="12" t="s">
        <v>214</v>
      </c>
      <c r="U69" s="12"/>
      <c r="V69" s="566">
        <f t="shared" si="8"/>
        <v>9</v>
      </c>
      <c r="W69" s="385"/>
      <c r="X69" s="261" t="e">
        <f>#REF!='[3]BCC D1'!#REF!</f>
        <v>#REF!</v>
      </c>
      <c r="Z69" s="452">
        <v>0</v>
      </c>
      <c r="AA69" s="261">
        <f t="shared" si="9"/>
        <v>0</v>
      </c>
      <c r="AB69" s="247"/>
      <c r="AC69" s="248"/>
    </row>
    <row r="70" spans="1:29" s="261" customFormat="1" ht="27.95" customHeight="1">
      <c r="A70" s="702">
        <f t="shared" si="10"/>
        <v>51</v>
      </c>
      <c r="B70" s="567" t="s">
        <v>149</v>
      </c>
      <c r="C70" s="365" t="s">
        <v>150</v>
      </c>
      <c r="D70" s="569">
        <v>150981411</v>
      </c>
      <c r="E70" s="386">
        <v>30228</v>
      </c>
      <c r="F70" s="12"/>
      <c r="G70" s="12"/>
      <c r="H70" s="12"/>
      <c r="I70" s="12"/>
      <c r="J70" s="12"/>
      <c r="K70" s="12"/>
      <c r="L70" s="12"/>
      <c r="M70" s="728" t="s">
        <v>361</v>
      </c>
      <c r="N70" s="12"/>
      <c r="O70" s="12" t="s">
        <v>214</v>
      </c>
      <c r="P70" s="12" t="s">
        <v>214</v>
      </c>
      <c r="Q70" s="12" t="s">
        <v>214</v>
      </c>
      <c r="R70" s="12" t="s">
        <v>214</v>
      </c>
      <c r="S70" s="12" t="s">
        <v>214</v>
      </c>
      <c r="T70" s="12" t="s">
        <v>214</v>
      </c>
      <c r="U70" s="457"/>
      <c r="V70" s="566">
        <f t="shared" si="8"/>
        <v>7</v>
      </c>
      <c r="W70" s="385"/>
      <c r="X70" s="261" t="e">
        <f>#REF!='[3]BCC D1'!#REF!</f>
        <v>#REF!</v>
      </c>
      <c r="Z70" s="452">
        <v>1</v>
      </c>
      <c r="AA70" s="261">
        <f t="shared" si="9"/>
        <v>0</v>
      </c>
      <c r="AB70" s="247"/>
      <c r="AC70" s="248"/>
    </row>
    <row r="71" spans="1:29" s="261" customFormat="1" ht="27.95" customHeight="1">
      <c r="A71" s="702">
        <f t="shared" si="10"/>
        <v>52</v>
      </c>
      <c r="B71" s="603" t="s">
        <v>151</v>
      </c>
      <c r="C71" s="585" t="s">
        <v>152</v>
      </c>
      <c r="D71" s="569">
        <v>151029997</v>
      </c>
      <c r="E71" s="581">
        <v>39116</v>
      </c>
      <c r="F71" s="12"/>
      <c r="G71" s="12"/>
      <c r="H71" s="12"/>
      <c r="I71" s="12"/>
      <c r="J71" s="12"/>
      <c r="K71" s="12"/>
      <c r="L71" s="12"/>
      <c r="M71" s="12"/>
      <c r="N71" s="12"/>
      <c r="O71" s="12" t="s">
        <v>214</v>
      </c>
      <c r="P71" s="12" t="s">
        <v>214</v>
      </c>
      <c r="Q71" s="12" t="s">
        <v>214</v>
      </c>
      <c r="R71" s="12" t="s">
        <v>214</v>
      </c>
      <c r="S71" s="12" t="s">
        <v>214</v>
      </c>
      <c r="T71" s="12" t="s">
        <v>214</v>
      </c>
      <c r="U71" s="12"/>
      <c r="V71" s="566">
        <f t="shared" si="8"/>
        <v>6</v>
      </c>
      <c r="W71" s="385"/>
      <c r="X71" s="261" t="e">
        <f>#REF!='[3]BCC D1'!#REF!</f>
        <v>#REF!</v>
      </c>
      <c r="Z71" s="452">
        <v>1</v>
      </c>
      <c r="AA71" s="261">
        <f t="shared" si="9"/>
        <v>0</v>
      </c>
      <c r="AB71" s="247"/>
      <c r="AC71" s="248"/>
    </row>
    <row r="72" spans="1:29" s="261" customFormat="1" ht="27.95" customHeight="1">
      <c r="A72" s="702">
        <f t="shared" si="10"/>
        <v>53</v>
      </c>
      <c r="B72" s="603" t="s">
        <v>153</v>
      </c>
      <c r="C72" s="585" t="s">
        <v>154</v>
      </c>
      <c r="D72" s="569">
        <v>181167293</v>
      </c>
      <c r="E72" s="581">
        <v>39668</v>
      </c>
      <c r="F72" s="12"/>
      <c r="G72" s="12"/>
      <c r="H72" s="12"/>
      <c r="I72" s="12"/>
      <c r="J72" s="12"/>
      <c r="K72" s="12"/>
      <c r="L72" s="12"/>
      <c r="M72" s="728" t="s">
        <v>361</v>
      </c>
      <c r="N72" s="12"/>
      <c r="O72" s="12" t="s">
        <v>214</v>
      </c>
      <c r="P72" s="12" t="s">
        <v>214</v>
      </c>
      <c r="Q72" s="12" t="s">
        <v>214</v>
      </c>
      <c r="R72" s="12" t="s">
        <v>214</v>
      </c>
      <c r="S72" s="12" t="s">
        <v>214</v>
      </c>
      <c r="T72" s="12" t="s">
        <v>214</v>
      </c>
      <c r="U72" s="12"/>
      <c r="V72" s="566">
        <f t="shared" si="8"/>
        <v>7</v>
      </c>
      <c r="W72" s="385"/>
      <c r="X72" s="261" t="e">
        <f>#REF!='[3]BCC D1'!#REF!</f>
        <v>#REF!</v>
      </c>
      <c r="Z72" s="452">
        <v>0</v>
      </c>
      <c r="AA72" s="261">
        <f t="shared" si="9"/>
        <v>0</v>
      </c>
      <c r="AB72" s="247"/>
      <c r="AC72" s="248"/>
    </row>
    <row r="73" spans="1:29" s="261" customFormat="1" ht="27.95" customHeight="1">
      <c r="A73" s="702">
        <f t="shared" si="10"/>
        <v>54</v>
      </c>
      <c r="B73" s="603" t="s">
        <v>155</v>
      </c>
      <c r="C73" s="585" t="s">
        <v>156</v>
      </c>
      <c r="D73" s="569">
        <v>151048971</v>
      </c>
      <c r="E73" s="581">
        <v>39552</v>
      </c>
      <c r="F73" s="12"/>
      <c r="G73" s="12"/>
      <c r="H73" s="12"/>
      <c r="I73" s="12"/>
      <c r="J73" s="12"/>
      <c r="K73" s="12"/>
      <c r="L73" s="12"/>
      <c r="M73" s="728" t="s">
        <v>361</v>
      </c>
      <c r="N73" s="12"/>
      <c r="O73" s="12" t="s">
        <v>214</v>
      </c>
      <c r="P73" s="12" t="s">
        <v>214</v>
      </c>
      <c r="Q73" s="12" t="s">
        <v>214</v>
      </c>
      <c r="R73" s="12" t="s">
        <v>214</v>
      </c>
      <c r="S73" s="12" t="s">
        <v>214</v>
      </c>
      <c r="T73" s="12" t="s">
        <v>214</v>
      </c>
      <c r="U73" s="12"/>
      <c r="V73" s="566">
        <f t="shared" si="8"/>
        <v>7</v>
      </c>
      <c r="W73" s="385"/>
      <c r="X73" s="261" t="e">
        <f>#REF!='[3]BCC D1'!#REF!</f>
        <v>#REF!</v>
      </c>
      <c r="Z73" s="452">
        <v>0</v>
      </c>
      <c r="AA73" s="261">
        <f t="shared" si="9"/>
        <v>0</v>
      </c>
      <c r="AB73" s="247"/>
      <c r="AC73" s="248"/>
    </row>
    <row r="74" spans="1:29" s="261" customFormat="1" ht="27.95" customHeight="1">
      <c r="A74" s="702">
        <f t="shared" si="10"/>
        <v>55</v>
      </c>
      <c r="B74" s="603" t="s">
        <v>157</v>
      </c>
      <c r="C74" s="585" t="s">
        <v>158</v>
      </c>
      <c r="D74" s="569">
        <v>150845321</v>
      </c>
      <c r="E74" s="581">
        <v>34279</v>
      </c>
      <c r="F74" s="12"/>
      <c r="G74" s="12"/>
      <c r="H74" s="12"/>
      <c r="I74" s="12"/>
      <c r="J74" s="12"/>
      <c r="K74" s="728" t="s">
        <v>361</v>
      </c>
      <c r="L74" s="728" t="s">
        <v>361</v>
      </c>
      <c r="M74" s="12"/>
      <c r="N74" s="12"/>
      <c r="O74" s="12" t="s">
        <v>214</v>
      </c>
      <c r="P74" s="12" t="s">
        <v>214</v>
      </c>
      <c r="Q74" s="12" t="s">
        <v>214</v>
      </c>
      <c r="R74" s="12" t="s">
        <v>214</v>
      </c>
      <c r="S74" s="12" t="s">
        <v>214</v>
      </c>
      <c r="T74" s="12" t="s">
        <v>214</v>
      </c>
      <c r="U74" s="12"/>
      <c r="V74" s="566">
        <f t="shared" si="8"/>
        <v>8</v>
      </c>
      <c r="W74" s="385"/>
      <c r="X74" s="261" t="e">
        <f>#REF!='[3]BCC D1'!#REF!</f>
        <v>#REF!</v>
      </c>
      <c r="Z74" s="452">
        <v>0</v>
      </c>
      <c r="AA74" s="261">
        <f t="shared" si="9"/>
        <v>0</v>
      </c>
      <c r="AB74" s="247"/>
      <c r="AC74" s="248"/>
    </row>
    <row r="75" spans="1:29" s="261" customFormat="1" ht="27.95" customHeight="1">
      <c r="A75" s="702">
        <f t="shared" si="10"/>
        <v>56</v>
      </c>
      <c r="B75" s="603" t="s">
        <v>221</v>
      </c>
      <c r="C75" s="585" t="s">
        <v>222</v>
      </c>
      <c r="D75" s="569">
        <v>190569581</v>
      </c>
      <c r="E75" s="581">
        <v>34887</v>
      </c>
      <c r="F75" s="12"/>
      <c r="G75" s="12"/>
      <c r="H75" s="12"/>
      <c r="I75" s="12"/>
      <c r="J75" s="12"/>
      <c r="K75" s="12"/>
      <c r="L75" s="12"/>
      <c r="M75" s="12"/>
      <c r="N75" s="12"/>
      <c r="O75" s="12" t="s">
        <v>214</v>
      </c>
      <c r="P75" s="12" t="s">
        <v>214</v>
      </c>
      <c r="Q75" s="12" t="s">
        <v>214</v>
      </c>
      <c r="R75" s="12" t="s">
        <v>214</v>
      </c>
      <c r="S75" s="12" t="s">
        <v>214</v>
      </c>
      <c r="T75" s="12" t="s">
        <v>214</v>
      </c>
      <c r="U75" s="12"/>
      <c r="V75" s="566">
        <f t="shared" si="8"/>
        <v>6</v>
      </c>
      <c r="W75" s="385"/>
      <c r="X75" s="261" t="e">
        <f>#REF!='[3]BCC D1'!#REF!</f>
        <v>#REF!</v>
      </c>
      <c r="Z75" s="452">
        <v>1</v>
      </c>
      <c r="AA75" s="261">
        <f t="shared" si="9"/>
        <v>0</v>
      </c>
      <c r="AB75" s="247"/>
      <c r="AC75" s="248"/>
    </row>
    <row r="76" spans="1:29" s="261" customFormat="1" ht="27.95" customHeight="1">
      <c r="A76" s="702">
        <f t="shared" si="10"/>
        <v>57</v>
      </c>
      <c r="B76" s="603" t="s">
        <v>265</v>
      </c>
      <c r="C76" s="585" t="s">
        <v>266</v>
      </c>
      <c r="D76" s="569">
        <v>150273869</v>
      </c>
      <c r="E76" s="581">
        <v>29776</v>
      </c>
      <c r="F76" s="12"/>
      <c r="G76" s="12"/>
      <c r="H76" s="12"/>
      <c r="I76" s="12"/>
      <c r="J76" s="12"/>
      <c r="K76" s="12"/>
      <c r="L76" s="12"/>
      <c r="M76" s="12"/>
      <c r="N76" s="12"/>
      <c r="O76" s="12" t="s">
        <v>214</v>
      </c>
      <c r="P76" s="12" t="s">
        <v>214</v>
      </c>
      <c r="Q76" s="12" t="s">
        <v>214</v>
      </c>
      <c r="R76" s="12" t="s">
        <v>214</v>
      </c>
      <c r="S76" s="12" t="s">
        <v>214</v>
      </c>
      <c r="T76" s="12" t="s">
        <v>214</v>
      </c>
      <c r="U76" s="12"/>
      <c r="V76" s="566">
        <f t="shared" si="8"/>
        <v>6</v>
      </c>
      <c r="W76" s="385"/>
      <c r="X76" s="261" t="e">
        <f>#REF!='[3]BCC D1'!#REF!</f>
        <v>#REF!</v>
      </c>
      <c r="Z76" s="452">
        <v>0</v>
      </c>
      <c r="AA76" s="261">
        <f t="shared" si="9"/>
        <v>0</v>
      </c>
      <c r="AB76" s="247"/>
      <c r="AC76" s="248"/>
    </row>
    <row r="77" spans="1:29" s="261" customFormat="1" ht="27.95" customHeight="1">
      <c r="A77" s="702">
        <f t="shared" si="10"/>
        <v>58</v>
      </c>
      <c r="B77" s="603" t="s">
        <v>282</v>
      </c>
      <c r="C77" s="750" t="s">
        <v>283</v>
      </c>
      <c r="D77" s="569">
        <v>220175294</v>
      </c>
      <c r="E77" s="581">
        <v>34814</v>
      </c>
      <c r="F77" s="12"/>
      <c r="G77" s="12"/>
      <c r="H77" s="12"/>
      <c r="I77" s="12"/>
      <c r="J77" s="12"/>
      <c r="K77" s="728" t="s">
        <v>361</v>
      </c>
      <c r="L77" s="728" t="s">
        <v>361</v>
      </c>
      <c r="M77" s="12"/>
      <c r="N77" s="12"/>
      <c r="O77" s="12" t="s">
        <v>214</v>
      </c>
      <c r="P77" s="12" t="s">
        <v>214</v>
      </c>
      <c r="Q77" s="12" t="s">
        <v>214</v>
      </c>
      <c r="R77" s="12" t="s">
        <v>214</v>
      </c>
      <c r="S77" s="12" t="s">
        <v>214</v>
      </c>
      <c r="T77" s="12" t="s">
        <v>214</v>
      </c>
      <c r="U77" s="12"/>
      <c r="V77" s="566">
        <f t="shared" si="8"/>
        <v>8</v>
      </c>
      <c r="W77" s="385"/>
      <c r="X77" s="261" t="e">
        <f>#REF!='[3]BCC D1'!#REF!</f>
        <v>#REF!</v>
      </c>
      <c r="Z77" s="452">
        <v>1</v>
      </c>
      <c r="AA77" s="261">
        <f t="shared" si="9"/>
        <v>0</v>
      </c>
      <c r="AB77" s="247"/>
      <c r="AC77" s="248"/>
    </row>
    <row r="78" spans="1:29" s="261" customFormat="1" ht="27.95" customHeight="1">
      <c r="A78" s="458">
        <f t="shared" si="10"/>
        <v>59</v>
      </c>
      <c r="B78" s="603" t="s">
        <v>284</v>
      </c>
      <c r="C78" s="585" t="s">
        <v>285</v>
      </c>
      <c r="D78" s="569">
        <v>181068674</v>
      </c>
      <c r="E78" s="581">
        <v>39000</v>
      </c>
      <c r="F78" s="12"/>
      <c r="G78" s="12"/>
      <c r="H78" s="12"/>
      <c r="I78" s="12"/>
      <c r="J78" s="12"/>
      <c r="K78" s="728" t="s">
        <v>361</v>
      </c>
      <c r="L78" s="728" t="s">
        <v>361</v>
      </c>
      <c r="M78" s="728" t="s">
        <v>361</v>
      </c>
      <c r="N78" s="12"/>
      <c r="O78" s="12" t="s">
        <v>214</v>
      </c>
      <c r="P78" s="12" t="s">
        <v>214</v>
      </c>
      <c r="Q78" s="12" t="s">
        <v>214</v>
      </c>
      <c r="R78" s="12" t="s">
        <v>214</v>
      </c>
      <c r="S78" s="12" t="s">
        <v>214</v>
      </c>
      <c r="T78" s="457" t="s">
        <v>202</v>
      </c>
      <c r="U78" s="12"/>
      <c r="V78" s="566">
        <f t="shared" si="8"/>
        <v>8</v>
      </c>
      <c r="W78" s="385"/>
      <c r="X78" s="261" t="e">
        <f>#REF!='[3]BCC D1'!#REF!</f>
        <v>#REF!</v>
      </c>
      <c r="Z78" s="452">
        <v>0</v>
      </c>
      <c r="AA78" s="261">
        <f t="shared" si="9"/>
        <v>1</v>
      </c>
      <c r="AB78" s="247"/>
      <c r="AC78" s="248"/>
    </row>
    <row r="79" spans="1:29" s="261" customFormat="1" ht="27.95" customHeight="1">
      <c r="A79" s="458">
        <f t="shared" si="10"/>
        <v>60</v>
      </c>
      <c r="B79" s="603" t="s">
        <v>286</v>
      </c>
      <c r="C79" s="585" t="s">
        <v>287</v>
      </c>
      <c r="D79" s="569">
        <v>220139991</v>
      </c>
      <c r="E79" s="581">
        <v>32174</v>
      </c>
      <c r="F79" s="12"/>
      <c r="G79" s="12"/>
      <c r="H79" s="12"/>
      <c r="I79" s="12"/>
      <c r="J79" s="12"/>
      <c r="K79" s="12"/>
      <c r="L79" s="12"/>
      <c r="M79" s="12"/>
      <c r="N79" s="12"/>
      <c r="O79" s="12" t="s">
        <v>214</v>
      </c>
      <c r="P79" s="12" t="s">
        <v>214</v>
      </c>
      <c r="Q79" s="12" t="s">
        <v>214</v>
      </c>
      <c r="R79" s="12" t="s">
        <v>214</v>
      </c>
      <c r="S79" s="12" t="s">
        <v>214</v>
      </c>
      <c r="T79" s="457" t="s">
        <v>202</v>
      </c>
      <c r="U79" s="12"/>
      <c r="V79" s="566">
        <f t="shared" si="8"/>
        <v>5</v>
      </c>
      <c r="W79" s="385"/>
      <c r="X79" s="261" t="e">
        <f>#REF!='[3]BCC D1'!#REF!</f>
        <v>#REF!</v>
      </c>
      <c r="Z79" s="452">
        <v>0</v>
      </c>
      <c r="AA79" s="261">
        <f t="shared" si="9"/>
        <v>1</v>
      </c>
      <c r="AB79" s="247"/>
      <c r="AC79" s="248"/>
    </row>
    <row r="80" spans="1:29" s="261" customFormat="1" ht="27.95" customHeight="1">
      <c r="A80" s="458">
        <f t="shared" si="10"/>
        <v>61</v>
      </c>
      <c r="B80" s="603" t="s">
        <v>325</v>
      </c>
      <c r="C80" s="750" t="s">
        <v>326</v>
      </c>
      <c r="D80" s="569">
        <v>150582830</v>
      </c>
      <c r="E80" s="581">
        <v>35768</v>
      </c>
      <c r="F80" s="12"/>
      <c r="G80" s="12"/>
      <c r="H80" s="12"/>
      <c r="I80" s="12"/>
      <c r="J80" s="12"/>
      <c r="K80" s="12"/>
      <c r="L80" s="12"/>
      <c r="M80" s="728" t="s">
        <v>361</v>
      </c>
      <c r="N80" s="12"/>
      <c r="O80" s="12" t="s">
        <v>214</v>
      </c>
      <c r="P80" s="457" t="s">
        <v>202</v>
      </c>
      <c r="Q80" s="12" t="s">
        <v>214</v>
      </c>
      <c r="R80" s="12" t="s">
        <v>214</v>
      </c>
      <c r="S80" s="12" t="s">
        <v>214</v>
      </c>
      <c r="T80" s="12" t="s">
        <v>214</v>
      </c>
      <c r="U80" s="12"/>
      <c r="V80" s="566">
        <f t="shared" si="8"/>
        <v>6</v>
      </c>
      <c r="W80" s="385"/>
      <c r="X80" s="261" t="e">
        <f>#REF!='[3]BCC D1'!#REF!</f>
        <v>#REF!</v>
      </c>
      <c r="Z80" s="452">
        <v>1</v>
      </c>
      <c r="AA80" s="261">
        <f t="shared" si="9"/>
        <v>1</v>
      </c>
      <c r="AB80" s="247"/>
      <c r="AC80" s="248"/>
    </row>
    <row r="81" spans="1:57" s="261" customFormat="1" ht="27.95" customHeight="1">
      <c r="A81" s="458">
        <f t="shared" si="10"/>
        <v>62</v>
      </c>
      <c r="B81" s="603" t="s">
        <v>346</v>
      </c>
      <c r="C81" s="585" t="s">
        <v>347</v>
      </c>
      <c r="D81" s="569">
        <v>150352388</v>
      </c>
      <c r="E81" s="581">
        <v>31707</v>
      </c>
      <c r="F81" s="12"/>
      <c r="G81" s="12"/>
      <c r="H81" s="12"/>
      <c r="I81" s="12"/>
      <c r="J81" s="12"/>
      <c r="K81" s="12"/>
      <c r="L81" s="12"/>
      <c r="M81" s="12"/>
      <c r="N81" s="12"/>
      <c r="O81" s="12" t="s">
        <v>214</v>
      </c>
      <c r="P81" s="12" t="s">
        <v>214</v>
      </c>
      <c r="Q81" s="12" t="s">
        <v>214</v>
      </c>
      <c r="R81" s="12" t="s">
        <v>214</v>
      </c>
      <c r="S81" s="457" t="s">
        <v>202</v>
      </c>
      <c r="T81" s="12" t="s">
        <v>214</v>
      </c>
      <c r="U81" s="566"/>
      <c r="V81" s="566">
        <f t="shared" si="8"/>
        <v>5</v>
      </c>
      <c r="W81" s="385"/>
      <c r="Z81" s="452"/>
      <c r="AB81" s="247"/>
      <c r="AC81" s="248"/>
    </row>
    <row r="82" spans="1:57" s="261" customFormat="1" ht="27.95" customHeight="1">
      <c r="A82" s="458">
        <f t="shared" si="10"/>
        <v>63</v>
      </c>
      <c r="B82" s="253" t="s">
        <v>159</v>
      </c>
      <c r="C82" s="615" t="s">
        <v>160</v>
      </c>
      <c r="D82" s="569">
        <v>150740078</v>
      </c>
      <c r="E82" s="613">
        <v>35917</v>
      </c>
      <c r="F82" s="12"/>
      <c r="G82" s="12"/>
      <c r="H82" s="12" t="s">
        <v>214</v>
      </c>
      <c r="I82" s="12" t="s">
        <v>214</v>
      </c>
      <c r="J82" s="12" t="s">
        <v>214</v>
      </c>
      <c r="K82" s="12" t="s">
        <v>214</v>
      </c>
      <c r="L82" s="12" t="s">
        <v>214</v>
      </c>
      <c r="M82" s="12" t="s">
        <v>214</v>
      </c>
      <c r="N82" s="12" t="s">
        <v>214</v>
      </c>
      <c r="O82" s="12" t="s">
        <v>214</v>
      </c>
      <c r="P82" s="12" t="s">
        <v>214</v>
      </c>
      <c r="Q82" s="12"/>
      <c r="R82" s="12" t="s">
        <v>214</v>
      </c>
      <c r="S82" s="12" t="s">
        <v>214</v>
      </c>
      <c r="T82" s="12" t="s">
        <v>214</v>
      </c>
      <c r="U82" s="12"/>
      <c r="V82" s="566">
        <f t="shared" si="8"/>
        <v>12</v>
      </c>
      <c r="W82" s="385"/>
      <c r="X82" s="261" t="e">
        <f>#REF!='[3]BCC D1'!#REF!</f>
        <v>#REF!</v>
      </c>
      <c r="Z82" s="452">
        <v>1</v>
      </c>
      <c r="AA82" s="261">
        <f t="shared" ref="AA82:AA89" si="11">COUNTIF(F82:T82,"-")</f>
        <v>0</v>
      </c>
      <c r="AB82" s="247"/>
      <c r="AC82" s="248"/>
    </row>
    <row r="83" spans="1:57" s="261" customFormat="1" ht="27.95" customHeight="1">
      <c r="A83" s="702">
        <f t="shared" si="10"/>
        <v>64</v>
      </c>
      <c r="B83" s="253" t="s">
        <v>161</v>
      </c>
      <c r="C83" s="612" t="s">
        <v>162</v>
      </c>
      <c r="D83" s="569">
        <v>150922981</v>
      </c>
      <c r="E83" s="613">
        <v>32243</v>
      </c>
      <c r="F83" s="12"/>
      <c r="G83" s="12"/>
      <c r="H83" s="12" t="s">
        <v>214</v>
      </c>
      <c r="I83" s="12" t="s">
        <v>214</v>
      </c>
      <c r="J83" s="12" t="s">
        <v>214</v>
      </c>
      <c r="K83" s="12" t="s">
        <v>214</v>
      </c>
      <c r="L83" s="12" t="s">
        <v>214</v>
      </c>
      <c r="M83" s="12" t="s">
        <v>214</v>
      </c>
      <c r="N83" s="12" t="s">
        <v>214</v>
      </c>
      <c r="O83" s="12" t="s">
        <v>214</v>
      </c>
      <c r="P83" s="12" t="s">
        <v>214</v>
      </c>
      <c r="Q83" s="12"/>
      <c r="R83" s="12" t="s">
        <v>214</v>
      </c>
      <c r="S83" s="12" t="s">
        <v>214</v>
      </c>
      <c r="T83" s="12" t="s">
        <v>214</v>
      </c>
      <c r="U83" s="12"/>
      <c r="V83" s="566">
        <f t="shared" ref="V83:V90" si="12">COUNTIF(F83:T83,"X")+0.5*COUNTIF(F83:T83,"/")+COUNTIF(F83:T83,"R1")+COUNTIF(F83:T83,"R")+COUNTIF(F83:T83,"R")+COUNTIF(F83:T83,"Xcv")</f>
        <v>12</v>
      </c>
      <c r="W83" s="385"/>
      <c r="X83" s="261" t="e">
        <f>#REF!='[3]BCC D1'!#REF!</f>
        <v>#REF!</v>
      </c>
      <c r="Z83" s="452">
        <v>1</v>
      </c>
      <c r="AA83" s="261">
        <f t="shared" si="11"/>
        <v>0</v>
      </c>
      <c r="AB83" s="247"/>
      <c r="AC83" s="248"/>
    </row>
    <row r="84" spans="1:57" s="388" customFormat="1" ht="27.95" customHeight="1">
      <c r="A84" s="702">
        <f t="shared" si="10"/>
        <v>65</v>
      </c>
      <c r="B84" s="619" t="s">
        <v>163</v>
      </c>
      <c r="C84" s="615" t="s">
        <v>164</v>
      </c>
      <c r="D84" s="569">
        <v>150627964</v>
      </c>
      <c r="E84" s="613">
        <v>33054</v>
      </c>
      <c r="F84" s="12"/>
      <c r="G84" s="12"/>
      <c r="H84" s="12" t="s">
        <v>214</v>
      </c>
      <c r="I84" s="12" t="s">
        <v>214</v>
      </c>
      <c r="J84" s="12" t="s">
        <v>214</v>
      </c>
      <c r="K84" s="12" t="s">
        <v>214</v>
      </c>
      <c r="L84" s="12" t="s">
        <v>214</v>
      </c>
      <c r="M84" s="12" t="s">
        <v>214</v>
      </c>
      <c r="N84" s="12" t="s">
        <v>214</v>
      </c>
      <c r="O84" s="12" t="s">
        <v>214</v>
      </c>
      <c r="P84" s="12" t="s">
        <v>214</v>
      </c>
      <c r="Q84" s="12"/>
      <c r="R84" s="12" t="s">
        <v>214</v>
      </c>
      <c r="S84" s="12" t="s">
        <v>214</v>
      </c>
      <c r="T84" s="12" t="s">
        <v>214</v>
      </c>
      <c r="U84" s="12"/>
      <c r="V84" s="566">
        <f t="shared" si="12"/>
        <v>12</v>
      </c>
      <c r="W84" s="390"/>
      <c r="X84" s="261" t="e">
        <f>#REF!='[3]BCC D1'!#REF!</f>
        <v>#REF!</v>
      </c>
      <c r="Y84" s="261"/>
      <c r="Z84" s="452">
        <v>0</v>
      </c>
      <c r="AA84" s="261">
        <f t="shared" si="11"/>
        <v>0</v>
      </c>
      <c r="AB84" s="387"/>
      <c r="AC84" s="387"/>
      <c r="AD84" s="387"/>
      <c r="AE84" s="387"/>
      <c r="AF84" s="387"/>
      <c r="AG84" s="387"/>
      <c r="AH84" s="387"/>
      <c r="AI84" s="387"/>
      <c r="AJ84" s="387"/>
      <c r="AK84" s="387"/>
      <c r="AL84" s="387"/>
      <c r="AM84" s="387"/>
      <c r="AN84" s="387"/>
      <c r="AO84" s="387"/>
      <c r="AP84" s="387"/>
      <c r="AQ84" s="387"/>
      <c r="AR84" s="387"/>
      <c r="AS84" s="387"/>
      <c r="AT84" s="387"/>
      <c r="AU84" s="387"/>
      <c r="AV84" s="387"/>
      <c r="AW84" s="387"/>
      <c r="AX84" s="387"/>
      <c r="AY84" s="387"/>
      <c r="AZ84" s="387"/>
      <c r="BA84" s="387"/>
      <c r="BB84" s="387"/>
      <c r="BC84" s="387"/>
      <c r="BD84" s="387"/>
      <c r="BE84" s="387"/>
    </row>
    <row r="85" spans="1:57" s="388" customFormat="1" ht="27.95" customHeight="1">
      <c r="A85" s="702">
        <f t="shared" si="10"/>
        <v>66</v>
      </c>
      <c r="B85" s="619" t="s">
        <v>217</v>
      </c>
      <c r="C85" s="751" t="s">
        <v>218</v>
      </c>
      <c r="D85" s="569">
        <v>220234318</v>
      </c>
      <c r="E85" s="613">
        <v>34825</v>
      </c>
      <c r="F85" s="12"/>
      <c r="G85" s="12"/>
      <c r="H85" s="457" t="s">
        <v>202</v>
      </c>
      <c r="I85" s="457" t="s">
        <v>202</v>
      </c>
      <c r="J85" s="457" t="s">
        <v>202</v>
      </c>
      <c r="K85" s="12" t="s">
        <v>214</v>
      </c>
      <c r="L85" s="12" t="s">
        <v>214</v>
      </c>
      <c r="M85" s="12" t="s">
        <v>214</v>
      </c>
      <c r="N85" s="12" t="s">
        <v>214</v>
      </c>
      <c r="O85" s="12" t="s">
        <v>214</v>
      </c>
      <c r="P85" s="12" t="s">
        <v>214</v>
      </c>
      <c r="Q85" s="12"/>
      <c r="R85" s="12" t="s">
        <v>214</v>
      </c>
      <c r="S85" s="12" t="s">
        <v>214</v>
      </c>
      <c r="T85" s="12" t="s">
        <v>214</v>
      </c>
      <c r="U85" s="12"/>
      <c r="V85" s="566">
        <f t="shared" si="12"/>
        <v>9</v>
      </c>
      <c r="W85" s="390"/>
      <c r="X85" s="261" t="e">
        <f>#REF!='[3]BCC D1'!#REF!</f>
        <v>#REF!</v>
      </c>
      <c r="Y85" s="261"/>
      <c r="Z85" s="452">
        <v>0</v>
      </c>
      <c r="AA85" s="261">
        <f t="shared" si="11"/>
        <v>3</v>
      </c>
      <c r="AB85" s="387"/>
      <c r="AC85" s="387"/>
      <c r="AD85" s="387"/>
      <c r="AE85" s="387"/>
      <c r="AF85" s="387"/>
      <c r="AG85" s="387"/>
      <c r="AH85" s="387"/>
      <c r="AI85" s="387"/>
      <c r="AJ85" s="387"/>
      <c r="AK85" s="387"/>
      <c r="AL85" s="387"/>
      <c r="AM85" s="387"/>
      <c r="AN85" s="387"/>
      <c r="AO85" s="387"/>
      <c r="AP85" s="387"/>
      <c r="AQ85" s="387"/>
      <c r="AR85" s="387"/>
      <c r="AS85" s="387"/>
      <c r="AT85" s="387"/>
      <c r="AU85" s="387"/>
      <c r="AV85" s="387"/>
      <c r="AW85" s="387"/>
      <c r="AX85" s="387"/>
      <c r="AY85" s="387"/>
      <c r="AZ85" s="387"/>
      <c r="BA85" s="387"/>
      <c r="BB85" s="387"/>
      <c r="BC85" s="387"/>
      <c r="BD85" s="387"/>
      <c r="BE85" s="387"/>
    </row>
    <row r="86" spans="1:57" s="388" customFormat="1" ht="27.95" customHeight="1">
      <c r="A86" s="702">
        <f t="shared" si="10"/>
        <v>67</v>
      </c>
      <c r="B86" s="253" t="s">
        <v>165</v>
      </c>
      <c r="C86" s="610" t="s">
        <v>191</v>
      </c>
      <c r="D86" s="569">
        <v>220175244</v>
      </c>
      <c r="E86" s="611">
        <v>35680</v>
      </c>
      <c r="F86" s="12"/>
      <c r="G86" s="12"/>
      <c r="H86" s="12" t="s">
        <v>214</v>
      </c>
      <c r="I86" s="12" t="s">
        <v>214</v>
      </c>
      <c r="J86" s="12" t="s">
        <v>214</v>
      </c>
      <c r="K86" s="12" t="s">
        <v>214</v>
      </c>
      <c r="L86" s="12" t="s">
        <v>214</v>
      </c>
      <c r="M86" s="12" t="s">
        <v>214</v>
      </c>
      <c r="N86" s="12" t="s">
        <v>214</v>
      </c>
      <c r="O86" s="12" t="s">
        <v>214</v>
      </c>
      <c r="P86" s="12" t="s">
        <v>214</v>
      </c>
      <c r="Q86" s="12"/>
      <c r="R86" s="12" t="s">
        <v>214</v>
      </c>
      <c r="S86" s="12" t="s">
        <v>214</v>
      </c>
      <c r="T86" s="12" t="s">
        <v>214</v>
      </c>
      <c r="U86" s="12"/>
      <c r="V86" s="566">
        <f t="shared" si="12"/>
        <v>12</v>
      </c>
      <c r="W86" s="390"/>
      <c r="X86" s="261" t="e">
        <f>#REF!='[3]BCC D1'!#REF!</f>
        <v>#REF!</v>
      </c>
      <c r="Y86" s="261"/>
      <c r="Z86" s="452">
        <v>0</v>
      </c>
      <c r="AA86" s="261">
        <f t="shared" si="11"/>
        <v>0</v>
      </c>
      <c r="AB86" s="387"/>
      <c r="AC86" s="387"/>
      <c r="AD86" s="387"/>
      <c r="AE86" s="387"/>
      <c r="AF86" s="387"/>
      <c r="AG86" s="387"/>
      <c r="AH86" s="387"/>
      <c r="AI86" s="387"/>
      <c r="AJ86" s="387"/>
      <c r="AK86" s="387"/>
      <c r="AL86" s="387"/>
      <c r="AM86" s="387"/>
      <c r="AN86" s="387"/>
      <c r="AO86" s="387"/>
      <c r="AP86" s="387"/>
      <c r="AQ86" s="387"/>
      <c r="AR86" s="387"/>
      <c r="AS86" s="387"/>
      <c r="AT86" s="387"/>
      <c r="AU86" s="387"/>
      <c r="AV86" s="387"/>
      <c r="AW86" s="387"/>
      <c r="AX86" s="387"/>
      <c r="AY86" s="387"/>
      <c r="AZ86" s="387"/>
      <c r="BA86" s="387"/>
      <c r="BB86" s="387"/>
      <c r="BC86" s="387"/>
      <c r="BD86" s="387"/>
      <c r="BE86" s="387"/>
    </row>
    <row r="87" spans="1:57" s="388" customFormat="1" ht="30" customHeight="1">
      <c r="A87" s="702">
        <f t="shared" si="10"/>
        <v>68</v>
      </c>
      <c r="B87" s="253" t="s">
        <v>166</v>
      </c>
      <c r="C87" s="610" t="s">
        <v>167</v>
      </c>
      <c r="D87" s="569">
        <v>150565864</v>
      </c>
      <c r="E87" s="611">
        <v>32893</v>
      </c>
      <c r="F87" s="12"/>
      <c r="G87" s="12"/>
      <c r="H87" s="12" t="s">
        <v>214</v>
      </c>
      <c r="I87" s="12" t="s">
        <v>214</v>
      </c>
      <c r="J87" s="12" t="s">
        <v>214</v>
      </c>
      <c r="K87" s="12" t="s">
        <v>214</v>
      </c>
      <c r="L87" s="12" t="s">
        <v>214</v>
      </c>
      <c r="M87" s="12" t="s">
        <v>214</v>
      </c>
      <c r="N87" s="12" t="s">
        <v>214</v>
      </c>
      <c r="O87" s="12" t="s">
        <v>214</v>
      </c>
      <c r="P87" s="12" t="s">
        <v>214</v>
      </c>
      <c r="Q87" s="12"/>
      <c r="R87" s="12" t="s">
        <v>214</v>
      </c>
      <c r="S87" s="12" t="s">
        <v>214</v>
      </c>
      <c r="T87" s="12" t="s">
        <v>214</v>
      </c>
      <c r="U87" s="12"/>
      <c r="V87" s="566">
        <f t="shared" si="12"/>
        <v>12</v>
      </c>
      <c r="W87" s="390"/>
      <c r="X87" s="261" t="e">
        <f>#REF!='[3]BCC D1'!#REF!</f>
        <v>#REF!</v>
      </c>
      <c r="Y87" s="261"/>
      <c r="Z87" s="452">
        <v>0</v>
      </c>
      <c r="AA87" s="261">
        <f t="shared" si="11"/>
        <v>0</v>
      </c>
      <c r="AB87" s="387"/>
      <c r="AC87" s="387"/>
      <c r="AD87" s="387"/>
      <c r="AE87" s="387"/>
      <c r="AF87" s="387"/>
      <c r="AG87" s="387"/>
      <c r="AH87" s="387"/>
      <c r="AI87" s="387"/>
      <c r="AJ87" s="387"/>
      <c r="AK87" s="387"/>
      <c r="AL87" s="387"/>
      <c r="AM87" s="387"/>
      <c r="AN87" s="387"/>
      <c r="AO87" s="387"/>
      <c r="AP87" s="387"/>
      <c r="AQ87" s="387"/>
      <c r="AR87" s="387"/>
      <c r="AS87" s="387"/>
      <c r="AT87" s="387"/>
      <c r="AU87" s="387"/>
      <c r="AV87" s="387"/>
      <c r="AW87" s="387"/>
      <c r="AX87" s="387"/>
      <c r="AY87" s="387"/>
      <c r="AZ87" s="387"/>
      <c r="BA87" s="387"/>
      <c r="BB87" s="387"/>
      <c r="BC87" s="387"/>
      <c r="BD87" s="387"/>
      <c r="BE87" s="387"/>
    </row>
    <row r="88" spans="1:57" s="388" customFormat="1" ht="30" customHeight="1">
      <c r="A88" s="702">
        <f t="shared" si="10"/>
        <v>69</v>
      </c>
      <c r="B88" s="620" t="s">
        <v>168</v>
      </c>
      <c r="C88" s="621" t="s">
        <v>169</v>
      </c>
      <c r="D88" s="569">
        <v>150612355</v>
      </c>
      <c r="E88" s="622">
        <v>35107</v>
      </c>
      <c r="F88" s="12"/>
      <c r="G88" s="12"/>
      <c r="H88" s="12" t="s">
        <v>214</v>
      </c>
      <c r="I88" s="12" t="s">
        <v>214</v>
      </c>
      <c r="J88" s="12" t="s">
        <v>214</v>
      </c>
      <c r="K88" s="12" t="s">
        <v>214</v>
      </c>
      <c r="L88" s="12" t="s">
        <v>214</v>
      </c>
      <c r="M88" s="12" t="s">
        <v>214</v>
      </c>
      <c r="N88" s="12" t="s">
        <v>214</v>
      </c>
      <c r="O88" s="12" t="s">
        <v>214</v>
      </c>
      <c r="P88" s="12" t="s">
        <v>214</v>
      </c>
      <c r="Q88" s="12"/>
      <c r="R88" s="457" t="s">
        <v>202</v>
      </c>
      <c r="S88" s="12" t="s">
        <v>214</v>
      </c>
      <c r="T88" s="12" t="s">
        <v>214</v>
      </c>
      <c r="U88" s="12"/>
      <c r="V88" s="566">
        <f t="shared" si="12"/>
        <v>11</v>
      </c>
      <c r="W88" s="390"/>
      <c r="X88" s="387"/>
      <c r="Y88" s="261"/>
      <c r="Z88" s="452">
        <v>0</v>
      </c>
      <c r="AA88" s="261">
        <f t="shared" si="11"/>
        <v>1</v>
      </c>
      <c r="AB88" s="387"/>
      <c r="AC88" s="387"/>
      <c r="AD88" s="387"/>
      <c r="AE88" s="387"/>
      <c r="AF88" s="387"/>
      <c r="AG88" s="387"/>
      <c r="AH88" s="387"/>
      <c r="AI88" s="387"/>
      <c r="AJ88" s="387"/>
      <c r="AK88" s="387"/>
      <c r="AL88" s="387"/>
      <c r="AM88" s="387"/>
      <c r="AN88" s="387"/>
      <c r="AO88" s="387"/>
      <c r="AP88" s="387"/>
      <c r="AQ88" s="387"/>
      <c r="AR88" s="387"/>
      <c r="AS88" s="387"/>
      <c r="AT88" s="387"/>
      <c r="AU88" s="387"/>
      <c r="AV88" s="387"/>
      <c r="AW88" s="387"/>
      <c r="AX88" s="387"/>
      <c r="AY88" s="387"/>
      <c r="AZ88" s="387"/>
      <c r="BA88" s="387"/>
      <c r="BB88" s="387"/>
      <c r="BC88" s="387"/>
      <c r="BD88" s="387"/>
      <c r="BE88" s="387"/>
    </row>
    <row r="89" spans="1:57" s="388" customFormat="1" ht="30" customHeight="1">
      <c r="A89" s="702">
        <f t="shared" si="10"/>
        <v>70</v>
      </c>
      <c r="B89" s="570" t="s">
        <v>72</v>
      </c>
      <c r="C89" s="574" t="s">
        <v>73</v>
      </c>
      <c r="D89" s="569">
        <v>150468451</v>
      </c>
      <c r="E89" s="386">
        <v>32969</v>
      </c>
      <c r="F89" s="12"/>
      <c r="G89" s="12"/>
      <c r="H89" s="12" t="s">
        <v>214</v>
      </c>
      <c r="I89" s="12" t="s">
        <v>214</v>
      </c>
      <c r="J89" s="12" t="s">
        <v>214</v>
      </c>
      <c r="K89" s="12" t="s">
        <v>214</v>
      </c>
      <c r="L89" s="12" t="s">
        <v>214</v>
      </c>
      <c r="M89" s="12" t="s">
        <v>214</v>
      </c>
      <c r="N89" s="12" t="s">
        <v>214</v>
      </c>
      <c r="O89" s="12" t="s">
        <v>214</v>
      </c>
      <c r="P89" s="12" t="s">
        <v>214</v>
      </c>
      <c r="Q89" s="12"/>
      <c r="R89" s="12" t="s">
        <v>214</v>
      </c>
      <c r="S89" s="12" t="s">
        <v>214</v>
      </c>
      <c r="T89" s="12" t="s">
        <v>214</v>
      </c>
      <c r="U89" s="12"/>
      <c r="V89" s="566">
        <f t="shared" si="12"/>
        <v>12</v>
      </c>
      <c r="W89" s="390"/>
      <c r="X89" s="387"/>
      <c r="Y89" s="261"/>
      <c r="Z89" s="452">
        <v>0</v>
      </c>
      <c r="AA89" s="261">
        <f t="shared" si="11"/>
        <v>0</v>
      </c>
      <c r="AB89" s="387"/>
      <c r="AC89" s="387"/>
      <c r="AD89" s="387"/>
      <c r="AE89" s="387"/>
      <c r="AF89" s="387"/>
      <c r="AG89" s="387"/>
      <c r="AH89" s="387"/>
      <c r="AI89" s="387"/>
      <c r="AJ89" s="387"/>
      <c r="AK89" s="387"/>
      <c r="AL89" s="387"/>
      <c r="AM89" s="387"/>
      <c r="AN89" s="387"/>
      <c r="AO89" s="387"/>
      <c r="AP89" s="387"/>
      <c r="AQ89" s="387"/>
      <c r="AR89" s="387"/>
      <c r="AS89" s="387"/>
      <c r="AT89" s="387"/>
      <c r="AU89" s="387"/>
      <c r="AV89" s="387"/>
      <c r="AW89" s="387"/>
      <c r="AX89" s="387"/>
      <c r="AY89" s="387"/>
      <c r="AZ89" s="387"/>
      <c r="BA89" s="387"/>
      <c r="BB89" s="387"/>
      <c r="BC89" s="387"/>
      <c r="BD89" s="387"/>
      <c r="BE89" s="387"/>
    </row>
    <row r="90" spans="1:57" s="388" customFormat="1" ht="30" customHeight="1">
      <c r="A90" s="702">
        <f t="shared" si="10"/>
        <v>71</v>
      </c>
      <c r="B90" s="253" t="s">
        <v>170</v>
      </c>
      <c r="C90" s="610" t="s">
        <v>171</v>
      </c>
      <c r="D90" s="569">
        <v>150952614</v>
      </c>
      <c r="E90" s="611">
        <v>37225</v>
      </c>
      <c r="F90" s="12"/>
      <c r="G90" s="12"/>
      <c r="H90" s="12" t="s">
        <v>214</v>
      </c>
      <c r="I90" s="12" t="s">
        <v>214</v>
      </c>
      <c r="J90" s="12" t="s">
        <v>214</v>
      </c>
      <c r="K90" s="12" t="s">
        <v>214</v>
      </c>
      <c r="L90" s="12" t="s">
        <v>214</v>
      </c>
      <c r="M90" s="12" t="s">
        <v>214</v>
      </c>
      <c r="N90" s="12" t="s">
        <v>214</v>
      </c>
      <c r="O90" s="12" t="s">
        <v>214</v>
      </c>
      <c r="P90" s="12" t="s">
        <v>214</v>
      </c>
      <c r="Q90" s="12"/>
      <c r="R90" s="12" t="s">
        <v>214</v>
      </c>
      <c r="S90" s="12" t="s">
        <v>214</v>
      </c>
      <c r="T90" s="12" t="s">
        <v>214</v>
      </c>
      <c r="U90" s="12"/>
      <c r="V90" s="566">
        <f t="shared" si="12"/>
        <v>12</v>
      </c>
      <c r="W90" s="390"/>
      <c r="X90" s="387"/>
      <c r="Y90" s="261"/>
      <c r="Z90" s="261"/>
      <c r="AA90" s="261"/>
      <c r="AB90" s="387"/>
      <c r="AC90" s="387"/>
      <c r="AD90" s="387"/>
      <c r="AE90" s="387"/>
      <c r="AF90" s="387"/>
      <c r="AG90" s="387"/>
      <c r="AH90" s="387"/>
      <c r="AI90" s="387"/>
      <c r="AJ90" s="387"/>
      <c r="AK90" s="387"/>
      <c r="AL90" s="387"/>
      <c r="AM90" s="387"/>
      <c r="AN90" s="387"/>
      <c r="AO90" s="387"/>
      <c r="AP90" s="387"/>
      <c r="AQ90" s="387"/>
      <c r="AR90" s="387"/>
      <c r="AS90" s="387"/>
      <c r="AT90" s="387"/>
      <c r="AU90" s="387"/>
      <c r="AV90" s="387"/>
      <c r="AW90" s="387"/>
      <c r="AX90" s="387"/>
      <c r="AY90" s="387"/>
      <c r="AZ90" s="387"/>
      <c r="BA90" s="387"/>
      <c r="BB90" s="387"/>
      <c r="BC90" s="387"/>
      <c r="BD90" s="387"/>
      <c r="BE90" s="387"/>
    </row>
    <row r="91" spans="1:57" ht="30" customHeight="1">
      <c r="A91" s="389" t="s">
        <v>365</v>
      </c>
      <c r="B91" s="799" t="s">
        <v>362</v>
      </c>
      <c r="C91" s="799"/>
      <c r="D91" s="569"/>
      <c r="E91" s="386"/>
      <c r="F91" s="384">
        <v>1</v>
      </c>
      <c r="G91" s="384">
        <v>2</v>
      </c>
      <c r="H91" s="384">
        <v>3</v>
      </c>
      <c r="I91" s="384">
        <v>4</v>
      </c>
      <c r="J91" s="384">
        <v>5</v>
      </c>
      <c r="K91" s="384">
        <v>6</v>
      </c>
      <c r="L91" s="384">
        <v>7</v>
      </c>
      <c r="M91" s="384">
        <v>8</v>
      </c>
      <c r="N91" s="384">
        <v>9</v>
      </c>
      <c r="O91" s="384">
        <v>10</v>
      </c>
      <c r="P91" s="384">
        <v>11</v>
      </c>
      <c r="Q91" s="384">
        <v>12</v>
      </c>
      <c r="R91" s="384">
        <v>13</v>
      </c>
      <c r="S91" s="384">
        <v>14</v>
      </c>
      <c r="T91" s="384">
        <v>15</v>
      </c>
      <c r="U91" s="12"/>
      <c r="V91" s="738">
        <f>SUM(V92:V93)</f>
        <v>5.5</v>
      </c>
      <c r="W91" s="385"/>
      <c r="X91" s="392">
        <f>COUNTIF(U12:U74,0)</f>
        <v>0</v>
      </c>
      <c r="Y91" s="392"/>
    </row>
    <row r="92" spans="1:57" ht="30" customHeight="1">
      <c r="A92" s="702">
        <v>72</v>
      </c>
      <c r="B92" s="253" t="s">
        <v>338</v>
      </c>
      <c r="C92" s="614" t="s">
        <v>337</v>
      </c>
      <c r="D92" s="569">
        <v>151046569</v>
      </c>
      <c r="E92" s="613">
        <v>29407</v>
      </c>
      <c r="F92" s="12"/>
      <c r="G92" s="12"/>
      <c r="H92" s="414" t="s">
        <v>214</v>
      </c>
      <c r="I92" s="12"/>
      <c r="J92" s="12"/>
      <c r="K92" s="12"/>
      <c r="L92" s="414" t="s">
        <v>214</v>
      </c>
      <c r="M92" s="12"/>
      <c r="N92" s="12"/>
      <c r="O92" s="12"/>
      <c r="P92" s="12"/>
      <c r="Q92" s="12"/>
      <c r="R92" s="12"/>
      <c r="S92" s="12"/>
      <c r="T92" s="12"/>
      <c r="U92" s="12"/>
      <c r="V92" s="566">
        <f>COUNTIF(F92:T92,"X")+0.5*COUNTIF(F92:T92,"/")</f>
        <v>2</v>
      </c>
      <c r="W92" s="385"/>
      <c r="X92" s="392"/>
      <c r="Y92" s="392"/>
    </row>
    <row r="93" spans="1:57" ht="30" customHeight="1">
      <c r="A93" s="702">
        <v>73</v>
      </c>
      <c r="B93" s="605" t="s">
        <v>57</v>
      </c>
      <c r="C93" s="365" t="s">
        <v>58</v>
      </c>
      <c r="D93" s="569">
        <v>110471355</v>
      </c>
      <c r="E93" s="386">
        <v>27485</v>
      </c>
      <c r="F93" s="12"/>
      <c r="G93" s="414" t="s">
        <v>214</v>
      </c>
      <c r="H93" s="12"/>
      <c r="I93" s="12"/>
      <c r="J93" s="414" t="s">
        <v>214</v>
      </c>
      <c r="K93" s="12"/>
      <c r="L93" s="12"/>
      <c r="M93" s="12"/>
      <c r="N93" s="12" t="s">
        <v>216</v>
      </c>
      <c r="O93" s="12"/>
      <c r="P93" s="12"/>
      <c r="Q93" s="12"/>
      <c r="R93" s="12"/>
      <c r="S93" s="12"/>
      <c r="T93" s="12" t="s">
        <v>214</v>
      </c>
      <c r="U93" s="12"/>
      <c r="V93" s="566">
        <f>COUNTIF(F93:T93,"X")+0.5*COUNTIF(F93:T93,"/")</f>
        <v>3.5</v>
      </c>
      <c r="W93" s="385"/>
      <c r="X93" s="392"/>
      <c r="Y93" s="392"/>
    </row>
    <row r="94" spans="1:57" ht="30" customHeight="1">
      <c r="A94" s="391" t="s">
        <v>365</v>
      </c>
      <c r="B94" s="623" t="s">
        <v>363</v>
      </c>
      <c r="C94" s="605"/>
      <c r="D94" s="569"/>
      <c r="E94" s="386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266"/>
      <c r="V94" s="738">
        <f>SUM(V95:V96)</f>
        <v>8</v>
      </c>
      <c r="W94" s="385"/>
      <c r="X94" s="392"/>
      <c r="Y94" s="392"/>
    </row>
    <row r="95" spans="1:57" ht="30" customHeight="1">
      <c r="A95" s="391">
        <v>74</v>
      </c>
      <c r="B95" s="582" t="s">
        <v>94</v>
      </c>
      <c r="C95" s="584" t="s">
        <v>95</v>
      </c>
      <c r="D95" s="569">
        <v>220137301</v>
      </c>
      <c r="E95" s="581">
        <v>30074</v>
      </c>
      <c r="F95" s="12" t="s">
        <v>214</v>
      </c>
      <c r="G95" s="12" t="s">
        <v>214</v>
      </c>
      <c r="H95" s="12" t="s">
        <v>214</v>
      </c>
      <c r="I95" s="12" t="s">
        <v>214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266"/>
      <c r="V95" s="566">
        <f>COUNTIF(F95:T95,"X")+0.5*COUNTIF(F95:T95,"/")</f>
        <v>4</v>
      </c>
      <c r="W95" s="385"/>
      <c r="X95" s="392"/>
      <c r="Y95" s="392"/>
    </row>
    <row r="96" spans="1:57" ht="30" customHeight="1">
      <c r="A96" s="391">
        <f t="shared" ref="A96:A101" si="13">A95+1</f>
        <v>75</v>
      </c>
      <c r="B96" s="751" t="s">
        <v>278</v>
      </c>
      <c r="C96" s="586" t="s">
        <v>279</v>
      </c>
      <c r="D96" s="569">
        <v>220211460</v>
      </c>
      <c r="E96" s="581">
        <v>37970</v>
      </c>
      <c r="F96" s="12" t="s">
        <v>214</v>
      </c>
      <c r="G96" s="12" t="s">
        <v>214</v>
      </c>
      <c r="H96" s="12" t="s">
        <v>214</v>
      </c>
      <c r="I96" s="12" t="s">
        <v>214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266"/>
      <c r="V96" s="566">
        <f>COUNTIF(F96:T96,"X")+0.5*COUNTIF(F96:T96,"/")</f>
        <v>4</v>
      </c>
      <c r="W96" s="385"/>
      <c r="X96" s="392"/>
      <c r="Y96" s="392"/>
    </row>
    <row r="97" spans="1:25" ht="30" customHeight="1">
      <c r="A97" s="391" t="s">
        <v>365</v>
      </c>
      <c r="B97" s="752" t="s">
        <v>364</v>
      </c>
      <c r="C97" s="739"/>
      <c r="D97" s="569"/>
      <c r="E97" s="581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266"/>
      <c r="V97" s="738">
        <f>SUM(V98:V101)</f>
        <v>6</v>
      </c>
      <c r="W97" s="385"/>
      <c r="X97" s="392"/>
      <c r="Y97" s="392"/>
    </row>
    <row r="98" spans="1:25" ht="30" customHeight="1">
      <c r="A98" s="391">
        <v>76</v>
      </c>
      <c r="B98" s="567" t="s">
        <v>131</v>
      </c>
      <c r="C98" s="734" t="s">
        <v>132</v>
      </c>
      <c r="D98" s="569">
        <v>150978188</v>
      </c>
      <c r="E98" s="386">
        <v>37990</v>
      </c>
      <c r="F98" s="12" t="s">
        <v>216</v>
      </c>
      <c r="G98" s="12" t="s">
        <v>214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266"/>
      <c r="V98" s="566">
        <f>COUNTIF(F98:T98,"X")+0.5*COUNTIF(F98:T98,"/")</f>
        <v>1.5</v>
      </c>
      <c r="W98" s="385"/>
      <c r="X98" s="392"/>
      <c r="Y98" s="392"/>
    </row>
    <row r="99" spans="1:25" ht="21">
      <c r="A99" s="391">
        <f t="shared" si="13"/>
        <v>77</v>
      </c>
      <c r="B99" s="580" t="s">
        <v>147</v>
      </c>
      <c r="C99" s="338" t="s">
        <v>148</v>
      </c>
      <c r="D99" s="569">
        <v>151055393</v>
      </c>
      <c r="E99" s="618">
        <v>39725</v>
      </c>
      <c r="F99" s="12" t="s">
        <v>216</v>
      </c>
      <c r="G99" s="12" t="s">
        <v>214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274"/>
      <c r="V99" s="566">
        <f t="shared" ref="V99:V101" si="14">COUNTIF(F99:T99,"X")+0.5*COUNTIF(F99:T99,"/")</f>
        <v>1.5</v>
      </c>
      <c r="W99" s="385"/>
      <c r="X99" s="392"/>
      <c r="Y99" s="392"/>
    </row>
    <row r="100" spans="1:25" ht="21.95" customHeight="1">
      <c r="A100" s="391">
        <f t="shared" si="13"/>
        <v>78</v>
      </c>
      <c r="B100" s="603" t="s">
        <v>282</v>
      </c>
      <c r="C100" s="750" t="s">
        <v>283</v>
      </c>
      <c r="D100" s="569">
        <v>220175294</v>
      </c>
      <c r="E100" s="581">
        <v>34814</v>
      </c>
      <c r="F100" s="12" t="s">
        <v>216</v>
      </c>
      <c r="G100" s="12" t="s">
        <v>214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266">
        <f>SUM(U12:U98)</f>
        <v>0</v>
      </c>
      <c r="V100" s="566">
        <f t="shared" si="14"/>
        <v>1.5</v>
      </c>
      <c r="W100" s="267"/>
      <c r="X100" s="392"/>
      <c r="Y100" s="392"/>
    </row>
    <row r="101" spans="1:25" ht="21.95" customHeight="1">
      <c r="A101" s="391">
        <f t="shared" si="13"/>
        <v>79</v>
      </c>
      <c r="B101" s="603" t="s">
        <v>325</v>
      </c>
      <c r="C101" s="750" t="s">
        <v>326</v>
      </c>
      <c r="D101" s="569">
        <v>150582830</v>
      </c>
      <c r="E101" s="581">
        <v>35768</v>
      </c>
      <c r="F101" s="12" t="s">
        <v>216</v>
      </c>
      <c r="G101" s="12" t="s">
        <v>214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266"/>
      <c r="V101" s="566">
        <f t="shared" si="14"/>
        <v>1.5</v>
      </c>
      <c r="W101" s="267"/>
      <c r="X101" s="392"/>
      <c r="Y101" s="392"/>
    </row>
    <row r="102" spans="1:25" ht="21.95" customHeight="1">
      <c r="A102" s="684"/>
      <c r="B102" s="740"/>
      <c r="C102" s="741"/>
      <c r="D102" s="742"/>
      <c r="E102" s="743"/>
      <c r="F102" s="684"/>
      <c r="G102" s="684"/>
      <c r="H102" s="684"/>
      <c r="I102" s="393"/>
      <c r="J102" s="393"/>
      <c r="K102" s="684"/>
      <c r="L102" s="684"/>
      <c r="M102" s="684"/>
      <c r="N102" s="684"/>
      <c r="O102" s="684"/>
      <c r="P102" s="398"/>
      <c r="Q102" s="393"/>
      <c r="R102" s="684"/>
      <c r="S102" s="684"/>
      <c r="T102" s="684"/>
      <c r="U102" s="394"/>
      <c r="V102" s="685"/>
      <c r="W102" s="684"/>
      <c r="X102" s="392"/>
      <c r="Y102" s="392"/>
    </row>
    <row r="103" spans="1:25" ht="21.95" customHeight="1">
      <c r="B103" s="800" t="s">
        <v>336</v>
      </c>
      <c r="C103" s="800"/>
      <c r="I103" s="393"/>
      <c r="P103" s="801" t="s">
        <v>270</v>
      </c>
      <c r="Q103" s="801"/>
      <c r="R103" s="801"/>
      <c r="S103" s="801"/>
      <c r="T103" s="801"/>
      <c r="U103" s="801"/>
      <c r="V103" s="801"/>
      <c r="W103" s="801"/>
      <c r="X103" s="392"/>
      <c r="Y103" s="392"/>
    </row>
    <row r="104" spans="1:25">
      <c r="B104" s="797"/>
      <c r="C104" s="797"/>
      <c r="I104" s="393"/>
      <c r="P104" s="792" t="s">
        <v>271</v>
      </c>
      <c r="Q104" s="792"/>
      <c r="R104" s="792"/>
      <c r="S104" s="792"/>
      <c r="T104" s="792"/>
      <c r="U104" s="792"/>
      <c r="V104" s="792"/>
      <c r="W104" s="792"/>
      <c r="X104" s="392"/>
      <c r="Y104" s="392"/>
    </row>
    <row r="105" spans="1:25">
      <c r="A105" s="395"/>
      <c r="B105" s="398"/>
      <c r="C105" s="398"/>
      <c r="D105" s="398"/>
      <c r="E105" s="395"/>
      <c r="F105" s="398"/>
      <c r="I105" s="393"/>
      <c r="P105" s="244"/>
      <c r="X105" s="392"/>
      <c r="Y105" s="392"/>
    </row>
    <row r="106" spans="1:25">
      <c r="A106" s="395"/>
      <c r="B106" s="398"/>
      <c r="C106" s="398"/>
      <c r="D106" s="398"/>
      <c r="E106" s="395"/>
      <c r="F106" s="398"/>
      <c r="I106" s="393"/>
      <c r="P106" s="244"/>
    </row>
    <row r="107" spans="1:25">
      <c r="A107" s="395"/>
      <c r="B107" s="797" t="s">
        <v>17</v>
      </c>
      <c r="C107" s="797"/>
      <c r="D107" s="396"/>
      <c r="E107" s="397"/>
      <c r="F107" s="398"/>
      <c r="I107" s="393"/>
      <c r="P107" s="244"/>
    </row>
    <row r="108" spans="1:25">
      <c r="I108" s="393"/>
      <c r="P108" s="244"/>
    </row>
    <row r="109" spans="1:25">
      <c r="I109" s="393"/>
      <c r="P109" s="244"/>
    </row>
    <row r="110" spans="1:25">
      <c r="I110" s="393"/>
      <c r="P110" s="244"/>
    </row>
    <row r="111" spans="1:25">
      <c r="I111" s="393"/>
      <c r="P111" s="244"/>
    </row>
    <row r="112" spans="1:25">
      <c r="I112" s="393"/>
      <c r="P112" s="244"/>
    </row>
    <row r="113" spans="9:16">
      <c r="I113" s="393"/>
      <c r="P113" s="244"/>
    </row>
    <row r="114" spans="9:16">
      <c r="I114" s="393"/>
      <c r="P114" s="244"/>
    </row>
    <row r="115" spans="9:16">
      <c r="I115" s="393"/>
      <c r="P115" s="244"/>
    </row>
  </sheetData>
  <autoFilter ref="A11:AE91"/>
  <mergeCells count="19">
    <mergeCell ref="B107:C107"/>
    <mergeCell ref="F10:T10"/>
    <mergeCell ref="B91:C91"/>
    <mergeCell ref="B103:C103"/>
    <mergeCell ref="P103:W103"/>
    <mergeCell ref="B104:C104"/>
    <mergeCell ref="P104:W104"/>
    <mergeCell ref="A9:W9"/>
    <mergeCell ref="A1:D1"/>
    <mergeCell ref="P1:W1"/>
    <mergeCell ref="A2:D2"/>
    <mergeCell ref="P2:W2"/>
    <mergeCell ref="A3:D3"/>
    <mergeCell ref="P3:W3"/>
    <mergeCell ref="A4:D4"/>
    <mergeCell ref="P4:W4"/>
    <mergeCell ref="A6:W6"/>
    <mergeCell ref="A7:W7"/>
    <mergeCell ref="A8:W8"/>
  </mergeCells>
  <printOptions horizontalCentered="1"/>
  <pageMargins left="0.19685039370078741" right="0.19685039370078741" top="0.43307086614173229" bottom="0.43307086614173229" header="0.23622047244094491" footer="0.23622047244094491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opLeftCell="A8" zoomScale="70" zoomScaleNormal="70" workbookViewId="0">
      <selection activeCell="F26" sqref="F26"/>
    </sheetView>
  </sheetViews>
  <sheetFormatPr defaultRowHeight="14.25"/>
  <cols>
    <col min="1" max="1" width="7.5" style="465" customWidth="1"/>
    <col min="2" max="2" width="62.875" style="465" customWidth="1"/>
    <col min="3" max="3" width="16.875" style="465" customWidth="1"/>
    <col min="4" max="4" width="11.5" style="465" customWidth="1"/>
    <col min="5" max="5" width="17.625" style="465" customWidth="1"/>
    <col min="6" max="6" width="18.25" style="465" customWidth="1"/>
    <col min="7" max="7" width="11.75" style="465" customWidth="1"/>
    <col min="8" max="8" width="13.625" style="465" customWidth="1"/>
    <col min="9" max="9" width="15.5" style="465" bestFit="1" customWidth="1"/>
    <col min="10" max="10" width="16" style="465" bestFit="1" customWidth="1"/>
    <col min="11" max="11" width="14" style="465" bestFit="1" customWidth="1"/>
    <col min="12" max="12" width="15.375" style="465" bestFit="1" customWidth="1"/>
    <col min="13" max="13" width="11.125" style="465" bestFit="1" customWidth="1"/>
    <col min="14" max="16384" width="9" style="465"/>
  </cols>
  <sheetData>
    <row r="1" spans="1:12" s="463" customFormat="1" ht="29.25">
      <c r="A1" s="789" t="s">
        <v>0</v>
      </c>
      <c r="B1" s="789"/>
      <c r="C1" s="462"/>
      <c r="D1" s="686"/>
      <c r="E1" s="802" t="s">
        <v>1</v>
      </c>
      <c r="F1" s="802"/>
      <c r="G1" s="802"/>
      <c r="H1" s="802"/>
      <c r="I1" s="243"/>
    </row>
    <row r="2" spans="1:12" s="463" customFormat="1" ht="18.75">
      <c r="A2" s="791" t="s">
        <v>2</v>
      </c>
      <c r="B2" s="791"/>
      <c r="C2" s="242"/>
      <c r="D2" s="688"/>
      <c r="E2" s="803" t="s">
        <v>3</v>
      </c>
      <c r="F2" s="803"/>
      <c r="G2" s="803"/>
      <c r="H2" s="803"/>
      <c r="I2" s="261"/>
    </row>
    <row r="3" spans="1:12" s="463" customFormat="1" ht="29.25">
      <c r="A3" s="804" t="s">
        <v>4</v>
      </c>
      <c r="B3" s="804"/>
      <c r="C3" s="464"/>
      <c r="D3" s="692"/>
      <c r="E3" s="802" t="s">
        <v>5</v>
      </c>
      <c r="F3" s="802"/>
      <c r="G3" s="802"/>
      <c r="H3" s="802"/>
      <c r="I3" s="243"/>
    </row>
    <row r="4" spans="1:12" s="463" customFormat="1" ht="18.75">
      <c r="A4" s="791" t="s">
        <v>6</v>
      </c>
      <c r="B4" s="791"/>
      <c r="C4" s="242"/>
      <c r="D4" s="688"/>
      <c r="E4" s="805" t="s">
        <v>7</v>
      </c>
      <c r="F4" s="805"/>
      <c r="G4" s="805"/>
      <c r="H4" s="805"/>
      <c r="I4" s="244"/>
    </row>
    <row r="5" spans="1:12" ht="10.15" customHeight="1"/>
    <row r="6" spans="1:12" s="466" customFormat="1" ht="47.25" customHeight="1">
      <c r="A6" s="806" t="s">
        <v>357</v>
      </c>
      <c r="B6" s="806"/>
      <c r="C6" s="806"/>
      <c r="D6" s="806"/>
      <c r="E6" s="806"/>
      <c r="F6" s="806"/>
      <c r="G6" s="806"/>
      <c r="H6" s="806"/>
    </row>
    <row r="7" spans="1:12" s="467" customFormat="1" ht="24.95" customHeight="1">
      <c r="A7" s="807" t="s">
        <v>329</v>
      </c>
      <c r="B7" s="807"/>
      <c r="C7" s="807"/>
      <c r="D7" s="807"/>
      <c r="E7" s="807"/>
      <c r="F7" s="807"/>
      <c r="G7" s="807"/>
      <c r="H7" s="807"/>
    </row>
    <row r="8" spans="1:12" s="467" customFormat="1" ht="24.95" customHeight="1">
      <c r="A8" s="807" t="s">
        <v>358</v>
      </c>
      <c r="B8" s="807"/>
      <c r="C8" s="807"/>
      <c r="D8" s="807"/>
      <c r="E8" s="807"/>
      <c r="F8" s="807"/>
      <c r="G8" s="807"/>
      <c r="H8" s="807"/>
    </row>
    <row r="9" spans="1:12" ht="12" customHeight="1" thickBot="1"/>
    <row r="10" spans="1:12" s="468" customFormat="1" ht="39.75" customHeight="1" thickTop="1">
      <c r="A10" s="816" t="s">
        <v>288</v>
      </c>
      <c r="B10" s="818" t="s">
        <v>289</v>
      </c>
      <c r="C10" s="818" t="s">
        <v>290</v>
      </c>
      <c r="D10" s="818" t="s">
        <v>291</v>
      </c>
      <c r="E10" s="820" t="s">
        <v>292</v>
      </c>
      <c r="F10" s="820"/>
      <c r="G10" s="818" t="s">
        <v>293</v>
      </c>
      <c r="H10" s="821"/>
      <c r="I10" s="808" t="s">
        <v>294</v>
      </c>
    </row>
    <row r="11" spans="1:12" s="470" customFormat="1" ht="42" customHeight="1">
      <c r="A11" s="817"/>
      <c r="B11" s="819"/>
      <c r="C11" s="819"/>
      <c r="D11" s="819"/>
      <c r="E11" s="469" t="s">
        <v>295</v>
      </c>
      <c r="F11" s="469" t="s">
        <v>296</v>
      </c>
      <c r="G11" s="819"/>
      <c r="H11" s="822"/>
      <c r="I11" s="808"/>
      <c r="K11" s="470" t="s">
        <v>297</v>
      </c>
    </row>
    <row r="12" spans="1:12" s="470" customFormat="1" ht="35.1" customHeight="1">
      <c r="A12" s="471">
        <v>1</v>
      </c>
      <c r="B12" s="245" t="s">
        <v>298</v>
      </c>
      <c r="C12" s="472" t="s">
        <v>299</v>
      </c>
      <c r="D12" s="473">
        <f>ROUND(23000/31947,4)</f>
        <v>0.71989999999999998</v>
      </c>
      <c r="E12" s="474">
        <f>'[3]BTHKL D1 T1'!E13</f>
        <v>1007.12</v>
      </c>
      <c r="F12" s="596">
        <f>ROUND(E12*D12,2)</f>
        <v>725.03</v>
      </c>
      <c r="G12" s="697"/>
      <c r="H12" s="698"/>
      <c r="I12" s="693"/>
    </row>
    <row r="13" spans="1:12" s="470" customFormat="1" ht="35.1" customHeight="1">
      <c r="A13" s="471">
        <f>+A12+1</f>
        <v>2</v>
      </c>
      <c r="B13" s="245" t="s">
        <v>300</v>
      </c>
      <c r="C13" s="472" t="s">
        <v>299</v>
      </c>
      <c r="D13" s="473">
        <f>ROUND(35000/31947,4)</f>
        <v>1.0955999999999999</v>
      </c>
      <c r="E13" s="474">
        <f>'[3]BTHKL D1 T1'!E14</f>
        <v>437.93</v>
      </c>
      <c r="F13" s="596">
        <f>ROUND(E13*D13,2)</f>
        <v>479.8</v>
      </c>
      <c r="G13" s="697"/>
      <c r="H13" s="698"/>
      <c r="I13" s="693"/>
    </row>
    <row r="14" spans="1:12" s="479" customFormat="1" ht="35.1" customHeight="1">
      <c r="A14" s="471">
        <f>+A13+1</f>
        <v>3</v>
      </c>
      <c r="B14" s="475" t="s">
        <v>301</v>
      </c>
      <c r="C14" s="476" t="s">
        <v>302</v>
      </c>
      <c r="D14" s="473"/>
      <c r="E14" s="474"/>
      <c r="F14" s="596">
        <f>SUM(F15:F16)</f>
        <v>27.04</v>
      </c>
      <c r="G14" s="809"/>
      <c r="H14" s="810"/>
      <c r="I14" s="477"/>
      <c r="J14" s="478"/>
    </row>
    <row r="15" spans="1:12" s="487" customFormat="1" ht="35.1" customHeight="1">
      <c r="A15" s="480" t="s">
        <v>303</v>
      </c>
      <c r="B15" s="481" t="s">
        <v>304</v>
      </c>
      <c r="C15" s="482" t="s">
        <v>305</v>
      </c>
      <c r="D15" s="483">
        <v>1.014</v>
      </c>
      <c r="E15" s="474">
        <f>'[3]BCC D1(26)'!V55</f>
        <v>10</v>
      </c>
      <c r="F15" s="596">
        <f t="shared" ref="F15:F20" si="0">ROUND(D15*E15,2)</f>
        <v>10.14</v>
      </c>
      <c r="G15" s="484" t="s">
        <v>306</v>
      </c>
      <c r="H15" s="485"/>
      <c r="I15" s="246">
        <f t="shared" ref="I15:I23" si="1">ROUND(K15/J15,4)</f>
        <v>1.1267</v>
      </c>
      <c r="J15" s="486">
        <v>9</v>
      </c>
      <c r="K15" s="247">
        <f t="shared" ref="K15:K23" si="2">F15</f>
        <v>10.14</v>
      </c>
      <c r="L15" s="248">
        <f>ROUND(F15*31947,0)</f>
        <v>323943</v>
      </c>
    </row>
    <row r="16" spans="1:12" s="487" customFormat="1" ht="35.1" customHeight="1">
      <c r="A16" s="480" t="s">
        <v>303</v>
      </c>
      <c r="B16" s="481" t="s">
        <v>307</v>
      </c>
      <c r="C16" s="482" t="s">
        <v>305</v>
      </c>
      <c r="D16" s="483">
        <v>1.0563</v>
      </c>
      <c r="E16" s="474">
        <f>SUM('[3]BCC D1(26)'!V13:V14)</f>
        <v>16</v>
      </c>
      <c r="F16" s="596">
        <f t="shared" si="0"/>
        <v>16.899999999999999</v>
      </c>
      <c r="G16" s="484" t="s">
        <v>306</v>
      </c>
      <c r="H16" s="485"/>
      <c r="I16" s="246">
        <f t="shared" si="1"/>
        <v>1.3</v>
      </c>
      <c r="J16" s="486">
        <v>13</v>
      </c>
      <c r="K16" s="247">
        <f t="shared" si="2"/>
        <v>16.899999999999999</v>
      </c>
      <c r="L16" s="248">
        <f>F16*31947</f>
        <v>539904.29999999993</v>
      </c>
    </row>
    <row r="17" spans="1:13" s="479" customFormat="1" ht="35.1" customHeight="1">
      <c r="A17" s="488">
        <f>+A14+1</f>
        <v>4</v>
      </c>
      <c r="B17" s="489" t="s">
        <v>308</v>
      </c>
      <c r="C17" s="476" t="s">
        <v>302</v>
      </c>
      <c r="D17" s="490">
        <v>1.4608000000000001</v>
      </c>
      <c r="E17" s="474">
        <f>SUM('[3]BCC D1(26)'!V62:V63,'[3]BCC D1(26)'!V20:V21)</f>
        <v>36</v>
      </c>
      <c r="F17" s="596">
        <f>ROUND(D17*E17,2)</f>
        <v>52.59</v>
      </c>
      <c r="G17" s="484" t="s">
        <v>309</v>
      </c>
      <c r="H17" s="491"/>
      <c r="I17" s="246">
        <f t="shared" si="1"/>
        <v>1.5025999999999999</v>
      </c>
      <c r="J17" s="486">
        <v>35</v>
      </c>
      <c r="K17" s="247">
        <f t="shared" si="2"/>
        <v>52.59</v>
      </c>
      <c r="L17" s="248">
        <f>ROUND(F17*31947,0)</f>
        <v>1680093</v>
      </c>
      <c r="M17" s="492">
        <f>K17*2</f>
        <v>105.18</v>
      </c>
    </row>
    <row r="18" spans="1:13" s="479" customFormat="1" ht="35.1" customHeight="1">
      <c r="A18" s="488">
        <f>+A17+1</f>
        <v>5</v>
      </c>
      <c r="B18" s="493" t="s">
        <v>310</v>
      </c>
      <c r="C18" s="482" t="s">
        <v>305</v>
      </c>
      <c r="D18" s="490">
        <v>1.4779</v>
      </c>
      <c r="E18" s="474">
        <f>SUM('[3]BCC D1(26)'!V16:V19,'[3]BCC D1(26)'!V58:V61)</f>
        <v>61</v>
      </c>
      <c r="F18" s="596">
        <f>ROUND(D18*E18,2)</f>
        <v>90.15</v>
      </c>
      <c r="G18" s="484" t="s">
        <v>311</v>
      </c>
      <c r="H18" s="494"/>
      <c r="I18" s="246">
        <f>ROUND(K18/J18,4)</f>
        <v>1.6391</v>
      </c>
      <c r="J18" s="486">
        <v>55</v>
      </c>
      <c r="K18" s="247">
        <f t="shared" si="2"/>
        <v>90.15</v>
      </c>
      <c r="L18" s="248">
        <f>ROUND(F18*31947/4,0)</f>
        <v>720006</v>
      </c>
      <c r="M18" s="492">
        <f>K18*4</f>
        <v>360.6</v>
      </c>
    </row>
    <row r="19" spans="1:13" s="479" customFormat="1" ht="35.1" customHeight="1">
      <c r="A19" s="488">
        <f>+A18+1</f>
        <v>6</v>
      </c>
      <c r="B19" s="495" t="s">
        <v>312</v>
      </c>
      <c r="C19" s="482" t="s">
        <v>305</v>
      </c>
      <c r="D19" s="483">
        <v>0.97760000000000002</v>
      </c>
      <c r="E19" s="474">
        <f>SUM('[3]BCC D1(26)'!V15,'[3]BCC D1(26)'!V56)</f>
        <v>25.5</v>
      </c>
      <c r="F19" s="596">
        <f>ROUND(D19*E19,2)</f>
        <v>24.93</v>
      </c>
      <c r="G19" s="694" t="s">
        <v>309</v>
      </c>
      <c r="H19" s="491"/>
      <c r="I19" s="246">
        <f t="shared" si="1"/>
        <v>1.385</v>
      </c>
      <c r="J19" s="246">
        <v>18</v>
      </c>
      <c r="K19" s="247">
        <f t="shared" si="2"/>
        <v>24.93</v>
      </c>
      <c r="L19" s="248">
        <f>ROUND(F19*31947/2,0)</f>
        <v>398219</v>
      </c>
      <c r="M19" s="492">
        <f>K19*2</f>
        <v>49.86</v>
      </c>
    </row>
    <row r="20" spans="1:13" s="479" customFormat="1" ht="35.1" customHeight="1">
      <c r="A20" s="488">
        <f>+A19+1</f>
        <v>7</v>
      </c>
      <c r="B20" s="496" t="s">
        <v>313</v>
      </c>
      <c r="C20" s="482" t="s">
        <v>305</v>
      </c>
      <c r="D20" s="483">
        <v>1.2485999999999999</v>
      </c>
      <c r="E20" s="474">
        <f>SUM('[3]BCC D1(26)'!V12)</f>
        <v>10.5</v>
      </c>
      <c r="F20" s="596">
        <f t="shared" si="0"/>
        <v>13.11</v>
      </c>
      <c r="G20" s="694"/>
      <c r="H20" s="491"/>
      <c r="I20" s="246">
        <f t="shared" si="1"/>
        <v>1.6388</v>
      </c>
      <c r="J20" s="486">
        <v>8</v>
      </c>
      <c r="K20" s="247">
        <f t="shared" si="2"/>
        <v>13.11</v>
      </c>
      <c r="L20" s="248">
        <f>F20*31947</f>
        <v>418825.17</v>
      </c>
    </row>
    <row r="21" spans="1:13" s="501" customFormat="1" ht="35.1" customHeight="1">
      <c r="A21" s="488">
        <f>+A20+1</f>
        <v>8</v>
      </c>
      <c r="B21" s="495" t="s">
        <v>314</v>
      </c>
      <c r="C21" s="476" t="s">
        <v>302</v>
      </c>
      <c r="D21" s="497"/>
      <c r="E21" s="498"/>
      <c r="F21" s="597">
        <f>SUM(F22:F25)</f>
        <v>20.21</v>
      </c>
      <c r="G21" s="499"/>
      <c r="H21" s="500"/>
      <c r="I21" s="246">
        <f t="shared" si="1"/>
        <v>1.8372999999999999</v>
      </c>
      <c r="J21" s="486">
        <v>11</v>
      </c>
      <c r="K21" s="247">
        <f t="shared" si="2"/>
        <v>20.21</v>
      </c>
      <c r="L21" s="248">
        <f>F21*31947</f>
        <v>645648.87</v>
      </c>
    </row>
    <row r="22" spans="1:13" s="504" customFormat="1" ht="35.1" customHeight="1">
      <c r="A22" s="488" t="s">
        <v>315</v>
      </c>
      <c r="B22" s="495" t="s">
        <v>272</v>
      </c>
      <c r="C22" s="482" t="s">
        <v>305</v>
      </c>
      <c r="D22" s="736">
        <v>0.93910000000000005</v>
      </c>
      <c r="E22" s="503">
        <f>'[3]BCC D1(26)'!V98</f>
        <v>8</v>
      </c>
      <c r="F22" s="598">
        <f>ROUNDUP(D22*E22,2)</f>
        <v>7.52</v>
      </c>
      <c r="G22" s="499"/>
      <c r="H22" s="500"/>
      <c r="I22" s="246">
        <f t="shared" si="1"/>
        <v>0.57850000000000001</v>
      </c>
      <c r="J22" s="486">
        <v>13</v>
      </c>
      <c r="K22" s="247">
        <f t="shared" si="2"/>
        <v>7.52</v>
      </c>
      <c r="L22" s="248">
        <f>F22*31947</f>
        <v>240241.43999999997</v>
      </c>
    </row>
    <row r="23" spans="1:13" s="504" customFormat="1" ht="48.75" customHeight="1">
      <c r="A23" s="488" t="s">
        <v>328</v>
      </c>
      <c r="B23" s="505" t="s">
        <v>316</v>
      </c>
      <c r="C23" s="476" t="s">
        <v>302</v>
      </c>
      <c r="D23" s="736">
        <v>0.93910000000000005</v>
      </c>
      <c r="E23" s="498">
        <f>'[3]BCC D1(26)'!V95</f>
        <v>5.5</v>
      </c>
      <c r="F23" s="598">
        <f>ROUND(D23*E23,2)</f>
        <v>5.17</v>
      </c>
      <c r="G23" s="506"/>
      <c r="H23" s="500"/>
      <c r="I23" s="246">
        <f t="shared" si="1"/>
        <v>0.60819999999999996</v>
      </c>
      <c r="J23" s="486">
        <v>8.5</v>
      </c>
      <c r="K23" s="247">
        <f t="shared" si="2"/>
        <v>5.17</v>
      </c>
      <c r="L23" s="248">
        <f>F23*31947</f>
        <v>165165.99</v>
      </c>
    </row>
    <row r="24" spans="1:13" s="504" customFormat="1" ht="42.75" customHeight="1">
      <c r="A24" s="488" t="s">
        <v>317</v>
      </c>
      <c r="B24" s="737" t="s">
        <v>359</v>
      </c>
      <c r="C24" s="476" t="s">
        <v>302</v>
      </c>
      <c r="D24" s="502">
        <f>ROUND(40000/31947,4)</f>
        <v>1.2521</v>
      </c>
      <c r="E24" s="498">
        <f>'[3]BCC D1(26)'!V101</f>
        <v>6</v>
      </c>
      <c r="F24" s="598">
        <f>ROUNDUP(D24*E24,2)</f>
        <v>7.52</v>
      </c>
      <c r="G24" s="506"/>
      <c r="H24" s="500"/>
      <c r="I24" s="507"/>
      <c r="J24" s="508"/>
      <c r="K24" s="509"/>
      <c r="L24" s="509"/>
    </row>
    <row r="25" spans="1:13" s="504" customFormat="1" ht="27" hidden="1">
      <c r="A25" s="488" t="s">
        <v>318</v>
      </c>
      <c r="B25" s="510" t="s">
        <v>53</v>
      </c>
      <c r="C25" s="476" t="s">
        <v>319</v>
      </c>
      <c r="D25" s="502">
        <f>ROUND(35000/31947,4)</f>
        <v>1.0955999999999999</v>
      </c>
      <c r="E25" s="498">
        <f>'[3]BCC D1(26)'!U104</f>
        <v>0</v>
      </c>
      <c r="F25" s="598">
        <f>ROUND(D25*E25,2)</f>
        <v>0</v>
      </c>
      <c r="G25" s="511"/>
      <c r="H25" s="500"/>
      <c r="I25" s="507"/>
      <c r="J25" s="508"/>
      <c r="K25" s="509"/>
      <c r="L25" s="509"/>
    </row>
    <row r="26" spans="1:13" s="519" customFormat="1" ht="34.5" customHeight="1" thickBot="1">
      <c r="A26" s="811" t="s">
        <v>320</v>
      </c>
      <c r="B26" s="812"/>
      <c r="C26" s="512"/>
      <c r="D26" s="513"/>
      <c r="E26" s="514"/>
      <c r="F26" s="514">
        <f>ROUND(SUM(F12:F14,F17:F21),2)</f>
        <v>1432.86</v>
      </c>
      <c r="G26" s="515"/>
      <c r="H26" s="516"/>
      <c r="I26" s="517">
        <f>F26*31947</f>
        <v>45775578.419999994</v>
      </c>
      <c r="J26" s="518"/>
      <c r="K26" s="518"/>
      <c r="L26" s="518"/>
    </row>
    <row r="27" spans="1:13" s="523" customFormat="1" ht="21" customHeight="1" thickTop="1">
      <c r="A27" s="520"/>
      <c r="B27" s="521"/>
      <c r="C27" s="520"/>
      <c r="D27" s="520"/>
      <c r="E27" s="522"/>
      <c r="F27" s="522"/>
      <c r="G27" s="522"/>
      <c r="I27" s="524">
        <f>2290.11-627</f>
        <v>1663.1100000000001</v>
      </c>
      <c r="J27" s="525">
        <f>ROUND(F26*31947,0)</f>
        <v>45775578</v>
      </c>
      <c r="K27" s="526">
        <v>1140.8399999999999</v>
      </c>
    </row>
    <row r="28" spans="1:13" s="531" customFormat="1" ht="22.5" customHeight="1">
      <c r="A28" s="527"/>
      <c r="B28" s="528"/>
      <c r="C28" s="527"/>
      <c r="D28" s="527"/>
      <c r="E28" s="813" t="s">
        <v>360</v>
      </c>
      <c r="F28" s="813"/>
      <c r="G28" s="813"/>
      <c r="H28" s="813"/>
      <c r="I28" s="529"/>
      <c r="J28" s="525">
        <f>ROUND(K27*31947,0)</f>
        <v>36446415</v>
      </c>
      <c r="K28" s="530"/>
      <c r="L28" s="530"/>
    </row>
    <row r="29" spans="1:13" s="531" customFormat="1" ht="23.25">
      <c r="A29" s="532"/>
      <c r="B29" s="696" t="s">
        <v>321</v>
      </c>
      <c r="D29" s="532"/>
      <c r="E29" s="815" t="s">
        <v>322</v>
      </c>
      <c r="F29" s="815"/>
      <c r="G29" s="815"/>
      <c r="H29" s="815"/>
      <c r="I29" s="533"/>
    </row>
    <row r="30" spans="1:13" s="249" customFormat="1" ht="15.75">
      <c r="A30" s="534"/>
      <c r="B30" s="535"/>
      <c r="D30" s="534"/>
      <c r="E30" s="814"/>
      <c r="F30" s="814"/>
      <c r="G30" s="814"/>
      <c r="H30" s="814"/>
      <c r="I30" s="536"/>
    </row>
    <row r="31" spans="1:13" s="249" customFormat="1" ht="15.75">
      <c r="A31" s="695"/>
      <c r="B31" s="535"/>
      <c r="C31" s="695"/>
      <c r="D31" s="695"/>
      <c r="E31" s="695"/>
      <c r="G31" s="535"/>
      <c r="H31" s="535"/>
      <c r="I31" s="536"/>
    </row>
    <row r="32" spans="1:13" s="249" customFormat="1" ht="15.75">
      <c r="A32" s="695"/>
      <c r="B32" s="695" t="s">
        <v>17</v>
      </c>
      <c r="C32" s="695"/>
      <c r="D32" s="695"/>
      <c r="E32" s="695"/>
      <c r="G32" s="535"/>
      <c r="H32" s="535"/>
      <c r="I32" s="536"/>
    </row>
    <row r="33" spans="1:11" s="249" customFormat="1" ht="15.75">
      <c r="A33" s="695"/>
      <c r="C33" s="695"/>
      <c r="D33" s="695"/>
      <c r="E33" s="695"/>
      <c r="G33" s="535"/>
      <c r="H33" s="535"/>
      <c r="I33" s="536"/>
    </row>
    <row r="34" spans="1:11" s="537" customFormat="1" ht="18.75">
      <c r="A34" s="250"/>
      <c r="C34" s="250"/>
      <c r="D34" s="250"/>
      <c r="E34" s="250"/>
      <c r="G34" s="538"/>
      <c r="H34" s="250"/>
      <c r="I34" s="539"/>
    </row>
    <row r="35" spans="1:11" s="537" customFormat="1" ht="18.75">
      <c r="A35" s="540"/>
      <c r="B35" s="541"/>
      <c r="C35" s="540"/>
      <c r="D35" s="540"/>
      <c r="E35" s="540"/>
      <c r="G35" s="534"/>
      <c r="H35" s="534"/>
      <c r="I35" s="542"/>
    </row>
    <row r="36" spans="1:11" s="537" customFormat="1" ht="25.5" hidden="1">
      <c r="A36" s="823"/>
      <c r="B36" s="823"/>
      <c r="C36" s="823"/>
      <c r="D36" s="823"/>
      <c r="E36" s="823"/>
      <c r="F36" s="824" t="s">
        <v>13</v>
      </c>
      <c r="G36" s="824"/>
      <c r="H36" s="824"/>
      <c r="I36" s="543"/>
      <c r="J36" s="543"/>
      <c r="K36" s="543"/>
    </row>
    <row r="37" spans="1:11" s="537" customFormat="1" ht="18.75" hidden="1">
      <c r="A37" s="825"/>
      <c r="B37" s="825"/>
      <c r="C37" s="825"/>
      <c r="D37" s="825"/>
      <c r="E37" s="825"/>
      <c r="F37" s="826" t="s">
        <v>323</v>
      </c>
      <c r="G37" s="826"/>
      <c r="H37" s="826"/>
      <c r="I37" s="544"/>
      <c r="J37" s="544"/>
      <c r="K37" s="544"/>
    </row>
    <row r="38" spans="1:11" s="523" customFormat="1" ht="27">
      <c r="A38" s="545"/>
      <c r="B38" s="546"/>
      <c r="C38" s="547"/>
      <c r="D38" s="548"/>
      <c r="E38" s="548"/>
      <c r="F38" s="549"/>
      <c r="G38" s="549"/>
      <c r="H38" s="549"/>
      <c r="I38" s="549"/>
    </row>
    <row r="39" spans="1:11" s="537" customFormat="1" ht="26.25" customHeight="1">
      <c r="A39" s="541"/>
      <c r="B39" s="546"/>
      <c r="C39" s="550"/>
      <c r="D39" s="551"/>
      <c r="E39" s="552"/>
      <c r="F39" s="553"/>
      <c r="G39" s="554"/>
      <c r="I39" s="539"/>
    </row>
    <row r="40" spans="1:11" s="537" customFormat="1" ht="26.25" customHeight="1">
      <c r="A40" s="541"/>
      <c r="B40" s="555"/>
      <c r="C40" s="551"/>
      <c r="D40" s="551"/>
      <c r="E40" s="556"/>
      <c r="F40" s="554"/>
      <c r="G40" s="557"/>
      <c r="I40" s="539"/>
    </row>
    <row r="41" spans="1:11" s="537" customFormat="1" ht="26.25" customHeight="1">
      <c r="A41" s="541"/>
      <c r="B41" s="558"/>
      <c r="C41" s="551"/>
      <c r="D41" s="551"/>
      <c r="E41" s="554"/>
      <c r="F41" s="554"/>
      <c r="G41" s="554"/>
      <c r="I41" s="539"/>
    </row>
    <row r="42" spans="1:11" s="537" customFormat="1" ht="26.25" customHeight="1">
      <c r="A42" s="541"/>
      <c r="B42" s="559"/>
      <c r="C42" s="551"/>
      <c r="D42" s="551"/>
      <c r="E42" s="554"/>
      <c r="F42" s="554"/>
      <c r="G42" s="554"/>
      <c r="I42" s="539"/>
    </row>
    <row r="43" spans="1:11" s="537" customFormat="1" ht="26.25" customHeight="1">
      <c r="A43" s="541"/>
      <c r="B43" s="559"/>
      <c r="C43" s="551"/>
      <c r="D43" s="551"/>
      <c r="E43" s="554"/>
      <c r="F43" s="554"/>
      <c r="G43" s="554"/>
      <c r="I43" s="539"/>
    </row>
    <row r="44" spans="1:11" s="537" customFormat="1" ht="26.25" customHeight="1">
      <c r="A44" s="541"/>
      <c r="B44" s="559"/>
      <c r="C44" s="551"/>
      <c r="D44" s="551"/>
      <c r="E44" s="554"/>
      <c r="F44" s="554"/>
      <c r="G44" s="554"/>
      <c r="I44" s="539"/>
    </row>
    <row r="45" spans="1:11" s="537" customFormat="1" ht="26.25" customHeight="1">
      <c r="A45" s="541"/>
      <c r="B45" s="559"/>
      <c r="C45" s="551"/>
      <c r="D45" s="551"/>
      <c r="E45" s="554"/>
      <c r="F45" s="554"/>
      <c r="G45" s="554"/>
      <c r="I45" s="539"/>
    </row>
    <row r="46" spans="1:11" s="537" customFormat="1" ht="26.25" customHeight="1">
      <c r="A46" s="541"/>
      <c r="B46" s="559"/>
      <c r="C46" s="551"/>
      <c r="D46" s="551"/>
      <c r="E46" s="554"/>
      <c r="F46" s="554"/>
      <c r="G46" s="554"/>
      <c r="I46" s="539"/>
    </row>
    <row r="47" spans="1:11" s="537" customFormat="1" ht="26.25" customHeight="1">
      <c r="A47" s="541"/>
      <c r="B47" s="559"/>
      <c r="C47" s="551"/>
      <c r="D47" s="551"/>
      <c r="E47" s="554"/>
      <c r="F47" s="554"/>
      <c r="G47" s="554"/>
      <c r="I47" s="539"/>
    </row>
    <row r="48" spans="1:11" s="537" customFormat="1" ht="26.25" customHeight="1">
      <c r="A48" s="541"/>
      <c r="B48" s="541"/>
      <c r="C48" s="551"/>
      <c r="D48" s="551"/>
      <c r="E48" s="554"/>
      <c r="F48" s="554"/>
      <c r="G48" s="554"/>
      <c r="I48" s="539"/>
    </row>
    <row r="49" spans="3:9" s="537" customFormat="1" ht="26.25" customHeight="1">
      <c r="C49" s="560"/>
      <c r="D49" s="560"/>
      <c r="E49" s="539"/>
      <c r="F49" s="539"/>
      <c r="G49" s="539"/>
      <c r="I49" s="539"/>
    </row>
    <row r="50" spans="3:9" s="537" customFormat="1" ht="26.25" customHeight="1">
      <c r="C50" s="560"/>
      <c r="D50" s="560"/>
      <c r="E50" s="539"/>
      <c r="F50" s="539"/>
      <c r="G50" s="539"/>
      <c r="I50" s="539"/>
    </row>
    <row r="51" spans="3:9" s="537" customFormat="1" ht="26.25" customHeight="1">
      <c r="C51" s="560"/>
      <c r="D51" s="560"/>
      <c r="E51" s="539"/>
      <c r="F51" s="539"/>
      <c r="G51" s="539"/>
      <c r="I51" s="539"/>
    </row>
    <row r="52" spans="3:9" s="537" customFormat="1" ht="26.25" customHeight="1">
      <c r="C52" s="560"/>
      <c r="D52" s="560"/>
      <c r="E52" s="539"/>
      <c r="F52" s="539"/>
      <c r="G52" s="539"/>
      <c r="I52" s="539"/>
    </row>
    <row r="53" spans="3:9" s="537" customFormat="1" ht="26.25" customHeight="1">
      <c r="C53" s="560"/>
      <c r="D53" s="560"/>
      <c r="E53" s="539"/>
      <c r="F53" s="539"/>
      <c r="G53" s="539"/>
      <c r="I53" s="539"/>
    </row>
    <row r="54" spans="3:9" s="537" customFormat="1" ht="26.25" customHeight="1">
      <c r="C54" s="560"/>
      <c r="D54" s="560"/>
      <c r="E54" s="539"/>
      <c r="F54" s="539"/>
      <c r="G54" s="539"/>
      <c r="I54" s="539"/>
    </row>
    <row r="55" spans="3:9" s="537" customFormat="1" ht="26.25" customHeight="1">
      <c r="C55" s="560"/>
      <c r="D55" s="560"/>
      <c r="E55" s="539"/>
      <c r="F55" s="539"/>
      <c r="G55" s="539"/>
      <c r="I55" s="539"/>
    </row>
    <row r="56" spans="3:9" s="537" customFormat="1" ht="26.25" customHeight="1">
      <c r="C56" s="560"/>
      <c r="D56" s="560"/>
      <c r="E56" s="539"/>
      <c r="F56" s="539"/>
      <c r="G56" s="539"/>
      <c r="I56" s="539"/>
    </row>
    <row r="57" spans="3:9" s="537" customFormat="1" ht="26.25" customHeight="1">
      <c r="C57" s="560"/>
      <c r="D57" s="560"/>
      <c r="E57" s="539"/>
      <c r="F57" s="539"/>
      <c r="G57" s="539"/>
      <c r="I57" s="539"/>
    </row>
    <row r="58" spans="3:9" s="537" customFormat="1" ht="26.25" customHeight="1">
      <c r="C58" s="560"/>
      <c r="D58" s="560"/>
      <c r="E58" s="539"/>
      <c r="F58" s="539"/>
      <c r="G58" s="539"/>
      <c r="I58" s="539"/>
    </row>
    <row r="59" spans="3:9" s="537" customFormat="1" ht="26.25" customHeight="1">
      <c r="C59" s="560"/>
      <c r="D59" s="560"/>
      <c r="E59" s="539"/>
      <c r="F59" s="539"/>
      <c r="G59" s="539"/>
      <c r="I59" s="539"/>
    </row>
    <row r="60" spans="3:9" s="537" customFormat="1" ht="26.25" customHeight="1">
      <c r="C60" s="560"/>
      <c r="D60" s="560"/>
      <c r="E60" s="539"/>
      <c r="F60" s="539"/>
      <c r="G60" s="539"/>
      <c r="I60" s="539"/>
    </row>
    <row r="61" spans="3:9" s="537" customFormat="1" ht="26.25" customHeight="1">
      <c r="C61" s="560"/>
      <c r="D61" s="560"/>
      <c r="E61" s="539"/>
      <c r="F61" s="539"/>
      <c r="G61" s="539"/>
      <c r="I61" s="539"/>
    </row>
    <row r="62" spans="3:9" s="537" customFormat="1" ht="26.25" customHeight="1">
      <c r="C62" s="560"/>
      <c r="D62" s="560"/>
      <c r="E62" s="539"/>
      <c r="F62" s="539"/>
      <c r="G62" s="539"/>
      <c r="I62" s="539"/>
    </row>
    <row r="63" spans="3:9" s="537" customFormat="1" ht="26.25" customHeight="1">
      <c r="C63" s="560"/>
      <c r="D63" s="560"/>
      <c r="E63" s="539"/>
      <c r="F63" s="539"/>
      <c r="G63" s="539"/>
      <c r="I63" s="539"/>
    </row>
    <row r="64" spans="3:9" s="537" customFormat="1" ht="26.25" customHeight="1">
      <c r="C64" s="560"/>
      <c r="D64" s="560"/>
      <c r="E64" s="539"/>
      <c r="F64" s="539"/>
      <c r="G64" s="539"/>
      <c r="I64" s="539"/>
    </row>
    <row r="65" spans="3:9" s="537" customFormat="1" ht="26.25" customHeight="1">
      <c r="C65" s="560"/>
      <c r="D65" s="560"/>
      <c r="E65" s="539"/>
      <c r="F65" s="539"/>
      <c r="G65" s="539"/>
      <c r="I65" s="539"/>
    </row>
    <row r="66" spans="3:9" s="537" customFormat="1" ht="26.25" customHeight="1">
      <c r="C66" s="560"/>
      <c r="D66" s="560"/>
      <c r="E66" s="539"/>
      <c r="F66" s="539"/>
      <c r="G66" s="539"/>
      <c r="I66" s="539"/>
    </row>
    <row r="67" spans="3:9" s="537" customFormat="1" ht="26.25" customHeight="1">
      <c r="C67" s="560"/>
      <c r="D67" s="560"/>
      <c r="E67" s="539"/>
      <c r="F67" s="539"/>
      <c r="G67" s="539"/>
      <c r="I67" s="539"/>
    </row>
    <row r="68" spans="3:9" s="537" customFormat="1" ht="26.25" customHeight="1">
      <c r="C68" s="560"/>
      <c r="D68" s="560"/>
      <c r="E68" s="539"/>
      <c r="F68" s="539"/>
      <c r="G68" s="539"/>
      <c r="I68" s="539"/>
    </row>
    <row r="69" spans="3:9" s="537" customFormat="1" ht="26.25" customHeight="1">
      <c r="C69" s="560"/>
      <c r="D69" s="560"/>
      <c r="E69" s="539"/>
      <c r="F69" s="539"/>
      <c r="G69" s="539"/>
      <c r="I69" s="539"/>
    </row>
    <row r="70" spans="3:9" s="537" customFormat="1" ht="26.25" customHeight="1">
      <c r="C70" s="560"/>
      <c r="D70" s="560"/>
      <c r="E70" s="539"/>
      <c r="F70" s="539"/>
      <c r="G70" s="539"/>
      <c r="I70" s="539"/>
    </row>
    <row r="71" spans="3:9" s="537" customFormat="1" ht="26.25" customHeight="1">
      <c r="C71" s="560"/>
      <c r="D71" s="560"/>
      <c r="E71" s="539"/>
      <c r="F71" s="539"/>
      <c r="G71" s="539"/>
      <c r="I71" s="539"/>
    </row>
    <row r="72" spans="3:9" s="537" customFormat="1" ht="26.25" customHeight="1">
      <c r="C72" s="560"/>
      <c r="D72" s="560"/>
      <c r="E72" s="539"/>
      <c r="F72" s="539"/>
      <c r="G72" s="539"/>
      <c r="I72" s="539"/>
    </row>
    <row r="73" spans="3:9" s="537" customFormat="1" ht="26.25" customHeight="1">
      <c r="C73" s="560"/>
      <c r="D73" s="560"/>
      <c r="E73" s="539"/>
      <c r="F73" s="539"/>
      <c r="G73" s="539"/>
      <c r="I73" s="539"/>
    </row>
    <row r="74" spans="3:9" s="537" customFormat="1" ht="26.25" customHeight="1">
      <c r="C74" s="560"/>
      <c r="D74" s="560"/>
      <c r="E74" s="539"/>
      <c r="F74" s="539"/>
      <c r="G74" s="539"/>
      <c r="I74" s="539"/>
    </row>
    <row r="75" spans="3:9" s="537" customFormat="1" ht="26.25" customHeight="1">
      <c r="C75" s="560"/>
      <c r="D75" s="560"/>
      <c r="E75" s="539"/>
      <c r="F75" s="539"/>
      <c r="G75" s="539"/>
      <c r="I75" s="539"/>
    </row>
    <row r="76" spans="3:9" s="537" customFormat="1" ht="26.25" customHeight="1">
      <c r="C76" s="560"/>
      <c r="D76" s="560"/>
      <c r="E76" s="539"/>
      <c r="F76" s="539"/>
      <c r="G76" s="539"/>
      <c r="I76" s="539"/>
    </row>
    <row r="77" spans="3:9" s="537" customFormat="1" ht="26.25" customHeight="1">
      <c r="C77" s="560"/>
      <c r="D77" s="560"/>
      <c r="E77" s="539"/>
      <c r="F77" s="539"/>
      <c r="G77" s="539"/>
      <c r="I77" s="539"/>
    </row>
    <row r="78" spans="3:9" s="537" customFormat="1" ht="26.25" customHeight="1">
      <c r="C78" s="560"/>
      <c r="D78" s="560"/>
      <c r="E78" s="539"/>
      <c r="F78" s="539"/>
      <c r="G78" s="539"/>
      <c r="I78" s="539"/>
    </row>
    <row r="79" spans="3:9" s="537" customFormat="1" ht="26.25" customHeight="1">
      <c r="C79" s="560"/>
      <c r="D79" s="560"/>
      <c r="E79" s="539"/>
      <c r="F79" s="539"/>
      <c r="G79" s="539"/>
      <c r="I79" s="539"/>
    </row>
    <row r="80" spans="3:9" s="537" customFormat="1" ht="26.25" customHeight="1">
      <c r="C80" s="560"/>
      <c r="D80" s="560"/>
      <c r="E80" s="539"/>
      <c r="F80" s="539"/>
      <c r="G80" s="539"/>
      <c r="I80" s="539"/>
    </row>
    <row r="81" spans="3:9" s="537" customFormat="1" ht="26.25" customHeight="1">
      <c r="C81" s="560"/>
      <c r="D81" s="560"/>
      <c r="E81" s="539"/>
      <c r="F81" s="539"/>
      <c r="G81" s="539"/>
      <c r="I81" s="539"/>
    </row>
    <row r="82" spans="3:9" s="537" customFormat="1" ht="26.25" customHeight="1">
      <c r="C82" s="560"/>
      <c r="D82" s="560"/>
      <c r="E82" s="539"/>
      <c r="F82" s="539"/>
      <c r="G82" s="539"/>
      <c r="I82" s="539"/>
    </row>
    <row r="83" spans="3:9" s="537" customFormat="1" ht="26.25" customHeight="1">
      <c r="C83" s="560"/>
      <c r="D83" s="560"/>
      <c r="E83" s="539"/>
      <c r="F83" s="539"/>
      <c r="G83" s="539"/>
      <c r="I83" s="539"/>
    </row>
    <row r="84" spans="3:9" s="537" customFormat="1" ht="26.25" customHeight="1">
      <c r="C84" s="560"/>
      <c r="D84" s="560"/>
      <c r="E84" s="539"/>
      <c r="F84" s="539"/>
      <c r="G84" s="539"/>
      <c r="I84" s="539"/>
    </row>
    <row r="85" spans="3:9" s="537" customFormat="1" ht="26.25" customHeight="1">
      <c r="C85" s="560"/>
      <c r="D85" s="560"/>
      <c r="E85" s="539"/>
      <c r="F85" s="539"/>
      <c r="G85" s="539"/>
      <c r="I85" s="539"/>
    </row>
    <row r="86" spans="3:9" s="537" customFormat="1" ht="26.25" customHeight="1">
      <c r="C86" s="560"/>
      <c r="D86" s="560"/>
      <c r="E86" s="539"/>
      <c r="F86" s="539"/>
      <c r="G86" s="539"/>
      <c r="I86" s="539"/>
    </row>
    <row r="87" spans="3:9" s="537" customFormat="1" ht="26.25" customHeight="1">
      <c r="C87" s="560"/>
      <c r="D87" s="560"/>
      <c r="E87" s="539"/>
      <c r="F87" s="539"/>
      <c r="G87" s="539"/>
      <c r="I87" s="539"/>
    </row>
    <row r="88" spans="3:9" s="537" customFormat="1" ht="26.25" customHeight="1">
      <c r="C88" s="560"/>
      <c r="D88" s="560"/>
      <c r="E88" s="539"/>
      <c r="F88" s="539"/>
      <c r="G88" s="539"/>
      <c r="I88" s="539"/>
    </row>
    <row r="89" spans="3:9" s="537" customFormat="1" ht="26.25" customHeight="1">
      <c r="C89" s="560"/>
      <c r="D89" s="560"/>
      <c r="E89" s="539"/>
      <c r="F89" s="539"/>
      <c r="G89" s="539"/>
      <c r="I89" s="539"/>
    </row>
    <row r="90" spans="3:9" s="537" customFormat="1" ht="26.25" customHeight="1">
      <c r="C90" s="560"/>
      <c r="D90" s="560"/>
      <c r="E90" s="539"/>
      <c r="F90" s="539"/>
      <c r="G90" s="539"/>
      <c r="I90" s="539"/>
    </row>
    <row r="91" spans="3:9" s="537" customFormat="1" ht="26.25" customHeight="1">
      <c r="C91" s="560"/>
      <c r="D91" s="560"/>
      <c r="E91" s="539"/>
      <c r="F91" s="539"/>
      <c r="G91" s="539"/>
      <c r="I91" s="539"/>
    </row>
    <row r="92" spans="3:9" s="537" customFormat="1" ht="26.25" customHeight="1">
      <c r="C92" s="560"/>
      <c r="D92" s="560"/>
      <c r="E92" s="539"/>
      <c r="F92" s="539"/>
      <c r="G92" s="539"/>
      <c r="I92" s="539"/>
    </row>
    <row r="93" spans="3:9" s="537" customFormat="1" ht="26.25" customHeight="1">
      <c r="C93" s="560"/>
      <c r="D93" s="560"/>
      <c r="E93" s="539"/>
      <c r="F93" s="539"/>
      <c r="G93" s="539"/>
      <c r="I93" s="539"/>
    </row>
    <row r="94" spans="3:9" s="537" customFormat="1" ht="26.25" customHeight="1">
      <c r="C94" s="560"/>
      <c r="D94" s="560"/>
      <c r="E94" s="539"/>
      <c r="F94" s="539"/>
      <c r="G94" s="539"/>
      <c r="I94" s="539"/>
    </row>
    <row r="95" spans="3:9" s="537" customFormat="1" ht="26.25" customHeight="1">
      <c r="C95" s="560"/>
      <c r="D95" s="560"/>
      <c r="E95" s="539"/>
      <c r="F95" s="539"/>
      <c r="G95" s="539"/>
      <c r="I95" s="539"/>
    </row>
  </sheetData>
  <mergeCells count="29">
    <mergeCell ref="A36:B36"/>
    <mergeCell ref="C36:E36"/>
    <mergeCell ref="F36:H36"/>
    <mergeCell ref="A37:B37"/>
    <mergeCell ref="C37:E37"/>
    <mergeCell ref="F37:H37"/>
    <mergeCell ref="I10:I11"/>
    <mergeCell ref="G14:H14"/>
    <mergeCell ref="A26:B26"/>
    <mergeCell ref="E28:H28"/>
    <mergeCell ref="E30:H30"/>
    <mergeCell ref="E29:H29"/>
    <mergeCell ref="A10:A11"/>
    <mergeCell ref="B10:B11"/>
    <mergeCell ref="C10:C11"/>
    <mergeCell ref="D10:D11"/>
    <mergeCell ref="E10:F10"/>
    <mergeCell ref="G10:H11"/>
    <mergeCell ref="A4:B4"/>
    <mergeCell ref="E4:H4"/>
    <mergeCell ref="A6:H6"/>
    <mergeCell ref="A7:H7"/>
    <mergeCell ref="A8:H8"/>
    <mergeCell ref="A1:B1"/>
    <mergeCell ref="E1:H1"/>
    <mergeCell ref="A2:B2"/>
    <mergeCell ref="E2:H2"/>
    <mergeCell ref="A3:B3"/>
    <mergeCell ref="E3:H3"/>
  </mergeCells>
  <printOptions horizontalCentered="1"/>
  <pageMargins left="0.51181102362204722" right="0.23622047244094491" top="0.43307086614173229" bottom="0.23622047244094491" header="0.23622047244094491" footer="0.23622047244094491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262"/>
  <sheetViews>
    <sheetView topLeftCell="D105" zoomScale="85" zoomScaleNormal="85" workbookViewId="0">
      <selection activeCell="Z100" sqref="Z100"/>
    </sheetView>
  </sheetViews>
  <sheetFormatPr defaultRowHeight="14.25"/>
  <cols>
    <col min="1" max="1" width="5" customWidth="1"/>
    <col min="2" max="2" width="12.25" customWidth="1"/>
    <col min="3" max="3" width="19" customWidth="1"/>
    <col min="4" max="4" width="10.375" customWidth="1"/>
    <col min="5" max="6" width="4.625" customWidth="1"/>
    <col min="7" max="7" width="7.375" customWidth="1"/>
    <col min="8" max="8" width="7.625" customWidth="1"/>
    <col min="9" max="9" width="8.125" bestFit="1" customWidth="1"/>
    <col min="10" max="12" width="8.625" bestFit="1" customWidth="1"/>
    <col min="13" max="13" width="7.25" bestFit="1" customWidth="1"/>
    <col min="14" max="17" width="7.375" bestFit="1" customWidth="1"/>
    <col min="18" max="19" width="7.125" bestFit="1" customWidth="1"/>
    <col min="20" max="20" width="9.875" customWidth="1"/>
    <col min="21" max="21" width="10.5" customWidth="1"/>
    <col min="22" max="22" width="12.125" customWidth="1"/>
    <col min="23" max="23" width="0.125" customWidth="1"/>
    <col min="24" max="24" width="11.5" bestFit="1" customWidth="1"/>
    <col min="25" max="26" width="10.125" bestFit="1" customWidth="1"/>
  </cols>
  <sheetData>
    <row r="1" spans="1:26" ht="32.25" customHeight="1">
      <c r="A1" s="789" t="s">
        <v>0</v>
      </c>
      <c r="B1" s="789"/>
      <c r="C1" s="789"/>
      <c r="D1" s="789"/>
      <c r="E1" s="789"/>
      <c r="F1" s="260"/>
      <c r="G1" s="260"/>
      <c r="H1" s="260"/>
      <c r="I1" s="244"/>
      <c r="J1" s="244"/>
      <c r="K1" s="244"/>
      <c r="L1" s="827"/>
      <c r="M1" s="827"/>
      <c r="N1" s="261"/>
      <c r="O1" s="261"/>
      <c r="P1" s="261"/>
      <c r="Q1" s="261"/>
      <c r="R1" s="261"/>
      <c r="S1" s="261"/>
      <c r="T1" s="790"/>
      <c r="U1" s="790"/>
      <c r="V1" s="244"/>
      <c r="W1" s="244"/>
      <c r="X1" s="244"/>
      <c r="Y1" s="244"/>
      <c r="Z1" s="244"/>
    </row>
    <row r="2" spans="1:26" ht="24.6" customHeight="1">
      <c r="A2" s="828" t="s">
        <v>194</v>
      </c>
      <c r="B2" s="828"/>
      <c r="C2" s="828"/>
      <c r="D2" s="828"/>
      <c r="E2" s="828"/>
      <c r="F2" s="260"/>
      <c r="G2" s="260"/>
      <c r="H2" s="260"/>
      <c r="I2" s="244"/>
      <c r="J2" s="244"/>
      <c r="K2" s="244"/>
      <c r="L2" s="829"/>
      <c r="M2" s="829"/>
      <c r="N2" s="261"/>
      <c r="O2" s="261"/>
      <c r="P2" s="261"/>
      <c r="Q2" s="261"/>
      <c r="R2" s="261"/>
      <c r="S2" s="261"/>
      <c r="T2" s="792"/>
      <c r="U2" s="792"/>
      <c r="V2" s="244"/>
      <c r="W2" s="244"/>
      <c r="X2" s="244"/>
      <c r="Y2" s="244"/>
      <c r="Z2" s="244"/>
    </row>
    <row r="3" spans="1:26" ht="25.5">
      <c r="A3" s="789" t="s">
        <v>4</v>
      </c>
      <c r="B3" s="789"/>
      <c r="C3" s="789"/>
      <c r="D3" s="789"/>
      <c r="E3" s="789"/>
      <c r="F3" s="260"/>
      <c r="G3" s="260"/>
      <c r="H3" s="260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790"/>
      <c r="U3" s="790"/>
      <c r="V3" s="244"/>
      <c r="W3" s="244"/>
      <c r="X3" s="244"/>
      <c r="Y3" s="244"/>
      <c r="Z3" s="244"/>
    </row>
    <row r="4" spans="1:26" ht="24.6" customHeight="1">
      <c r="A4" s="830" t="s">
        <v>6</v>
      </c>
      <c r="B4" s="830"/>
      <c r="C4" s="830"/>
      <c r="D4" s="830"/>
      <c r="E4" s="830"/>
      <c r="F4" s="260"/>
      <c r="G4" s="260"/>
      <c r="H4" s="260"/>
      <c r="I4" s="244"/>
      <c r="J4" s="244"/>
      <c r="K4" s="244"/>
      <c r="L4" s="244"/>
      <c r="M4" s="831"/>
      <c r="N4" s="831"/>
      <c r="O4" s="831"/>
      <c r="P4" s="831"/>
      <c r="Q4" s="831"/>
      <c r="R4" s="831"/>
      <c r="S4" s="831"/>
      <c r="T4" s="831"/>
      <c r="U4" s="831"/>
      <c r="V4" s="831"/>
      <c r="W4" s="244"/>
      <c r="X4" s="244"/>
      <c r="Y4" s="244"/>
      <c r="Z4" s="244"/>
    </row>
    <row r="5" spans="1:26" s="262" customFormat="1" ht="26.45" customHeight="1">
      <c r="A5" s="832" t="s">
        <v>348</v>
      </c>
      <c r="B5" s="833"/>
      <c r="C5" s="833"/>
      <c r="D5" s="833"/>
      <c r="E5" s="833"/>
      <c r="F5" s="833"/>
      <c r="G5" s="833"/>
      <c r="H5" s="833"/>
      <c r="I5" s="833"/>
      <c r="J5" s="833"/>
      <c r="K5" s="833"/>
      <c r="L5" s="833"/>
      <c r="M5" s="833"/>
      <c r="N5" s="833"/>
      <c r="O5" s="833"/>
      <c r="P5" s="833"/>
      <c r="Q5" s="833"/>
      <c r="R5" s="833"/>
      <c r="S5" s="833"/>
      <c r="T5" s="833"/>
      <c r="U5" s="833"/>
      <c r="V5" s="833"/>
    </row>
    <row r="6" spans="1:26" s="262" customFormat="1" ht="28.9" customHeight="1">
      <c r="A6" s="834" t="s">
        <v>349</v>
      </c>
      <c r="B6" s="834"/>
      <c r="C6" s="834"/>
      <c r="D6" s="834"/>
      <c r="E6" s="834"/>
      <c r="F6" s="834"/>
      <c r="G6" s="834"/>
      <c r="H6" s="834"/>
      <c r="I6" s="834"/>
      <c r="J6" s="834"/>
      <c r="K6" s="834"/>
      <c r="L6" s="834"/>
      <c r="M6" s="834"/>
      <c r="N6" s="834"/>
      <c r="O6" s="834"/>
      <c r="P6" s="834"/>
      <c r="Q6" s="834"/>
      <c r="R6" s="834"/>
      <c r="S6" s="834"/>
      <c r="T6" s="834"/>
      <c r="U6" s="834"/>
      <c r="V6" s="834"/>
    </row>
    <row r="7" spans="1:26" s="263" customFormat="1" ht="18.75">
      <c r="A7" s="803" t="s">
        <v>196</v>
      </c>
      <c r="B7" s="803"/>
      <c r="C7" s="803"/>
      <c r="D7" s="803"/>
      <c r="E7" s="803"/>
      <c r="F7" s="803"/>
      <c r="G7" s="803"/>
      <c r="H7" s="803"/>
      <c r="I7" s="803"/>
      <c r="J7" s="803"/>
      <c r="K7" s="803"/>
      <c r="L7" s="803"/>
      <c r="M7" s="803"/>
      <c r="N7" s="803"/>
      <c r="O7" s="803"/>
      <c r="P7" s="803"/>
      <c r="Q7" s="803"/>
      <c r="R7" s="803"/>
      <c r="S7" s="803"/>
      <c r="T7" s="803"/>
      <c r="U7" s="803"/>
      <c r="V7" s="803"/>
    </row>
    <row r="8" spans="1:26" ht="15.75">
      <c r="A8" s="792" t="str">
        <f>'[3]BKECHITIET TO2'!A5:N5</f>
        <v>NGÀY​​​​ 01 ĐẾN 15 THÁNG 01 NĂM 2026</v>
      </c>
      <c r="B8" s="792"/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2"/>
      <c r="R8" s="792"/>
      <c r="S8" s="792"/>
      <c r="T8" s="792"/>
      <c r="U8" s="792"/>
      <c r="V8" s="792"/>
      <c r="W8" s="244"/>
      <c r="X8" s="244"/>
      <c r="Y8" s="244"/>
      <c r="Z8" s="244"/>
    </row>
    <row r="9" spans="1:26" ht="15.75">
      <c r="A9" s="264"/>
      <c r="B9" s="265"/>
      <c r="C9" s="265"/>
      <c r="D9" s="265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264"/>
      <c r="U9" s="264"/>
      <c r="V9" s="244"/>
      <c r="W9" s="244"/>
      <c r="X9" s="244"/>
      <c r="Y9" s="244"/>
      <c r="Z9" s="244"/>
    </row>
    <row r="10" spans="1:26" s="261" customFormat="1" ht="71.25" customHeight="1">
      <c r="A10" s="699" t="s">
        <v>176</v>
      </c>
      <c r="B10" s="835" t="s">
        <v>197</v>
      </c>
      <c r="C10" s="835"/>
      <c r="D10" s="699" t="s">
        <v>198</v>
      </c>
      <c r="E10" s="266">
        <v>1</v>
      </c>
      <c r="F10" s="266">
        <f>E10+1</f>
        <v>2</v>
      </c>
      <c r="G10" s="266">
        <f t="shared" ref="G10:S10" si="0">F10+1</f>
        <v>3</v>
      </c>
      <c r="H10" s="266">
        <f t="shared" si="0"/>
        <v>4</v>
      </c>
      <c r="I10" s="266">
        <f>H10+1</f>
        <v>5</v>
      </c>
      <c r="J10" s="266">
        <f t="shared" si="0"/>
        <v>6</v>
      </c>
      <c r="K10" s="266">
        <f t="shared" si="0"/>
        <v>7</v>
      </c>
      <c r="L10" s="266">
        <f t="shared" si="0"/>
        <v>8</v>
      </c>
      <c r="M10" s="266">
        <f t="shared" si="0"/>
        <v>9</v>
      </c>
      <c r="N10" s="266">
        <f t="shared" si="0"/>
        <v>10</v>
      </c>
      <c r="O10" s="266">
        <f t="shared" si="0"/>
        <v>11</v>
      </c>
      <c r="P10" s="266">
        <f t="shared" si="0"/>
        <v>12</v>
      </c>
      <c r="Q10" s="266">
        <f t="shared" si="0"/>
        <v>13</v>
      </c>
      <c r="R10" s="266">
        <f t="shared" si="0"/>
        <v>14</v>
      </c>
      <c r="S10" s="266">
        <f t="shared" si="0"/>
        <v>15</v>
      </c>
      <c r="T10" s="266" t="s">
        <v>273</v>
      </c>
      <c r="U10" s="266" t="s">
        <v>223</v>
      </c>
      <c r="V10" s="266" t="s">
        <v>200</v>
      </c>
    </row>
    <row r="11" spans="1:26" ht="35.1" customHeight="1">
      <c r="A11" s="267">
        <v>1</v>
      </c>
      <c r="B11" s="268" t="s">
        <v>106</v>
      </c>
      <c r="C11" s="269" t="s">
        <v>107</v>
      </c>
      <c r="D11" s="270" t="s">
        <v>201</v>
      </c>
      <c r="E11" s="13"/>
      <c r="F11" s="13"/>
      <c r="G11" s="271">
        <v>3587</v>
      </c>
      <c r="H11" s="271">
        <v>4098</v>
      </c>
      <c r="I11" s="271">
        <v>3587</v>
      </c>
      <c r="J11" s="271">
        <v>3074</v>
      </c>
      <c r="K11" s="271">
        <v>3330</v>
      </c>
      <c r="L11" s="271">
        <v>3842</v>
      </c>
      <c r="M11" s="271">
        <v>4035</v>
      </c>
      <c r="N11" s="271">
        <v>2306</v>
      </c>
      <c r="O11" s="271">
        <v>3586</v>
      </c>
      <c r="P11" s="271">
        <v>3330</v>
      </c>
      <c r="Q11" s="271">
        <v>4355</v>
      </c>
      <c r="R11" s="271">
        <v>4355</v>
      </c>
      <c r="S11" s="271">
        <v>4098</v>
      </c>
      <c r="T11" s="272">
        <f>ROUND(U11/1000,3)</f>
        <v>47.582999999999998</v>
      </c>
      <c r="U11" s="273">
        <f t="shared" ref="U11:U19" si="1">SUM(E11:S11)</f>
        <v>47583</v>
      </c>
      <c r="V11" s="274"/>
      <c r="W11" s="275"/>
      <c r="X11" s="276">
        <f>T11+T64+T100+T136</f>
        <v>111.39</v>
      </c>
      <c r="Y11" s="276">
        <f>ROUND(T11*0.1,2)</f>
        <v>4.76</v>
      </c>
      <c r="Z11" s="727">
        <f>Y11+T11</f>
        <v>52.342999999999996</v>
      </c>
    </row>
    <row r="12" spans="1:26" ht="35.1" customHeight="1">
      <c r="A12" s="267">
        <v>2</v>
      </c>
      <c r="B12" s="278" t="s">
        <v>108</v>
      </c>
      <c r="C12" s="279" t="s">
        <v>109</v>
      </c>
      <c r="D12" s="270" t="s">
        <v>201</v>
      </c>
      <c r="E12" s="13"/>
      <c r="F12" s="13"/>
      <c r="G12" s="271">
        <v>3587</v>
      </c>
      <c r="H12" s="271">
        <v>4098</v>
      </c>
      <c r="I12" s="271">
        <v>3587</v>
      </c>
      <c r="J12" s="271">
        <v>3074</v>
      </c>
      <c r="K12" s="271">
        <v>3330</v>
      </c>
      <c r="L12" s="271">
        <v>3842</v>
      </c>
      <c r="M12" s="271">
        <v>4035</v>
      </c>
      <c r="N12" s="271">
        <v>2305</v>
      </c>
      <c r="O12" s="271">
        <v>3587</v>
      </c>
      <c r="P12" s="271">
        <v>3330</v>
      </c>
      <c r="Q12" s="271">
        <v>4355</v>
      </c>
      <c r="R12" s="271">
        <v>4355</v>
      </c>
      <c r="S12" s="271">
        <v>4098</v>
      </c>
      <c r="T12" s="272">
        <f t="shared" ref="T12:T19" si="2">ROUND(U12/1000,3)</f>
        <v>47.582999999999998</v>
      </c>
      <c r="U12" s="273">
        <f t="shared" si="1"/>
        <v>47583</v>
      </c>
      <c r="V12" s="274"/>
      <c r="W12" s="244"/>
      <c r="X12" s="244"/>
      <c r="Y12" s="277"/>
      <c r="Z12" s="244"/>
    </row>
    <row r="13" spans="1:26" ht="35.1" customHeight="1">
      <c r="A13" s="267">
        <v>3</v>
      </c>
      <c r="B13" s="74" t="s">
        <v>110</v>
      </c>
      <c r="C13" s="280" t="s">
        <v>111</v>
      </c>
      <c r="D13" s="270" t="s">
        <v>201</v>
      </c>
      <c r="E13" s="13"/>
      <c r="F13" s="13"/>
      <c r="G13" s="271">
        <v>3587</v>
      </c>
      <c r="H13" s="271">
        <v>4098</v>
      </c>
      <c r="I13" s="271">
        <v>3587</v>
      </c>
      <c r="J13" s="271">
        <v>3074</v>
      </c>
      <c r="K13" s="271">
        <v>3330</v>
      </c>
      <c r="L13" s="271">
        <v>3842</v>
      </c>
      <c r="M13" s="271">
        <v>4035</v>
      </c>
      <c r="N13" s="271">
        <v>2305</v>
      </c>
      <c r="O13" s="271">
        <v>3587</v>
      </c>
      <c r="P13" s="271">
        <v>3330</v>
      </c>
      <c r="Q13" s="271">
        <v>4355</v>
      </c>
      <c r="R13" s="271">
        <v>4355</v>
      </c>
      <c r="S13" s="271">
        <v>4098</v>
      </c>
      <c r="T13" s="272">
        <f t="shared" si="2"/>
        <v>47.582999999999998</v>
      </c>
      <c r="U13" s="273">
        <f t="shared" si="1"/>
        <v>47583</v>
      </c>
      <c r="V13" s="274"/>
      <c r="W13" s="244"/>
      <c r="X13" s="244"/>
      <c r="Y13" s="277"/>
      <c r="Z13" s="249"/>
    </row>
    <row r="14" spans="1:26" ht="35.1" customHeight="1">
      <c r="A14" s="267">
        <v>4</v>
      </c>
      <c r="B14" s="268" t="s">
        <v>112</v>
      </c>
      <c r="C14" s="281" t="s">
        <v>113</v>
      </c>
      <c r="D14" s="270" t="s">
        <v>201</v>
      </c>
      <c r="E14" s="13"/>
      <c r="F14" s="13"/>
      <c r="G14" s="271">
        <v>3586</v>
      </c>
      <c r="H14" s="271">
        <v>4099</v>
      </c>
      <c r="I14" s="271">
        <v>3586</v>
      </c>
      <c r="J14" s="271">
        <v>3074</v>
      </c>
      <c r="K14" s="271">
        <v>3331</v>
      </c>
      <c r="L14" s="271">
        <v>3842</v>
      </c>
      <c r="M14" s="271">
        <v>4035</v>
      </c>
      <c r="N14" s="271">
        <v>2305</v>
      </c>
      <c r="O14" s="271">
        <v>3587</v>
      </c>
      <c r="P14" s="271">
        <v>3330</v>
      </c>
      <c r="Q14" s="271">
        <v>4355</v>
      </c>
      <c r="R14" s="271">
        <v>4355</v>
      </c>
      <c r="S14" s="271">
        <v>4098</v>
      </c>
      <c r="T14" s="272">
        <f t="shared" si="2"/>
        <v>47.582999999999998</v>
      </c>
      <c r="U14" s="273">
        <f t="shared" si="1"/>
        <v>47583</v>
      </c>
      <c r="V14" s="274"/>
      <c r="W14" s="244"/>
      <c r="X14" s="244"/>
      <c r="Y14" s="277"/>
      <c r="Z14" s="249"/>
    </row>
    <row r="15" spans="1:26" ht="35.1" customHeight="1">
      <c r="A15" s="267">
        <v>5</v>
      </c>
      <c r="B15" s="253" t="s">
        <v>114</v>
      </c>
      <c r="C15" s="562" t="s">
        <v>115</v>
      </c>
      <c r="D15" s="270" t="s">
        <v>201</v>
      </c>
      <c r="E15" s="13"/>
      <c r="F15" s="13"/>
      <c r="G15" s="271">
        <v>3586</v>
      </c>
      <c r="H15" s="271">
        <v>4099</v>
      </c>
      <c r="I15" s="271">
        <v>3586</v>
      </c>
      <c r="J15" s="271">
        <v>3074</v>
      </c>
      <c r="K15" s="271">
        <v>3331</v>
      </c>
      <c r="L15" s="271">
        <v>3842</v>
      </c>
      <c r="M15" s="271">
        <v>4035</v>
      </c>
      <c r="N15" s="271">
        <v>2305</v>
      </c>
      <c r="O15" s="271">
        <v>3586</v>
      </c>
      <c r="P15" s="271">
        <v>3331</v>
      </c>
      <c r="Q15" s="271">
        <v>4355</v>
      </c>
      <c r="R15" s="271">
        <v>4355</v>
      </c>
      <c r="S15" s="271">
        <v>4098</v>
      </c>
      <c r="T15" s="272">
        <f t="shared" si="2"/>
        <v>47.582999999999998</v>
      </c>
      <c r="U15" s="273">
        <f t="shared" si="1"/>
        <v>47583</v>
      </c>
      <c r="V15" s="274"/>
      <c r="W15" s="244"/>
      <c r="X15" s="244"/>
      <c r="Y15" s="277"/>
      <c r="Z15" s="244"/>
    </row>
    <row r="16" spans="1:26" ht="35.1" customHeight="1">
      <c r="A16" s="267">
        <v>6</v>
      </c>
      <c r="B16" s="278" t="s">
        <v>116</v>
      </c>
      <c r="C16" s="282" t="s">
        <v>117</v>
      </c>
      <c r="D16" s="270" t="s">
        <v>201</v>
      </c>
      <c r="E16" s="13"/>
      <c r="F16" s="13"/>
      <c r="G16" s="271">
        <v>3586</v>
      </c>
      <c r="H16" s="271">
        <v>4099</v>
      </c>
      <c r="I16" s="271">
        <v>3586</v>
      </c>
      <c r="J16" s="271">
        <v>3074</v>
      </c>
      <c r="K16" s="271">
        <v>3330</v>
      </c>
      <c r="L16" s="271">
        <v>3843</v>
      </c>
      <c r="M16" s="414" t="s">
        <v>202</v>
      </c>
      <c r="N16" s="271">
        <v>2306</v>
      </c>
      <c r="O16" s="271">
        <v>3586</v>
      </c>
      <c r="P16" s="271">
        <v>3331</v>
      </c>
      <c r="Q16" s="271">
        <v>4354</v>
      </c>
      <c r="R16" s="271">
        <v>4355</v>
      </c>
      <c r="S16" s="271">
        <v>4100</v>
      </c>
      <c r="T16" s="272">
        <f t="shared" si="2"/>
        <v>43.55</v>
      </c>
      <c r="U16" s="273">
        <f t="shared" si="1"/>
        <v>43550</v>
      </c>
      <c r="V16" s="274"/>
      <c r="W16" s="244"/>
      <c r="X16" s="244"/>
      <c r="Y16" s="277"/>
      <c r="Z16" s="244"/>
    </row>
    <row r="17" spans="1:28" ht="35.1" customHeight="1">
      <c r="A17" s="267">
        <v>7</v>
      </c>
      <c r="B17" s="278" t="s">
        <v>118</v>
      </c>
      <c r="C17" s="282" t="s">
        <v>119</v>
      </c>
      <c r="D17" s="270" t="s">
        <v>201</v>
      </c>
      <c r="E17" s="13"/>
      <c r="F17" s="13"/>
      <c r="G17" s="271">
        <v>3586</v>
      </c>
      <c r="H17" s="271">
        <v>4099</v>
      </c>
      <c r="I17" s="271">
        <v>3586</v>
      </c>
      <c r="J17" s="271">
        <v>3074</v>
      </c>
      <c r="K17" s="271">
        <v>3330</v>
      </c>
      <c r="L17" s="271">
        <v>3843</v>
      </c>
      <c r="M17" s="271">
        <v>4034</v>
      </c>
      <c r="N17" s="271">
        <v>2306</v>
      </c>
      <c r="O17" s="271">
        <v>3586</v>
      </c>
      <c r="P17" s="271">
        <v>3330</v>
      </c>
      <c r="Q17" s="271">
        <v>4355</v>
      </c>
      <c r="R17" s="271">
        <v>4355</v>
      </c>
      <c r="S17" s="271">
        <v>4099</v>
      </c>
      <c r="T17" s="272">
        <f t="shared" si="2"/>
        <v>47.582999999999998</v>
      </c>
      <c r="U17" s="273">
        <f t="shared" si="1"/>
        <v>47583</v>
      </c>
      <c r="V17" s="274"/>
      <c r="W17" s="244"/>
      <c r="X17" s="244"/>
      <c r="Y17" s="277"/>
      <c r="Z17" s="244"/>
      <c r="AA17" s="244"/>
      <c r="AB17" s="244"/>
    </row>
    <row r="18" spans="1:28" ht="35.1" customHeight="1">
      <c r="A18" s="267">
        <v>8</v>
      </c>
      <c r="B18" s="253" t="s">
        <v>120</v>
      </c>
      <c r="C18" s="282" t="s">
        <v>121</v>
      </c>
      <c r="D18" s="270" t="s">
        <v>201</v>
      </c>
      <c r="E18" s="13"/>
      <c r="F18" s="13"/>
      <c r="G18" s="271">
        <v>3586</v>
      </c>
      <c r="H18" s="271">
        <v>4099</v>
      </c>
      <c r="I18" s="271">
        <v>3586</v>
      </c>
      <c r="J18" s="271">
        <v>3074</v>
      </c>
      <c r="K18" s="271">
        <v>3330</v>
      </c>
      <c r="L18" s="271">
        <v>3843</v>
      </c>
      <c r="M18" s="271">
        <v>4034</v>
      </c>
      <c r="N18" s="271">
        <v>2306</v>
      </c>
      <c r="O18" s="271">
        <v>3586</v>
      </c>
      <c r="P18" s="271">
        <v>3330</v>
      </c>
      <c r="Q18" s="271">
        <v>4355</v>
      </c>
      <c r="R18" s="271">
        <v>4355</v>
      </c>
      <c r="S18" s="271">
        <v>4099</v>
      </c>
      <c r="T18" s="272">
        <f t="shared" si="2"/>
        <v>47.582999999999998</v>
      </c>
      <c r="U18" s="273">
        <f t="shared" si="1"/>
        <v>47583</v>
      </c>
      <c r="V18" s="274"/>
      <c r="W18" s="244"/>
      <c r="X18" s="244"/>
      <c r="Y18" s="277"/>
      <c r="Z18" s="244"/>
      <c r="AA18" s="244"/>
      <c r="AB18" s="244"/>
    </row>
    <row r="19" spans="1:28" ht="35.1" customHeight="1">
      <c r="A19" s="267">
        <v>9</v>
      </c>
      <c r="B19" s="278" t="s">
        <v>122</v>
      </c>
      <c r="C19" s="444" t="s">
        <v>123</v>
      </c>
      <c r="D19" s="270" t="s">
        <v>201</v>
      </c>
      <c r="E19" s="13"/>
      <c r="F19" s="13"/>
      <c r="G19" s="271">
        <v>3586</v>
      </c>
      <c r="H19" s="271">
        <v>4099</v>
      </c>
      <c r="I19" s="271">
        <v>3586</v>
      </c>
      <c r="J19" s="271">
        <v>3074</v>
      </c>
      <c r="K19" s="271">
        <v>3330</v>
      </c>
      <c r="L19" s="271">
        <v>3843</v>
      </c>
      <c r="M19" s="271">
        <v>4034</v>
      </c>
      <c r="N19" s="271">
        <v>2306</v>
      </c>
      <c r="O19" s="271">
        <v>3586</v>
      </c>
      <c r="P19" s="271">
        <v>3330</v>
      </c>
      <c r="Q19" s="271">
        <v>4355</v>
      </c>
      <c r="R19" s="271">
        <v>4354</v>
      </c>
      <c r="S19" s="271">
        <v>4100</v>
      </c>
      <c r="T19" s="272">
        <f t="shared" si="2"/>
        <v>47.582999999999998</v>
      </c>
      <c r="U19" s="273">
        <f t="shared" si="1"/>
        <v>47583</v>
      </c>
      <c r="V19" s="274"/>
      <c r="W19" s="244"/>
      <c r="X19" s="244"/>
      <c r="Y19" s="277"/>
      <c r="Z19" s="244"/>
      <c r="AA19" s="244"/>
      <c r="AB19" s="244"/>
    </row>
    <row r="20" spans="1:28" s="289" customFormat="1" ht="35.1" customHeight="1">
      <c r="A20" s="283"/>
      <c r="B20" s="836" t="s">
        <v>203</v>
      </c>
      <c r="C20" s="836"/>
      <c r="D20" s="284"/>
      <c r="E20" s="285">
        <f>SUM(E11:E19)</f>
        <v>0</v>
      </c>
      <c r="F20" s="285">
        <f t="shared" ref="F20:S20" si="3">SUM(F11:F19)</f>
        <v>0</v>
      </c>
      <c r="G20" s="285">
        <f t="shared" si="3"/>
        <v>32277</v>
      </c>
      <c r="H20" s="285">
        <f t="shared" si="3"/>
        <v>36888</v>
      </c>
      <c r="I20" s="285">
        <f>SUM(I11:I19)</f>
        <v>32277</v>
      </c>
      <c r="J20" s="285">
        <f t="shared" si="3"/>
        <v>27666</v>
      </c>
      <c r="K20" s="285">
        <f t="shared" si="3"/>
        <v>29972</v>
      </c>
      <c r="L20" s="285">
        <f t="shared" si="3"/>
        <v>34582</v>
      </c>
      <c r="M20" s="285">
        <f t="shared" si="3"/>
        <v>32277</v>
      </c>
      <c r="N20" s="285">
        <f t="shared" si="3"/>
        <v>20750</v>
      </c>
      <c r="O20" s="285">
        <f t="shared" si="3"/>
        <v>32277</v>
      </c>
      <c r="P20" s="285">
        <f t="shared" si="3"/>
        <v>29972</v>
      </c>
      <c r="Q20" s="285">
        <f t="shared" si="3"/>
        <v>39194</v>
      </c>
      <c r="R20" s="285">
        <f t="shared" si="3"/>
        <v>39194</v>
      </c>
      <c r="S20" s="285">
        <f t="shared" si="3"/>
        <v>36888</v>
      </c>
      <c r="T20" s="286">
        <f>SUM(T11:T19)</f>
        <v>424.21399999999994</v>
      </c>
      <c r="U20" s="287">
        <f>SUM(U11:U19)</f>
        <v>424214</v>
      </c>
      <c r="V20" s="288"/>
      <c r="X20" s="289">
        <v>143710</v>
      </c>
      <c r="Y20" s="290">
        <f>T20+T73</f>
        <v>804.62399999999991</v>
      </c>
      <c r="Z20" s="291"/>
    </row>
    <row r="21" spans="1:28" s="292" customFormat="1" ht="23.25" hidden="1">
      <c r="B21" s="293"/>
      <c r="C21" s="293"/>
      <c r="D21" s="293"/>
      <c r="E21" s="294">
        <f>VLOOKUP(E10,'[3]BKECHITIET TO1'!$A$11:$K$24,11)</f>
        <v>0</v>
      </c>
      <c r="F21" s="294">
        <f>VLOOKUP(F10,'[3]BKECHITIET TO1'!$A$11:$K$24,11)</f>
        <v>0</v>
      </c>
      <c r="G21" s="294">
        <f>VLOOKUP(G10,'[3]BKECHITIET TO1'!$A$11:$K$24,11)</f>
        <v>32277</v>
      </c>
      <c r="H21" s="294">
        <f>VLOOKUP(H10,'[3]BKECHITIET TO1'!$A$11:$K$24,11)</f>
        <v>36888</v>
      </c>
      <c r="I21" s="294">
        <f>VLOOKUP(I10,'[3]BKECHITIET TO1'!$A$11:$K$24,11)</f>
        <v>32277</v>
      </c>
      <c r="J21" s="294">
        <f>VLOOKUP(J10,'[3]BKECHITIET TO1'!$A$11:$K$24,11)</f>
        <v>27666</v>
      </c>
      <c r="K21" s="294">
        <f>VLOOKUP(K10,'[3]BKECHITIET TO1'!$A$11:$K$24,11)</f>
        <v>29972</v>
      </c>
      <c r="L21" s="294">
        <f>VLOOKUP(L10,'[3]BKECHITIET TO1'!$A$11:$K$24,11)</f>
        <v>34582</v>
      </c>
      <c r="M21" s="294">
        <f>VLOOKUP(M10,'[3]BKECHITIET TO1'!$A$11:$K$24,11)</f>
        <v>32277</v>
      </c>
      <c r="N21" s="294">
        <f>VLOOKUP(N10,'[3]BKECHITIET TO1'!$A$11:$K$24,11)</f>
        <v>20750</v>
      </c>
      <c r="O21" s="294">
        <f>VLOOKUP(O10,'[3]BKECHITIET TO1'!$A$11:$K$24,11)</f>
        <v>32277</v>
      </c>
      <c r="P21" s="294">
        <f>VLOOKUP(P10,'[3]BKECHITIET TO1'!$A$11:$K$24,11)</f>
        <v>29972</v>
      </c>
      <c r="Q21" s="294">
        <f>VLOOKUP(Q10,'[3]BKECHITIET TO1'!$A$11:$K$24,11)</f>
        <v>39194</v>
      </c>
      <c r="R21" s="294">
        <f>VLOOKUP(R10,'[3]BKECHITIET TO1'!$A$11:$K$24,11)</f>
        <v>39194</v>
      </c>
      <c r="S21" s="294">
        <f>VLOOKUP(S10,'[3]BKECHITIET TO1'!$A$11:$K$25,11)</f>
        <v>36888</v>
      </c>
      <c r="T21" s="295">
        <f>SUM(E21:S21)</f>
        <v>424214</v>
      </c>
      <c r="U21" s="293"/>
      <c r="Y21" s="296"/>
      <c r="Z21" s="297"/>
      <c r="AB21" s="298"/>
    </row>
    <row r="22" spans="1:28" s="292" customFormat="1" ht="15.75" hidden="1">
      <c r="B22" s="299"/>
      <c r="C22" s="299"/>
      <c r="D22" s="299"/>
      <c r="E22" s="300">
        <f>E21-E20</f>
        <v>0</v>
      </c>
      <c r="F22" s="300">
        <f t="shared" ref="F22:S22" si="4">F21-F20</f>
        <v>0</v>
      </c>
      <c r="G22" s="300">
        <f t="shared" si="4"/>
        <v>0</v>
      </c>
      <c r="H22" s="300">
        <f t="shared" si="4"/>
        <v>0</v>
      </c>
      <c r="I22" s="300">
        <f t="shared" si="4"/>
        <v>0</v>
      </c>
      <c r="J22" s="300">
        <f t="shared" si="4"/>
        <v>0</v>
      </c>
      <c r="K22" s="300">
        <f t="shared" si="4"/>
        <v>0</v>
      </c>
      <c r="L22" s="300">
        <f t="shared" si="4"/>
        <v>0</v>
      </c>
      <c r="M22" s="300">
        <f>M21-M20</f>
        <v>0</v>
      </c>
      <c r="N22" s="300">
        <f t="shared" si="4"/>
        <v>0</v>
      </c>
      <c r="O22" s="300">
        <f t="shared" si="4"/>
        <v>0</v>
      </c>
      <c r="P22" s="300">
        <f t="shared" si="4"/>
        <v>0</v>
      </c>
      <c r="Q22" s="300">
        <f t="shared" si="4"/>
        <v>0</v>
      </c>
      <c r="R22" s="300">
        <f t="shared" si="4"/>
        <v>0</v>
      </c>
      <c r="S22" s="300">
        <f t="shared" si="4"/>
        <v>0</v>
      </c>
      <c r="T22" s="300">
        <f>T21-U20</f>
        <v>0</v>
      </c>
      <c r="U22" s="299"/>
      <c r="Y22" s="296"/>
      <c r="Z22" s="297"/>
      <c r="AB22" s="298"/>
    </row>
    <row r="23" spans="1:28" s="298" customFormat="1" ht="15.75" hidden="1">
      <c r="E23" s="292">
        <f>COUNTIF(E11:E19,"X")+0.5*COUNTIF(E11:E19,"/")</f>
        <v>0</v>
      </c>
      <c r="F23" s="292">
        <f t="shared" ref="F23:S23" si="5">COUNTIF(F11:F19,"X")+0.5*COUNTIF(F11:F19,"/")</f>
        <v>0</v>
      </c>
      <c r="G23" s="292">
        <f t="shared" si="5"/>
        <v>0</v>
      </c>
      <c r="H23" s="292">
        <f t="shared" si="5"/>
        <v>0</v>
      </c>
      <c r="I23" s="292">
        <f t="shared" si="5"/>
        <v>0</v>
      </c>
      <c r="J23" s="292">
        <f t="shared" si="5"/>
        <v>0</v>
      </c>
      <c r="K23" s="292">
        <f t="shared" si="5"/>
        <v>0</v>
      </c>
      <c r="L23" s="292">
        <f t="shared" si="5"/>
        <v>0</v>
      </c>
      <c r="M23" s="292">
        <f t="shared" si="5"/>
        <v>0</v>
      </c>
      <c r="N23" s="292">
        <f t="shared" si="5"/>
        <v>0</v>
      </c>
      <c r="O23" s="292">
        <f t="shared" si="5"/>
        <v>0</v>
      </c>
      <c r="P23" s="292">
        <f t="shared" si="5"/>
        <v>0</v>
      </c>
      <c r="Q23" s="292">
        <f t="shared" si="5"/>
        <v>0</v>
      </c>
      <c r="R23" s="292">
        <f t="shared" si="5"/>
        <v>0</v>
      </c>
      <c r="S23" s="292">
        <f t="shared" si="5"/>
        <v>0</v>
      </c>
      <c r="T23" s="301"/>
      <c r="U23" s="301"/>
      <c r="Y23" s="296"/>
      <c r="Z23" s="302"/>
    </row>
    <row r="24" spans="1:28" s="298" customFormat="1" ht="15.75" hidden="1">
      <c r="E24" s="292">
        <v>8</v>
      </c>
      <c r="F24" s="292">
        <v>9</v>
      </c>
      <c r="G24" s="292">
        <v>9</v>
      </c>
      <c r="H24" s="292">
        <v>9</v>
      </c>
      <c r="I24" s="301">
        <v>9</v>
      </c>
      <c r="J24" s="301">
        <v>9</v>
      </c>
      <c r="K24" s="301">
        <v>9</v>
      </c>
      <c r="L24" s="301">
        <v>9</v>
      </c>
      <c r="M24" s="301">
        <v>8</v>
      </c>
      <c r="N24" s="301">
        <v>9</v>
      </c>
      <c r="O24" s="301">
        <v>9</v>
      </c>
      <c r="P24" s="301">
        <v>9</v>
      </c>
      <c r="Q24" s="301">
        <v>9</v>
      </c>
      <c r="R24" s="301">
        <v>9</v>
      </c>
      <c r="S24" s="301">
        <v>9</v>
      </c>
      <c r="T24" s="301"/>
      <c r="U24" s="301"/>
      <c r="Y24" s="296"/>
      <c r="Z24" s="302"/>
    </row>
    <row r="25" spans="1:28" s="303" customFormat="1" ht="12" hidden="1">
      <c r="E25" s="304">
        <f>ROUND(E21/E24,1)</f>
        <v>0</v>
      </c>
      <c r="F25" s="304">
        <f t="shared" ref="F25:S25" si="6">ROUND(F21/F24,1)</f>
        <v>0</v>
      </c>
      <c r="G25" s="304">
        <f t="shared" si="6"/>
        <v>3586.3</v>
      </c>
      <c r="H25" s="304">
        <f t="shared" si="6"/>
        <v>4098.7</v>
      </c>
      <c r="I25" s="304">
        <f t="shared" si="6"/>
        <v>3586.3</v>
      </c>
      <c r="J25" s="304">
        <f t="shared" si="6"/>
        <v>3074</v>
      </c>
      <c r="K25" s="304">
        <f t="shared" si="6"/>
        <v>3330.2</v>
      </c>
      <c r="L25" s="304">
        <f t="shared" si="6"/>
        <v>3842.4</v>
      </c>
      <c r="M25" s="304">
        <f t="shared" si="6"/>
        <v>4034.6</v>
      </c>
      <c r="N25" s="304">
        <f t="shared" si="6"/>
        <v>2305.6</v>
      </c>
      <c r="O25" s="304">
        <f t="shared" si="6"/>
        <v>3586.3</v>
      </c>
      <c r="P25" s="304">
        <f t="shared" si="6"/>
        <v>3330.2</v>
      </c>
      <c r="Q25" s="304">
        <f t="shared" si="6"/>
        <v>4354.8999999999996</v>
      </c>
      <c r="R25" s="304">
        <f t="shared" si="6"/>
        <v>4354.8999999999996</v>
      </c>
      <c r="S25" s="304">
        <f t="shared" si="6"/>
        <v>4098.7</v>
      </c>
    </row>
    <row r="26" spans="1:28" s="289" customFormat="1" ht="15.75" hidden="1">
      <c r="E26" s="305"/>
      <c r="F26" s="305">
        <f>F25/2</f>
        <v>0</v>
      </c>
      <c r="G26" s="305">
        <f>G25/2</f>
        <v>1793.15</v>
      </c>
      <c r="H26" s="305">
        <f>H25/2</f>
        <v>2049.35</v>
      </c>
      <c r="I26" s="303">
        <f>I25/2</f>
        <v>1793.15</v>
      </c>
      <c r="J26" s="303"/>
      <c r="K26" s="303">
        <f>K25/2</f>
        <v>1665.1</v>
      </c>
      <c r="L26" s="303"/>
      <c r="M26" s="303"/>
      <c r="N26" s="303">
        <f>N25/2</f>
        <v>1152.8</v>
      </c>
      <c r="O26" s="303">
        <f>O25/2</f>
        <v>1793.15</v>
      </c>
      <c r="P26" s="303"/>
      <c r="Q26" s="303">
        <f>Q25/2</f>
        <v>2177.4499999999998</v>
      </c>
      <c r="R26" s="303">
        <f>R25/2</f>
        <v>2177.4499999999998</v>
      </c>
      <c r="S26" s="303">
        <f>S25/2</f>
        <v>2049.35</v>
      </c>
      <c r="T26" s="303"/>
      <c r="U26" s="303"/>
    </row>
    <row r="27" spans="1:28" s="289" customFormat="1" ht="15.75">
      <c r="E27" s="305"/>
      <c r="F27" s="305"/>
      <c r="G27" s="305"/>
      <c r="H27" s="305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3"/>
      <c r="Y27" s="289">
        <f>10%*(T11+T64)</f>
        <v>9.1611999999999991</v>
      </c>
    </row>
    <row r="28" spans="1:28" s="289" customFormat="1" ht="15.75">
      <c r="E28" s="305"/>
      <c r="F28" s="305"/>
      <c r="G28" s="305"/>
      <c r="H28" s="305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</row>
    <row r="29" spans="1:28" s="289" customFormat="1" ht="15.75">
      <c r="E29" s="305"/>
      <c r="F29" s="305"/>
      <c r="G29" s="305"/>
      <c r="H29" s="305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  <c r="T29" s="303"/>
      <c r="U29" s="303"/>
    </row>
    <row r="30" spans="1:28" s="289" customFormat="1" ht="15.75">
      <c r="E30" s="305"/>
      <c r="F30" s="305"/>
      <c r="G30" s="305"/>
      <c r="H30" s="305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303"/>
    </row>
    <row r="31" spans="1:28" s="289" customFormat="1" ht="15.75">
      <c r="E31" s="305"/>
      <c r="F31" s="305"/>
      <c r="G31" s="305"/>
      <c r="H31" s="305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</row>
    <row r="32" spans="1:28" s="289" customFormat="1" ht="15.75">
      <c r="E32" s="305"/>
      <c r="F32" s="305"/>
      <c r="G32" s="305"/>
      <c r="H32" s="305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</row>
    <row r="33" spans="3:21" s="289" customFormat="1" ht="15.75">
      <c r="E33" s="305"/>
      <c r="F33" s="305"/>
      <c r="G33" s="305"/>
      <c r="H33" s="305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</row>
    <row r="34" spans="3:21" s="289" customFormat="1" ht="15.75">
      <c r="E34" s="305"/>
      <c r="F34" s="305"/>
      <c r="G34" s="305"/>
      <c r="H34" s="305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</row>
    <row r="35" spans="3:21" s="289" customFormat="1" ht="15.75">
      <c r="E35" s="305"/>
      <c r="F35" s="305"/>
      <c r="G35" s="305"/>
      <c r="H35" s="305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3"/>
    </row>
    <row r="36" spans="3:21" s="289" customFormat="1" ht="15.75">
      <c r="E36" s="305"/>
      <c r="F36" s="305"/>
      <c r="G36" s="305"/>
      <c r="H36" s="305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</row>
    <row r="37" spans="3:21" s="289" customFormat="1" ht="15.75">
      <c r="E37" s="305"/>
      <c r="F37" s="305"/>
      <c r="G37" s="305"/>
      <c r="H37" s="305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</row>
    <row r="38" spans="3:21" s="298" customFormat="1" ht="15.75" hidden="1">
      <c r="C38" s="298">
        <v>26129</v>
      </c>
      <c r="E38" s="292"/>
      <c r="F38" s="292"/>
      <c r="G38" s="292"/>
      <c r="H38" s="292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</row>
    <row r="39" spans="3:21" s="298" customFormat="1" ht="15.75" hidden="1">
      <c r="C39" s="298">
        <v>24592</v>
      </c>
      <c r="E39" s="292"/>
      <c r="F39" s="292"/>
      <c r="G39" s="292"/>
      <c r="H39" s="292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</row>
    <row r="40" spans="3:21" s="298" customFormat="1" ht="15.75" hidden="1">
      <c r="C40" s="298">
        <v>15370</v>
      </c>
      <c r="E40" s="292"/>
      <c r="F40" s="292"/>
      <c r="G40" s="292"/>
      <c r="H40" s="292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</row>
    <row r="41" spans="3:21" s="298" customFormat="1" ht="15.75" hidden="1">
      <c r="E41" s="292"/>
      <c r="F41" s="292"/>
      <c r="G41" s="292"/>
      <c r="H41" s="292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</row>
    <row r="42" spans="3:21" s="298" customFormat="1" ht="15.75" hidden="1">
      <c r="E42" s="292"/>
      <c r="F42" s="292"/>
      <c r="G42" s="292"/>
      <c r="H42" s="292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</row>
    <row r="43" spans="3:21" s="298" customFormat="1" ht="15.75" hidden="1">
      <c r="E43" s="292"/>
      <c r="F43" s="292"/>
      <c r="G43" s="292"/>
      <c r="H43" s="292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</row>
    <row r="44" spans="3:21" s="298" customFormat="1" ht="15.75" hidden="1">
      <c r="E44" s="292"/>
      <c r="F44" s="292"/>
      <c r="G44" s="292"/>
      <c r="H44" s="292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</row>
    <row r="45" spans="3:21" s="298" customFormat="1" ht="15.75" hidden="1">
      <c r="E45" s="292"/>
      <c r="F45" s="292"/>
      <c r="G45" s="292"/>
      <c r="H45" s="292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</row>
    <row r="46" spans="3:21" s="298" customFormat="1" ht="15.75" hidden="1">
      <c r="E46" s="292"/>
      <c r="F46" s="292"/>
      <c r="G46" s="292"/>
      <c r="H46" s="292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</row>
    <row r="47" spans="3:21" s="298" customFormat="1" ht="15.75" hidden="1">
      <c r="E47" s="292"/>
      <c r="F47" s="292"/>
      <c r="G47" s="292"/>
      <c r="H47" s="292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</row>
    <row r="48" spans="3:21" s="298" customFormat="1" ht="15.75" hidden="1">
      <c r="E48" s="292"/>
      <c r="F48" s="292"/>
      <c r="G48" s="292"/>
      <c r="H48" s="292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</row>
    <row r="49" spans="1:26" s="298" customFormat="1" ht="15.75" hidden="1">
      <c r="E49" s="292"/>
      <c r="F49" s="292"/>
      <c r="G49" s="292"/>
      <c r="H49" s="292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</row>
    <row r="50" spans="1:26" s="298" customFormat="1" ht="15.75" hidden="1">
      <c r="E50" s="292"/>
      <c r="F50" s="292"/>
      <c r="G50" s="292"/>
      <c r="H50" s="292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</row>
    <row r="51" spans="1:26" s="298" customFormat="1" ht="15.75" hidden="1">
      <c r="E51" s="292"/>
      <c r="F51" s="292"/>
      <c r="G51" s="292"/>
      <c r="H51" s="292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</row>
    <row r="52" spans="1:26" ht="25.5">
      <c r="A52" s="789" t="s">
        <v>0</v>
      </c>
      <c r="B52" s="789"/>
      <c r="C52" s="789"/>
      <c r="D52" s="789"/>
      <c r="E52" s="789"/>
      <c r="F52" s="260"/>
      <c r="G52" s="260"/>
      <c r="H52" s="260"/>
      <c r="I52" s="244"/>
      <c r="J52" s="244"/>
      <c r="K52" s="244"/>
      <c r="L52" s="261"/>
      <c r="M52" s="261"/>
      <c r="N52" s="261"/>
      <c r="O52" s="261"/>
      <c r="P52" s="261"/>
      <c r="Q52" s="261"/>
      <c r="R52" s="261"/>
      <c r="S52" s="261"/>
      <c r="T52" s="790"/>
      <c r="U52" s="790"/>
      <c r="V52" s="244"/>
      <c r="W52" s="244"/>
      <c r="X52" s="244"/>
      <c r="Y52" s="244"/>
      <c r="Z52" s="244"/>
    </row>
    <row r="53" spans="1:26" ht="24.6" customHeight="1">
      <c r="A53" s="828" t="str">
        <f>A2</f>
        <v>CÔNG TY TNHH CAO SU VRG MEKONG</v>
      </c>
      <c r="B53" s="828"/>
      <c r="C53" s="828"/>
      <c r="D53" s="828"/>
      <c r="E53" s="828"/>
      <c r="F53" s="260"/>
      <c r="G53" s="260"/>
      <c r="H53" s="260"/>
      <c r="I53" s="244"/>
      <c r="J53" s="244"/>
      <c r="K53" s="244"/>
      <c r="L53" s="261"/>
      <c r="M53" s="261"/>
      <c r="N53" s="261"/>
      <c r="O53" s="261"/>
      <c r="P53" s="261"/>
      <c r="Q53" s="261"/>
      <c r="R53" s="261"/>
      <c r="S53" s="261"/>
      <c r="T53" s="792"/>
      <c r="U53" s="792"/>
      <c r="V53" s="244"/>
      <c r="W53" s="244"/>
      <c r="X53" s="244"/>
      <c r="Y53" s="244"/>
      <c r="Z53" s="244"/>
    </row>
    <row r="54" spans="1:26" ht="25.5">
      <c r="A54" s="789" t="s">
        <v>4</v>
      </c>
      <c r="B54" s="789"/>
      <c r="C54" s="789"/>
      <c r="D54" s="789"/>
      <c r="E54" s="789"/>
      <c r="F54" s="260"/>
      <c r="G54" s="260"/>
      <c r="H54" s="260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790"/>
      <c r="U54" s="790"/>
      <c r="V54" s="244"/>
      <c r="W54" s="244"/>
      <c r="X54" s="244"/>
      <c r="Y54" s="244"/>
      <c r="Z54" s="244"/>
    </row>
    <row r="55" spans="1:26" ht="24.6" customHeight="1">
      <c r="A55" s="830" t="s">
        <v>6</v>
      </c>
      <c r="B55" s="830"/>
      <c r="C55" s="830"/>
      <c r="D55" s="830"/>
      <c r="E55" s="830"/>
      <c r="F55" s="260"/>
      <c r="G55" s="260"/>
      <c r="H55" s="260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795"/>
      <c r="U55" s="795"/>
      <c r="V55" s="244"/>
      <c r="W55" s="244"/>
      <c r="X55" s="244"/>
      <c r="Y55" s="244"/>
      <c r="Z55" s="244"/>
    </row>
    <row r="56" spans="1:26" ht="18.75">
      <c r="A56" s="306"/>
      <c r="B56" s="306"/>
      <c r="C56" s="306"/>
      <c r="D56" s="306"/>
      <c r="E56" s="260"/>
      <c r="F56" s="260"/>
      <c r="G56" s="260"/>
      <c r="H56" s="260"/>
      <c r="I56" s="244"/>
      <c r="J56" s="244"/>
      <c r="K56" s="244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244"/>
      <c r="W56" s="244"/>
      <c r="X56" s="244"/>
      <c r="Y56" s="244"/>
      <c r="Z56" s="244"/>
    </row>
    <row r="57" spans="1:26" ht="10.5" customHeight="1">
      <c r="A57" s="307"/>
      <c r="B57" s="307"/>
      <c r="C57" s="307"/>
      <c r="D57" s="307"/>
      <c r="E57" s="260"/>
      <c r="F57" s="260"/>
      <c r="G57" s="260"/>
      <c r="H57" s="260"/>
      <c r="I57" s="244"/>
      <c r="J57" s="244"/>
      <c r="K57" s="244"/>
      <c r="L57" s="306"/>
      <c r="M57" s="306"/>
      <c r="N57" s="306"/>
      <c r="O57" s="306"/>
      <c r="P57" s="306"/>
      <c r="Q57" s="306"/>
      <c r="R57" s="306"/>
      <c r="S57" s="306"/>
      <c r="T57" s="307"/>
      <c r="U57" s="307"/>
      <c r="V57" s="244"/>
      <c r="W57" s="244"/>
      <c r="X57" s="244"/>
      <c r="Y57" s="244"/>
      <c r="Z57" s="244"/>
    </row>
    <row r="58" spans="1:26" s="262" customFormat="1" ht="36" customHeight="1">
      <c r="A58" s="832" t="s">
        <v>350</v>
      </c>
      <c r="B58" s="833"/>
      <c r="C58" s="833"/>
      <c r="D58" s="833"/>
      <c r="E58" s="833"/>
      <c r="F58" s="833"/>
      <c r="G58" s="833"/>
      <c r="H58" s="833"/>
      <c r="I58" s="833"/>
      <c r="J58" s="833"/>
      <c r="K58" s="833"/>
      <c r="L58" s="833"/>
      <c r="M58" s="833"/>
      <c r="N58" s="833"/>
      <c r="O58" s="833"/>
      <c r="P58" s="833"/>
      <c r="Q58" s="833"/>
      <c r="R58" s="833"/>
      <c r="S58" s="833"/>
      <c r="T58" s="833"/>
      <c r="U58" s="833"/>
      <c r="V58" s="833"/>
    </row>
    <row r="59" spans="1:26" s="262" customFormat="1" ht="28.9" customHeight="1">
      <c r="A59" s="834" t="str">
        <f>A6</f>
        <v xml:space="preserve">ថ្ងៃ  ០១-១៥ ខែ ០១ ឆ្នាំ ២០២៦ </v>
      </c>
      <c r="B59" s="834"/>
      <c r="C59" s="834"/>
      <c r="D59" s="834"/>
      <c r="E59" s="834"/>
      <c r="F59" s="834"/>
      <c r="G59" s="834"/>
      <c r="H59" s="834"/>
      <c r="I59" s="834"/>
      <c r="J59" s="834"/>
      <c r="K59" s="834"/>
      <c r="L59" s="834"/>
      <c r="M59" s="834"/>
      <c r="N59" s="834"/>
      <c r="O59" s="834"/>
      <c r="P59" s="834"/>
      <c r="Q59" s="834"/>
      <c r="R59" s="834"/>
      <c r="S59" s="834"/>
      <c r="T59" s="834"/>
      <c r="U59" s="834"/>
      <c r="V59" s="834"/>
    </row>
    <row r="60" spans="1:26" s="263" customFormat="1" ht="18.75">
      <c r="A60" s="803" t="s">
        <v>204</v>
      </c>
      <c r="B60" s="803"/>
      <c r="C60" s="803"/>
      <c r="D60" s="803"/>
      <c r="E60" s="803"/>
      <c r="F60" s="803"/>
      <c r="G60" s="803"/>
      <c r="H60" s="803"/>
      <c r="I60" s="803"/>
      <c r="J60" s="803"/>
      <c r="K60" s="803"/>
      <c r="L60" s="803"/>
      <c r="M60" s="803"/>
      <c r="N60" s="803"/>
      <c r="O60" s="803"/>
      <c r="P60" s="803"/>
      <c r="Q60" s="803"/>
      <c r="R60" s="803"/>
      <c r="S60" s="803"/>
      <c r="T60" s="803"/>
      <c r="U60" s="803"/>
      <c r="V60" s="803"/>
    </row>
    <row r="61" spans="1:26" ht="15.75">
      <c r="A61" s="792" t="str">
        <f>A8</f>
        <v>NGÀY​​​​ 01 ĐẾN 15 THÁNG 01 NĂM 2026</v>
      </c>
      <c r="B61" s="792"/>
      <c r="C61" s="792"/>
      <c r="D61" s="792"/>
      <c r="E61" s="792"/>
      <c r="F61" s="792"/>
      <c r="G61" s="792"/>
      <c r="H61" s="792"/>
      <c r="I61" s="792"/>
      <c r="J61" s="792"/>
      <c r="K61" s="792"/>
      <c r="L61" s="792"/>
      <c r="M61" s="792"/>
      <c r="N61" s="792"/>
      <c r="O61" s="792"/>
      <c r="P61" s="792"/>
      <c r="Q61" s="792"/>
      <c r="R61" s="792"/>
      <c r="S61" s="792"/>
      <c r="T61" s="792"/>
      <c r="U61" s="792"/>
      <c r="V61" s="792"/>
      <c r="W61" s="244"/>
      <c r="X61" s="244"/>
      <c r="Y61" s="244"/>
      <c r="Z61" s="244"/>
    </row>
    <row r="62" spans="1:26" ht="15.75">
      <c r="A62" s="264"/>
      <c r="B62" s="265"/>
      <c r="C62" s="265"/>
      <c r="D62" s="265"/>
      <c r="E62" s="798"/>
      <c r="F62" s="798"/>
      <c r="G62" s="798"/>
      <c r="H62" s="798"/>
      <c r="I62" s="798"/>
      <c r="J62" s="798"/>
      <c r="K62" s="798"/>
      <c r="L62" s="798"/>
      <c r="M62" s="798"/>
      <c r="N62" s="798"/>
      <c r="O62" s="798"/>
      <c r="P62" s="798"/>
      <c r="Q62" s="798"/>
      <c r="R62" s="798"/>
      <c r="S62" s="798"/>
      <c r="T62" s="264"/>
      <c r="U62" s="264"/>
      <c r="V62" s="244"/>
      <c r="W62" s="244"/>
      <c r="X62" s="244"/>
      <c r="Y62" s="244"/>
      <c r="Z62" s="244"/>
    </row>
    <row r="63" spans="1:26" s="261" customFormat="1" ht="60" customHeight="1">
      <c r="A63" s="700" t="s">
        <v>176</v>
      </c>
      <c r="B63" s="837" t="s">
        <v>197</v>
      </c>
      <c r="C63" s="837"/>
      <c r="D63" s="700" t="s">
        <v>198</v>
      </c>
      <c r="E63" s="308">
        <f>E10</f>
        <v>1</v>
      </c>
      <c r="F63" s="308">
        <f t="shared" ref="F63:S63" si="7">E63+1</f>
        <v>2</v>
      </c>
      <c r="G63" s="308">
        <f t="shared" si="7"/>
        <v>3</v>
      </c>
      <c r="H63" s="308">
        <f t="shared" si="7"/>
        <v>4</v>
      </c>
      <c r="I63" s="308">
        <f t="shared" si="7"/>
        <v>5</v>
      </c>
      <c r="J63" s="308">
        <f t="shared" si="7"/>
        <v>6</v>
      </c>
      <c r="K63" s="308">
        <f t="shared" si="7"/>
        <v>7</v>
      </c>
      <c r="L63" s="308">
        <f t="shared" si="7"/>
        <v>8</v>
      </c>
      <c r="M63" s="308">
        <f t="shared" si="7"/>
        <v>9</v>
      </c>
      <c r="N63" s="308">
        <f t="shared" si="7"/>
        <v>10</v>
      </c>
      <c r="O63" s="308">
        <f t="shared" si="7"/>
        <v>11</v>
      </c>
      <c r="P63" s="308">
        <f t="shared" si="7"/>
        <v>12</v>
      </c>
      <c r="Q63" s="308">
        <f t="shared" si="7"/>
        <v>13</v>
      </c>
      <c r="R63" s="308">
        <f t="shared" si="7"/>
        <v>14</v>
      </c>
      <c r="S63" s="308">
        <f t="shared" si="7"/>
        <v>15</v>
      </c>
      <c r="T63" s="309" t="s">
        <v>274</v>
      </c>
      <c r="U63" s="309" t="s">
        <v>199</v>
      </c>
      <c r="V63" s="308" t="s">
        <v>205</v>
      </c>
    </row>
    <row r="64" spans="1:26" ht="33.950000000000003" customHeight="1">
      <c r="A64" s="11">
        <v>1</v>
      </c>
      <c r="B64" s="253" t="s">
        <v>159</v>
      </c>
      <c r="C64" s="255" t="s">
        <v>160</v>
      </c>
      <c r="D64" s="310" t="s">
        <v>206</v>
      </c>
      <c r="E64" s="12"/>
      <c r="F64" s="12"/>
      <c r="G64" s="271">
        <v>4035</v>
      </c>
      <c r="H64" s="271">
        <v>4035</v>
      </c>
      <c r="I64" s="271">
        <v>3746</v>
      </c>
      <c r="J64" s="271">
        <v>3074</v>
      </c>
      <c r="K64" s="271">
        <v>3586</v>
      </c>
      <c r="L64" s="271">
        <v>3843</v>
      </c>
      <c r="M64" s="271">
        <v>3330</v>
      </c>
      <c r="N64" s="271">
        <v>3074</v>
      </c>
      <c r="O64" s="271">
        <v>3330</v>
      </c>
      <c r="P64" s="12"/>
      <c r="Q64" s="271">
        <v>4035</v>
      </c>
      <c r="R64" s="271">
        <v>3586</v>
      </c>
      <c r="S64" s="271">
        <v>4355</v>
      </c>
      <c r="T64" s="563">
        <f>ROUND(U64/1000,3)</f>
        <v>44.029000000000003</v>
      </c>
      <c r="U64" s="273">
        <f t="shared" ref="U64:U72" si="8">SUM(E64:S64)</f>
        <v>44029</v>
      </c>
      <c r="V64" s="312"/>
      <c r="W64" s="275"/>
      <c r="X64" s="276" t="e">
        <f>T179+#REF!</f>
        <v>#REF!</v>
      </c>
      <c r="Y64" s="276">
        <f>ROUND(T64*0.1,2)</f>
        <v>4.4000000000000004</v>
      </c>
      <c r="Z64" s="727">
        <f>Y64+T64</f>
        <v>48.429000000000002</v>
      </c>
    </row>
    <row r="65" spans="1:26" ht="33.950000000000003" customHeight="1">
      <c r="A65" s="11">
        <v>2</v>
      </c>
      <c r="B65" s="253" t="s">
        <v>161</v>
      </c>
      <c r="C65" s="254" t="s">
        <v>162</v>
      </c>
      <c r="D65" s="310" t="s">
        <v>206</v>
      </c>
      <c r="E65" s="12"/>
      <c r="F65" s="12"/>
      <c r="G65" s="271">
        <v>4035</v>
      </c>
      <c r="H65" s="271">
        <v>4035</v>
      </c>
      <c r="I65" s="271">
        <v>3746</v>
      </c>
      <c r="J65" s="271">
        <v>3074</v>
      </c>
      <c r="K65" s="271">
        <v>3586</v>
      </c>
      <c r="L65" s="271">
        <v>3843</v>
      </c>
      <c r="M65" s="271">
        <v>3330</v>
      </c>
      <c r="N65" s="271">
        <v>3074</v>
      </c>
      <c r="O65" s="271">
        <v>3330</v>
      </c>
      <c r="P65" s="12"/>
      <c r="Q65" s="271">
        <v>4035</v>
      </c>
      <c r="R65" s="271">
        <v>3586</v>
      </c>
      <c r="S65" s="271">
        <v>4355</v>
      </c>
      <c r="T65" s="563">
        <f t="shared" ref="T65:T72" si="9">ROUND(U65/1000,3)</f>
        <v>44.029000000000003</v>
      </c>
      <c r="U65" s="273">
        <f t="shared" si="8"/>
        <v>44029</v>
      </c>
      <c r="V65" s="312"/>
      <c r="W65" s="244"/>
      <c r="X65" s="244"/>
      <c r="Y65" s="276"/>
      <c r="Z65" s="277"/>
    </row>
    <row r="66" spans="1:26" ht="33.950000000000003" customHeight="1">
      <c r="A66" s="11">
        <v>3</v>
      </c>
      <c r="B66" s="256" t="s">
        <v>163</v>
      </c>
      <c r="C66" s="255" t="s">
        <v>164</v>
      </c>
      <c r="D66" s="310" t="s">
        <v>206</v>
      </c>
      <c r="E66" s="12"/>
      <c r="F66" s="12"/>
      <c r="G66" s="271">
        <v>4035</v>
      </c>
      <c r="H66" s="271">
        <v>4034</v>
      </c>
      <c r="I66" s="271">
        <v>3747</v>
      </c>
      <c r="J66" s="271">
        <v>3074</v>
      </c>
      <c r="K66" s="271">
        <v>3586</v>
      </c>
      <c r="L66" s="271">
        <v>3843</v>
      </c>
      <c r="M66" s="271">
        <v>3330</v>
      </c>
      <c r="N66" s="271">
        <v>3074</v>
      </c>
      <c r="O66" s="271">
        <v>3330</v>
      </c>
      <c r="P66" s="12"/>
      <c r="Q66" s="271">
        <v>4035</v>
      </c>
      <c r="R66" s="271">
        <v>3586</v>
      </c>
      <c r="S66" s="271">
        <v>4355</v>
      </c>
      <c r="T66" s="563">
        <f t="shared" si="9"/>
        <v>44.029000000000003</v>
      </c>
      <c r="U66" s="273">
        <f t="shared" si="8"/>
        <v>44029</v>
      </c>
      <c r="V66" s="312"/>
      <c r="W66" s="244"/>
      <c r="X66" s="244"/>
      <c r="Y66" s="277"/>
      <c r="Z66" s="277"/>
    </row>
    <row r="67" spans="1:26" ht="33.950000000000003" customHeight="1">
      <c r="A67" s="11">
        <v>4</v>
      </c>
      <c r="B67" s="256" t="s">
        <v>217</v>
      </c>
      <c r="C67" s="313" t="s">
        <v>218</v>
      </c>
      <c r="D67" s="310" t="s">
        <v>206</v>
      </c>
      <c r="E67" s="12"/>
      <c r="F67" s="12"/>
      <c r="G67" s="457" t="s">
        <v>202</v>
      </c>
      <c r="H67" s="457" t="s">
        <v>202</v>
      </c>
      <c r="I67" s="457" t="s">
        <v>202</v>
      </c>
      <c r="J67" s="271">
        <v>3074</v>
      </c>
      <c r="K67" s="271">
        <v>3587</v>
      </c>
      <c r="L67" s="271">
        <v>3843</v>
      </c>
      <c r="M67" s="271">
        <v>3330</v>
      </c>
      <c r="N67" s="271">
        <v>3074</v>
      </c>
      <c r="O67" s="271">
        <v>3330</v>
      </c>
      <c r="P67" s="12"/>
      <c r="Q67" s="271">
        <v>4035</v>
      </c>
      <c r="R67" s="271">
        <v>3586</v>
      </c>
      <c r="S67" s="271">
        <v>4354</v>
      </c>
      <c r="T67" s="563">
        <f t="shared" si="9"/>
        <v>32.213000000000001</v>
      </c>
      <c r="U67" s="273">
        <f t="shared" si="8"/>
        <v>32213</v>
      </c>
      <c r="V67" s="312"/>
      <c r="W67" s="244"/>
      <c r="X67" s="244"/>
      <c r="Y67" s="277"/>
      <c r="Z67" s="277"/>
    </row>
    <row r="68" spans="1:26" ht="33.950000000000003" customHeight="1">
      <c r="A68" s="11">
        <v>5</v>
      </c>
      <c r="B68" s="251" t="s">
        <v>165</v>
      </c>
      <c r="C68" s="252" t="s">
        <v>191</v>
      </c>
      <c r="D68" s="310" t="s">
        <v>206</v>
      </c>
      <c r="E68" s="12"/>
      <c r="F68" s="12"/>
      <c r="G68" s="271">
        <v>4035</v>
      </c>
      <c r="H68" s="271">
        <v>4034</v>
      </c>
      <c r="I68" s="271">
        <v>3747</v>
      </c>
      <c r="J68" s="271">
        <v>3074</v>
      </c>
      <c r="K68" s="271">
        <v>3586</v>
      </c>
      <c r="L68" s="271">
        <v>3843</v>
      </c>
      <c r="M68" s="271">
        <v>3330</v>
      </c>
      <c r="N68" s="271">
        <v>3074</v>
      </c>
      <c r="O68" s="271">
        <v>3330</v>
      </c>
      <c r="P68" s="12"/>
      <c r="Q68" s="271">
        <v>4035</v>
      </c>
      <c r="R68" s="271">
        <v>3586</v>
      </c>
      <c r="S68" s="271">
        <v>4355</v>
      </c>
      <c r="T68" s="563">
        <f t="shared" si="9"/>
        <v>44.029000000000003</v>
      </c>
      <c r="U68" s="273">
        <f t="shared" si="8"/>
        <v>44029</v>
      </c>
      <c r="V68" s="312"/>
      <c r="W68" s="244"/>
      <c r="X68" s="244"/>
      <c r="Y68" s="277"/>
      <c r="Z68" s="277"/>
    </row>
    <row r="69" spans="1:26" ht="33.950000000000003" customHeight="1">
      <c r="A69" s="11">
        <v>6</v>
      </c>
      <c r="B69" s="251" t="s">
        <v>166</v>
      </c>
      <c r="C69" s="252" t="s">
        <v>167</v>
      </c>
      <c r="D69" s="310" t="s">
        <v>206</v>
      </c>
      <c r="E69" s="12"/>
      <c r="F69" s="12"/>
      <c r="G69" s="271">
        <v>4035</v>
      </c>
      <c r="H69" s="271">
        <v>4034</v>
      </c>
      <c r="I69" s="271">
        <v>3747</v>
      </c>
      <c r="J69" s="271">
        <v>3074</v>
      </c>
      <c r="K69" s="271">
        <v>3586</v>
      </c>
      <c r="L69" s="271">
        <v>3842</v>
      </c>
      <c r="M69" s="271">
        <v>3331</v>
      </c>
      <c r="N69" s="271">
        <v>3074</v>
      </c>
      <c r="O69" s="271">
        <v>3330</v>
      </c>
      <c r="P69" s="12"/>
      <c r="Q69" s="271">
        <v>4034</v>
      </c>
      <c r="R69" s="271">
        <v>3587</v>
      </c>
      <c r="S69" s="271">
        <v>4355</v>
      </c>
      <c r="T69" s="563">
        <f t="shared" si="9"/>
        <v>44.029000000000003</v>
      </c>
      <c r="U69" s="273">
        <f t="shared" si="8"/>
        <v>44029</v>
      </c>
      <c r="V69" s="312"/>
      <c r="W69" s="244"/>
      <c r="X69" s="244"/>
      <c r="Y69" s="277"/>
      <c r="Z69" s="277"/>
    </row>
    <row r="70" spans="1:26" ht="33.950000000000003" customHeight="1">
      <c r="A70" s="11">
        <v>7</v>
      </c>
      <c r="B70" s="257" t="s">
        <v>168</v>
      </c>
      <c r="C70" s="258" t="s">
        <v>169</v>
      </c>
      <c r="D70" s="310" t="s">
        <v>206</v>
      </c>
      <c r="E70" s="12"/>
      <c r="F70" s="12"/>
      <c r="G70" s="271">
        <v>4034</v>
      </c>
      <c r="H70" s="271">
        <v>4035</v>
      </c>
      <c r="I70" s="271">
        <v>3747</v>
      </c>
      <c r="J70" s="271">
        <v>3074</v>
      </c>
      <c r="K70" s="271">
        <v>3586</v>
      </c>
      <c r="L70" s="271">
        <v>3842</v>
      </c>
      <c r="M70" s="271">
        <v>3331</v>
      </c>
      <c r="N70" s="271">
        <v>3074</v>
      </c>
      <c r="O70" s="271">
        <v>3330</v>
      </c>
      <c r="P70" s="12"/>
      <c r="Q70" s="457" t="s">
        <v>202</v>
      </c>
      <c r="R70" s="271">
        <v>3587</v>
      </c>
      <c r="S70" s="271">
        <v>4354</v>
      </c>
      <c r="T70" s="563">
        <f t="shared" si="9"/>
        <v>39.994</v>
      </c>
      <c r="U70" s="273">
        <f t="shared" si="8"/>
        <v>39994</v>
      </c>
      <c r="V70" s="312"/>
      <c r="W70" s="244"/>
      <c r="X70" s="244"/>
      <c r="Y70" s="277"/>
      <c r="Z70" s="277"/>
    </row>
    <row r="71" spans="1:26" ht="33.950000000000003" customHeight="1">
      <c r="A71" s="11">
        <v>8</v>
      </c>
      <c r="B71" s="599" t="s">
        <v>72</v>
      </c>
      <c r="C71" s="600" t="s">
        <v>73</v>
      </c>
      <c r="D71" s="310" t="s">
        <v>206</v>
      </c>
      <c r="E71" s="12"/>
      <c r="F71" s="12"/>
      <c r="G71" s="271">
        <v>4034</v>
      </c>
      <c r="H71" s="271">
        <v>4035</v>
      </c>
      <c r="I71" s="271">
        <v>3746</v>
      </c>
      <c r="J71" s="271">
        <v>3074</v>
      </c>
      <c r="K71" s="271">
        <v>3587</v>
      </c>
      <c r="L71" s="271">
        <v>3842</v>
      </c>
      <c r="M71" s="271">
        <v>3330</v>
      </c>
      <c r="N71" s="271">
        <v>3074</v>
      </c>
      <c r="O71" s="271">
        <v>3331</v>
      </c>
      <c r="P71" s="12"/>
      <c r="Q71" s="271">
        <v>4034</v>
      </c>
      <c r="R71" s="271">
        <v>3587</v>
      </c>
      <c r="S71" s="271">
        <v>4355</v>
      </c>
      <c r="T71" s="563">
        <f t="shared" si="9"/>
        <v>44.029000000000003</v>
      </c>
      <c r="U71" s="273">
        <f t="shared" si="8"/>
        <v>44029</v>
      </c>
      <c r="V71" s="312"/>
      <c r="W71" s="244"/>
      <c r="X71" s="244"/>
      <c r="Y71" s="277"/>
      <c r="Z71" s="277"/>
    </row>
    <row r="72" spans="1:26" ht="33.950000000000003" customHeight="1">
      <c r="A72" s="11">
        <v>9</v>
      </c>
      <c r="B72" s="251" t="s">
        <v>170</v>
      </c>
      <c r="C72" s="252" t="s">
        <v>171</v>
      </c>
      <c r="D72" s="310" t="s">
        <v>206</v>
      </c>
      <c r="E72" s="12"/>
      <c r="F72" s="12"/>
      <c r="G72" s="271">
        <v>4034</v>
      </c>
      <c r="H72" s="271">
        <v>4035</v>
      </c>
      <c r="I72" s="271">
        <v>3746</v>
      </c>
      <c r="J72" s="271">
        <v>3074</v>
      </c>
      <c r="K72" s="271">
        <v>3587</v>
      </c>
      <c r="L72" s="271">
        <v>3842</v>
      </c>
      <c r="M72" s="271">
        <v>3330</v>
      </c>
      <c r="N72" s="271">
        <v>3074</v>
      </c>
      <c r="O72" s="271">
        <v>3331</v>
      </c>
      <c r="P72" s="271"/>
      <c r="Q72" s="271">
        <v>4034</v>
      </c>
      <c r="R72" s="271">
        <v>3586</v>
      </c>
      <c r="S72" s="271">
        <v>4356</v>
      </c>
      <c r="T72" s="563">
        <f t="shared" si="9"/>
        <v>44.029000000000003</v>
      </c>
      <c r="U72" s="273">
        <f t="shared" si="8"/>
        <v>44029</v>
      </c>
      <c r="V72" s="312"/>
      <c r="W72" s="244"/>
      <c r="X72" s="244"/>
      <c r="Y72" s="277"/>
      <c r="Z72" s="277"/>
    </row>
    <row r="73" spans="1:26" s="318" customFormat="1" ht="33.950000000000003" customHeight="1">
      <c r="A73" s="314"/>
      <c r="B73" s="838" t="s">
        <v>54</v>
      </c>
      <c r="C73" s="838"/>
      <c r="D73" s="314"/>
      <c r="E73" s="315">
        <f>SUM(E64:E72)</f>
        <v>0</v>
      </c>
      <c r="F73" s="315">
        <f t="shared" ref="F73:U73" si="10">SUM(F64:F72)</f>
        <v>0</v>
      </c>
      <c r="G73" s="315">
        <f t="shared" si="10"/>
        <v>32277</v>
      </c>
      <c r="H73" s="315">
        <f t="shared" si="10"/>
        <v>32277</v>
      </c>
      <c r="I73" s="315">
        <f t="shared" si="10"/>
        <v>29972</v>
      </c>
      <c r="J73" s="315">
        <f t="shared" si="10"/>
        <v>27666</v>
      </c>
      <c r="K73" s="315">
        <f t="shared" si="10"/>
        <v>32277</v>
      </c>
      <c r="L73" s="315">
        <f t="shared" si="10"/>
        <v>34583</v>
      </c>
      <c r="M73" s="315">
        <f t="shared" si="10"/>
        <v>29972</v>
      </c>
      <c r="N73" s="315">
        <f t="shared" si="10"/>
        <v>27666</v>
      </c>
      <c r="O73" s="315">
        <f t="shared" si="10"/>
        <v>29972</v>
      </c>
      <c r="P73" s="315">
        <f t="shared" si="10"/>
        <v>0</v>
      </c>
      <c r="Q73" s="315">
        <f t="shared" si="10"/>
        <v>32277</v>
      </c>
      <c r="R73" s="315">
        <f t="shared" si="10"/>
        <v>32277</v>
      </c>
      <c r="S73" s="315">
        <f t="shared" si="10"/>
        <v>39194</v>
      </c>
      <c r="T73" s="400">
        <f t="shared" si="10"/>
        <v>380.40999999999997</v>
      </c>
      <c r="U73" s="315">
        <f t="shared" si="10"/>
        <v>380410</v>
      </c>
      <c r="V73" s="317"/>
      <c r="Y73" s="319"/>
      <c r="Z73" s="319"/>
    </row>
    <row r="74" spans="1:26" s="318" customFormat="1" ht="25.5" hidden="1">
      <c r="B74" s="320"/>
      <c r="C74" s="320"/>
      <c r="D74" s="320"/>
      <c r="E74" s="321">
        <f>VLOOKUP(E63,'[3]BKECHITIET TO2'!$A$11:$K$25,11)</f>
        <v>0</v>
      </c>
      <c r="F74" s="321">
        <f>VLOOKUP(F63,'[3]BKECHITIET TO2'!$A$11:$K$25,11)</f>
        <v>0</v>
      </c>
      <c r="G74" s="321">
        <f>VLOOKUP(G63,'[3]BKECHITIET TO2'!$A$11:$K$25,11)</f>
        <v>32277</v>
      </c>
      <c r="H74" s="321">
        <f>VLOOKUP(H63,'[3]BKECHITIET TO2'!$A$11:$K$25,11)</f>
        <v>32277</v>
      </c>
      <c r="I74" s="321">
        <f>VLOOKUP(I63,'[3]BKECHITIET TO2'!$A$11:$K$25,11)</f>
        <v>29972</v>
      </c>
      <c r="J74" s="321">
        <f>VLOOKUP(J63,'[3]BKECHITIET TO2'!$A$11:$K$25,11)</f>
        <v>27666</v>
      </c>
      <c r="K74" s="321">
        <f>VLOOKUP(K63,'[3]BKECHITIET TO2'!$A$11:$K$25,11)</f>
        <v>32277</v>
      </c>
      <c r="L74" s="321">
        <f>VLOOKUP(L63,'[3]BKECHITIET TO2'!$A$11:$K$25,11)</f>
        <v>34583</v>
      </c>
      <c r="M74" s="321">
        <f>VLOOKUP(M63,'[3]BKECHITIET TO2'!$A$11:$K$25,11)</f>
        <v>29972</v>
      </c>
      <c r="N74" s="321">
        <f>VLOOKUP(N63,'[3]BKECHITIET TO2'!$A$11:$K$25,11)</f>
        <v>27666</v>
      </c>
      <c r="O74" s="321">
        <f>VLOOKUP(O63,'[3]BKECHITIET TO2'!$A$11:$K$25,11)</f>
        <v>29972</v>
      </c>
      <c r="P74" s="321">
        <f>VLOOKUP(P63,'[3]BKECHITIET TO2'!$A$11:$K$25,11)</f>
        <v>0</v>
      </c>
      <c r="Q74" s="321">
        <f>VLOOKUP(Q63,'[3]BKECHITIET TO2'!$A$11:$K$25,11)</f>
        <v>32277</v>
      </c>
      <c r="R74" s="321">
        <f>VLOOKUP(R63,'[3]BKECHITIET TO2'!$A$11:$K$25,11)</f>
        <v>32277</v>
      </c>
      <c r="S74" s="321">
        <f>VLOOKUP(S63,'[3]BKECHITIET TO2'!$A$11:$K$25,11)</f>
        <v>39194</v>
      </c>
      <c r="T74" s="316">
        <f>ROUND(SUM(E74:S74)/1000,3)</f>
        <v>380.41</v>
      </c>
      <c r="U74" s="316">
        <f>ROUND(SUM(E74:S74)/1000,3)</f>
        <v>380.41</v>
      </c>
    </row>
    <row r="75" spans="1:26" s="318" customFormat="1" ht="15.75" hidden="1">
      <c r="B75" s="242"/>
      <c r="C75" s="242"/>
      <c r="D75" s="242"/>
      <c r="E75" s="322">
        <f>ROUND(E74/E77,1)</f>
        <v>0</v>
      </c>
      <c r="F75" s="322">
        <f>ROUND(F74/F77,1)</f>
        <v>0</v>
      </c>
      <c r="G75" s="322">
        <f>ROUND(G74/G77,1)</f>
        <v>4034.6</v>
      </c>
      <c r="H75" s="322">
        <f t="shared" ref="H75:R75" si="11">ROUND(H74/H77,1)</f>
        <v>4034.6</v>
      </c>
      <c r="I75" s="322">
        <f t="shared" si="11"/>
        <v>3746.5</v>
      </c>
      <c r="J75" s="322">
        <f t="shared" si="11"/>
        <v>3074</v>
      </c>
      <c r="K75" s="322">
        <f t="shared" si="11"/>
        <v>3586.3</v>
      </c>
      <c r="L75" s="322">
        <f t="shared" si="11"/>
        <v>3842.6</v>
      </c>
      <c r="M75" s="322">
        <f t="shared" si="11"/>
        <v>3330.2</v>
      </c>
      <c r="N75" s="322">
        <f t="shared" si="11"/>
        <v>3074</v>
      </c>
      <c r="O75" s="322">
        <f t="shared" si="11"/>
        <v>3330.2</v>
      </c>
      <c r="P75" s="322" t="e">
        <f t="shared" si="11"/>
        <v>#DIV/0!</v>
      </c>
      <c r="Q75" s="322">
        <f t="shared" si="11"/>
        <v>4034.6</v>
      </c>
      <c r="R75" s="322">
        <f t="shared" si="11"/>
        <v>3586.3</v>
      </c>
      <c r="S75" s="322">
        <f>ROUND(S74/S77,1)</f>
        <v>4354.8999999999996</v>
      </c>
      <c r="T75" s="323"/>
      <c r="U75" s="324"/>
      <c r="Y75" s="325"/>
    </row>
    <row r="76" spans="1:26" s="318" customFormat="1" ht="15.75" hidden="1">
      <c r="E76" s="292">
        <f>COUNTIF(E64:E72,"X")+0.5*COUNTIF(E64:E72,"/")</f>
        <v>0</v>
      </c>
      <c r="F76" s="292">
        <f t="shared" ref="F76:S76" si="12">COUNTIF(F64:F72,"X")+0.5*COUNTIF(F64:F72,"/")</f>
        <v>0</v>
      </c>
      <c r="G76" s="292">
        <f t="shared" si="12"/>
        <v>0</v>
      </c>
      <c r="H76" s="292">
        <f t="shared" si="12"/>
        <v>0</v>
      </c>
      <c r="I76" s="292">
        <f t="shared" si="12"/>
        <v>0</v>
      </c>
      <c r="J76" s="292">
        <f t="shared" si="12"/>
        <v>0</v>
      </c>
      <c r="K76" s="292">
        <f t="shared" si="12"/>
        <v>0</v>
      </c>
      <c r="L76" s="292">
        <f t="shared" si="12"/>
        <v>0</v>
      </c>
      <c r="M76" s="292">
        <f t="shared" si="12"/>
        <v>0</v>
      </c>
      <c r="N76" s="292">
        <f t="shared" si="12"/>
        <v>0</v>
      </c>
      <c r="O76" s="292">
        <f t="shared" si="12"/>
        <v>0</v>
      </c>
      <c r="P76" s="292">
        <f t="shared" si="12"/>
        <v>0</v>
      </c>
      <c r="Q76" s="292">
        <f t="shared" si="12"/>
        <v>0</v>
      </c>
      <c r="R76" s="292">
        <f t="shared" si="12"/>
        <v>0</v>
      </c>
      <c r="S76" s="292">
        <f t="shared" si="12"/>
        <v>0</v>
      </c>
      <c r="T76" s="326"/>
      <c r="U76" s="327"/>
    </row>
    <row r="77" spans="1:26" s="318" customFormat="1" ht="15.75" hidden="1">
      <c r="E77" s="328">
        <v>9</v>
      </c>
      <c r="F77" s="328">
        <v>7</v>
      </c>
      <c r="G77" s="328">
        <v>8</v>
      </c>
      <c r="H77" s="328">
        <v>8</v>
      </c>
      <c r="I77" s="327">
        <v>8</v>
      </c>
      <c r="J77" s="327">
        <v>9</v>
      </c>
      <c r="K77" s="327">
        <v>9</v>
      </c>
      <c r="L77" s="327">
        <v>9</v>
      </c>
      <c r="M77" s="327">
        <v>9</v>
      </c>
      <c r="N77" s="327">
        <v>9</v>
      </c>
      <c r="O77" s="327">
        <v>9</v>
      </c>
      <c r="P77" s="327">
        <v>0</v>
      </c>
      <c r="Q77" s="327">
        <v>8</v>
      </c>
      <c r="R77" s="292">
        <v>9</v>
      </c>
      <c r="S77" s="292">
        <v>9</v>
      </c>
      <c r="T77" s="326">
        <f>T73-T74</f>
        <v>0</v>
      </c>
      <c r="U77" s="327"/>
    </row>
    <row r="78" spans="1:26" s="318" customFormat="1" ht="15.75" hidden="1">
      <c r="E78" s="329">
        <f>E73-E74</f>
        <v>0</v>
      </c>
      <c r="F78" s="329">
        <f t="shared" ref="F78:T78" si="13">F73-F74</f>
        <v>0</v>
      </c>
      <c r="G78" s="329">
        <f t="shared" si="13"/>
        <v>0</v>
      </c>
      <c r="H78" s="330">
        <f t="shared" si="13"/>
        <v>0</v>
      </c>
      <c r="I78" s="329">
        <f t="shared" si="13"/>
        <v>0</v>
      </c>
      <c r="J78" s="330">
        <f t="shared" si="13"/>
        <v>0</v>
      </c>
      <c r="K78" s="330">
        <f t="shared" si="13"/>
        <v>0</v>
      </c>
      <c r="L78" s="330">
        <f t="shared" si="13"/>
        <v>0</v>
      </c>
      <c r="M78" s="329">
        <f>M73-M74</f>
        <v>0</v>
      </c>
      <c r="N78" s="329">
        <f>N73-N74</f>
        <v>0</v>
      </c>
      <c r="O78" s="329">
        <f t="shared" si="13"/>
        <v>0</v>
      </c>
      <c r="P78" s="329">
        <f t="shared" si="13"/>
        <v>0</v>
      </c>
      <c r="Q78" s="329">
        <f t="shared" si="13"/>
        <v>0</v>
      </c>
      <c r="R78" s="329">
        <f t="shared" si="13"/>
        <v>0</v>
      </c>
      <c r="S78" s="331">
        <f t="shared" si="13"/>
        <v>0</v>
      </c>
      <c r="T78" s="330">
        <f t="shared" si="13"/>
        <v>0</v>
      </c>
      <c r="U78" s="327"/>
    </row>
    <row r="79" spans="1:26" s="318" customFormat="1" ht="15.75">
      <c r="E79" s="329"/>
      <c r="F79" s="329"/>
      <c r="G79" s="329"/>
      <c r="H79" s="330"/>
      <c r="I79" s="329"/>
      <c r="J79" s="330"/>
      <c r="K79" s="330"/>
      <c r="L79" s="330"/>
      <c r="M79" s="329"/>
      <c r="N79" s="329"/>
      <c r="O79" s="329"/>
      <c r="P79" s="329"/>
      <c r="Q79" s="329"/>
      <c r="R79" s="329"/>
      <c r="S79" s="331"/>
      <c r="T79" s="330"/>
      <c r="U79" s="327"/>
    </row>
    <row r="80" spans="1:26" s="318" customFormat="1" ht="15.75">
      <c r="E80" s="329"/>
      <c r="F80" s="329"/>
      <c r="G80" s="329"/>
      <c r="H80" s="330"/>
      <c r="I80" s="329"/>
      <c r="J80" s="330"/>
      <c r="K80" s="330"/>
      <c r="L80" s="330"/>
      <c r="M80" s="329"/>
      <c r="N80" s="329"/>
      <c r="O80" s="329"/>
      <c r="P80" s="329"/>
      <c r="Q80" s="329"/>
      <c r="R80" s="329"/>
      <c r="S80" s="331"/>
      <c r="T80" s="330"/>
      <c r="U80" s="327"/>
    </row>
    <row r="81" spans="1:22" s="318" customFormat="1" ht="15.75">
      <c r="E81" s="329"/>
      <c r="F81" s="329"/>
      <c r="G81" s="329"/>
      <c r="H81" s="330"/>
      <c r="I81" s="329"/>
      <c r="J81" s="330"/>
      <c r="K81" s="330"/>
      <c r="L81" s="330"/>
      <c r="M81" s="329"/>
      <c r="N81" s="329"/>
      <c r="O81" s="329"/>
      <c r="P81" s="329"/>
      <c r="Q81" s="329"/>
      <c r="R81" s="329"/>
      <c r="S81" s="331"/>
      <c r="T81" s="330"/>
      <c r="U81" s="327"/>
    </row>
    <row r="82" spans="1:22" s="318" customFormat="1" ht="15.75">
      <c r="E82" s="329"/>
      <c r="F82" s="329"/>
      <c r="G82" s="329"/>
      <c r="H82" s="330"/>
      <c r="I82" s="329"/>
      <c r="J82" s="330"/>
      <c r="K82" s="330"/>
      <c r="L82" s="330"/>
      <c r="M82" s="329"/>
      <c r="N82" s="329"/>
      <c r="O82" s="329"/>
      <c r="P82" s="329"/>
      <c r="Q82" s="329"/>
      <c r="R82" s="329"/>
      <c r="S82" s="331"/>
      <c r="T82" s="330"/>
      <c r="U82" s="327"/>
    </row>
    <row r="83" spans="1:22" s="318" customFormat="1" ht="15.75">
      <c r="E83" s="329"/>
      <c r="F83" s="329"/>
      <c r="G83" s="329"/>
      <c r="H83" s="330"/>
      <c r="I83" s="329"/>
      <c r="J83" s="330"/>
      <c r="K83" s="330"/>
      <c r="L83" s="330"/>
      <c r="M83" s="329"/>
      <c r="N83" s="329"/>
      <c r="O83" s="329"/>
      <c r="P83" s="329"/>
      <c r="Q83" s="329"/>
      <c r="R83" s="329"/>
      <c r="S83" s="331"/>
      <c r="T83" s="330"/>
      <c r="U83" s="327"/>
    </row>
    <row r="84" spans="1:22" s="318" customFormat="1" ht="15.75">
      <c r="E84" s="329"/>
      <c r="F84" s="329"/>
      <c r="G84" s="329"/>
      <c r="H84" s="330"/>
      <c r="I84" s="329"/>
      <c r="J84" s="330"/>
      <c r="K84" s="330"/>
      <c r="L84" s="330"/>
      <c r="M84" s="329"/>
      <c r="N84" s="329"/>
      <c r="O84" s="329"/>
      <c r="P84" s="329"/>
      <c r="Q84" s="329"/>
      <c r="R84" s="329"/>
      <c r="S84" s="331"/>
      <c r="T84" s="330"/>
      <c r="U84" s="327"/>
    </row>
    <row r="85" spans="1:22" s="318" customFormat="1" ht="15.75">
      <c r="E85" s="329"/>
      <c r="F85" s="329"/>
      <c r="G85" s="329"/>
      <c r="H85" s="330"/>
      <c r="I85" s="329"/>
      <c r="J85" s="330"/>
      <c r="K85" s="330"/>
      <c r="L85" s="330"/>
      <c r="M85" s="329"/>
      <c r="N85" s="329"/>
      <c r="O85" s="329"/>
      <c r="P85" s="329"/>
      <c r="Q85" s="329"/>
      <c r="R85" s="329"/>
      <c r="S85" s="331"/>
      <c r="T85" s="330"/>
      <c r="U85" s="327"/>
    </row>
    <row r="86" spans="1:22" s="318" customFormat="1" ht="15.75">
      <c r="E86" s="329"/>
      <c r="F86" s="329"/>
      <c r="G86" s="329"/>
      <c r="H86" s="330"/>
      <c r="I86" s="329"/>
      <c r="J86" s="330"/>
      <c r="K86" s="330"/>
      <c r="L86" s="330"/>
      <c r="M86" s="329"/>
      <c r="N86" s="329"/>
      <c r="O86" s="329"/>
      <c r="P86" s="329"/>
      <c r="Q86" s="329"/>
      <c r="R86" s="329"/>
      <c r="S86" s="331"/>
      <c r="T86" s="330"/>
      <c r="U86" s="327"/>
    </row>
    <row r="87" spans="1:22" s="318" customFormat="1" ht="15.75">
      <c r="E87" s="329"/>
      <c r="F87" s="329"/>
      <c r="G87" s="329"/>
      <c r="H87" s="330"/>
      <c r="I87" s="329"/>
      <c r="J87" s="330"/>
      <c r="K87" s="330"/>
      <c r="L87" s="330"/>
      <c r="M87" s="329"/>
      <c r="N87" s="329"/>
      <c r="O87" s="329"/>
      <c r="P87" s="329"/>
      <c r="Q87" s="329"/>
      <c r="R87" s="329"/>
      <c r="S87" s="331"/>
      <c r="T87" s="330"/>
      <c r="U87" s="327"/>
    </row>
    <row r="88" spans="1:22" s="318" customFormat="1" ht="15.75">
      <c r="E88" s="329"/>
      <c r="F88" s="329"/>
      <c r="G88" s="329"/>
      <c r="H88" s="330"/>
      <c r="I88" s="329"/>
      <c r="J88" s="330"/>
      <c r="K88" s="330"/>
      <c r="L88" s="330"/>
      <c r="M88" s="329"/>
      <c r="N88" s="329"/>
      <c r="O88" s="329"/>
      <c r="P88" s="329"/>
      <c r="Q88" s="329"/>
      <c r="R88" s="329"/>
      <c r="S88" s="331"/>
      <c r="T88" s="330"/>
      <c r="U88" s="327"/>
    </row>
    <row r="89" spans="1:22" s="318" customFormat="1" ht="15.75">
      <c r="E89" s="329"/>
      <c r="F89" s="329"/>
      <c r="G89" s="329"/>
      <c r="H89" s="330"/>
      <c r="I89" s="329"/>
      <c r="J89" s="330"/>
      <c r="K89" s="330"/>
      <c r="L89" s="330"/>
      <c r="M89" s="329"/>
      <c r="N89" s="329"/>
      <c r="O89" s="329"/>
      <c r="P89" s="329"/>
      <c r="Q89" s="329"/>
      <c r="R89" s="329"/>
      <c r="S89" s="331"/>
      <c r="T89" s="330"/>
      <c r="U89" s="327"/>
    </row>
    <row r="90" spans="1:22" s="318" customFormat="1" ht="25.5">
      <c r="A90" s="789" t="s">
        <v>0</v>
      </c>
      <c r="B90" s="789"/>
      <c r="C90" s="789"/>
      <c r="D90" s="789"/>
      <c r="E90" s="789"/>
      <c r="F90" s="260"/>
      <c r="G90" s="260"/>
      <c r="H90" s="260"/>
      <c r="I90" s="244"/>
      <c r="J90" s="244"/>
      <c r="K90" s="244"/>
      <c r="L90" s="261"/>
      <c r="M90" s="261"/>
      <c r="N90" s="261"/>
      <c r="O90" s="261"/>
      <c r="P90" s="261"/>
      <c r="Q90" s="261"/>
      <c r="R90" s="261"/>
      <c r="S90" s="261"/>
      <c r="T90" s="687"/>
      <c r="U90" s="687"/>
      <c r="V90" s="244"/>
    </row>
    <row r="91" spans="1:22" s="318" customFormat="1" ht="15.75">
      <c r="A91" s="828" t="s">
        <v>194</v>
      </c>
      <c r="B91" s="828"/>
      <c r="C91" s="828"/>
      <c r="D91" s="828"/>
      <c r="E91" s="828"/>
      <c r="F91" s="260"/>
      <c r="G91" s="260"/>
      <c r="H91" s="260"/>
      <c r="I91" s="244"/>
      <c r="J91" s="244"/>
      <c r="K91" s="244"/>
      <c r="L91" s="261"/>
      <c r="M91" s="261"/>
      <c r="N91" s="261"/>
      <c r="O91" s="261"/>
      <c r="P91" s="261"/>
      <c r="Q91" s="261"/>
      <c r="R91" s="261"/>
      <c r="S91" s="261"/>
      <c r="T91" s="792"/>
      <c r="U91" s="792"/>
      <c r="V91" s="244"/>
    </row>
    <row r="92" spans="1:22" s="318" customFormat="1" ht="25.5">
      <c r="A92" s="789" t="s">
        <v>4</v>
      </c>
      <c r="B92" s="789"/>
      <c r="C92" s="789"/>
      <c r="D92" s="789"/>
      <c r="E92" s="789"/>
      <c r="F92" s="260"/>
      <c r="G92" s="260"/>
      <c r="H92" s="260"/>
      <c r="I92" s="244"/>
      <c r="J92" s="244"/>
      <c r="K92" s="244"/>
      <c r="L92" s="244"/>
      <c r="M92" s="244"/>
      <c r="N92" s="244"/>
      <c r="O92" s="244"/>
      <c r="P92" s="244"/>
      <c r="Q92" s="244"/>
      <c r="R92" s="332"/>
      <c r="S92" s="244"/>
      <c r="T92" s="790"/>
      <c r="U92" s="790"/>
      <c r="V92" s="244"/>
    </row>
    <row r="93" spans="1:22" s="318" customFormat="1" ht="15.75">
      <c r="A93" s="830" t="s">
        <v>6</v>
      </c>
      <c r="B93" s="830"/>
      <c r="C93" s="830"/>
      <c r="D93" s="830"/>
      <c r="E93" s="830"/>
      <c r="F93" s="260"/>
      <c r="G93" s="260"/>
      <c r="H93" s="260"/>
      <c r="I93" s="244"/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795"/>
      <c r="U93" s="795"/>
      <c r="V93" s="244"/>
    </row>
    <row r="94" spans="1:22" s="318" customFormat="1" ht="33" customHeight="1">
      <c r="A94" s="832" t="s">
        <v>351</v>
      </c>
      <c r="B94" s="833"/>
      <c r="C94" s="833"/>
      <c r="D94" s="833"/>
      <c r="E94" s="833"/>
      <c r="F94" s="833"/>
      <c r="G94" s="833"/>
      <c r="H94" s="833"/>
      <c r="I94" s="833"/>
      <c r="J94" s="833"/>
      <c r="K94" s="833"/>
      <c r="L94" s="833"/>
      <c r="M94" s="833"/>
      <c r="N94" s="833"/>
      <c r="O94" s="833"/>
      <c r="P94" s="833"/>
      <c r="Q94" s="833"/>
      <c r="R94" s="833"/>
      <c r="S94" s="833"/>
      <c r="T94" s="833"/>
      <c r="U94" s="833"/>
      <c r="V94" s="833"/>
    </row>
    <row r="95" spans="1:22" s="318" customFormat="1" ht="33.75">
      <c r="A95" s="839" t="str">
        <f>A59</f>
        <v xml:space="preserve">ថ្ងៃ  ០១-១៥ ខែ ០១ ឆ្នាំ ២០២៦ </v>
      </c>
      <c r="B95" s="839"/>
      <c r="C95" s="839"/>
      <c r="D95" s="839"/>
      <c r="E95" s="839"/>
      <c r="F95" s="839"/>
      <c r="G95" s="839"/>
      <c r="H95" s="839"/>
      <c r="I95" s="839"/>
      <c r="J95" s="839"/>
      <c r="K95" s="839"/>
      <c r="L95" s="839"/>
      <c r="M95" s="839"/>
      <c r="N95" s="839"/>
      <c r="O95" s="839"/>
      <c r="P95" s="839"/>
      <c r="Q95" s="839"/>
      <c r="R95" s="839"/>
      <c r="S95" s="839"/>
      <c r="T95" s="839"/>
      <c r="U95" s="839"/>
      <c r="V95" s="839"/>
    </row>
    <row r="96" spans="1:22" s="318" customFormat="1" ht="18.75">
      <c r="A96" s="803" t="s">
        <v>352</v>
      </c>
      <c r="B96" s="803"/>
      <c r="C96" s="803"/>
      <c r="D96" s="803"/>
      <c r="E96" s="803"/>
      <c r="F96" s="803"/>
      <c r="G96" s="803"/>
      <c r="H96" s="803"/>
      <c r="I96" s="803"/>
      <c r="J96" s="803"/>
      <c r="K96" s="803"/>
      <c r="L96" s="803"/>
      <c r="M96" s="803"/>
      <c r="N96" s="803"/>
      <c r="O96" s="803"/>
      <c r="P96" s="803"/>
      <c r="Q96" s="803"/>
      <c r="R96" s="803"/>
      <c r="S96" s="803"/>
      <c r="T96" s="803"/>
      <c r="U96" s="803"/>
      <c r="V96" s="803"/>
    </row>
    <row r="97" spans="1:26" s="318" customFormat="1" ht="15.75">
      <c r="A97" s="792" t="str">
        <f>A61</f>
        <v>NGÀY​​​​ 01 ĐẾN 15 THÁNG 01 NĂM 2026</v>
      </c>
      <c r="B97" s="792"/>
      <c r="C97" s="792"/>
      <c r="D97" s="792"/>
      <c r="E97" s="792"/>
      <c r="F97" s="792"/>
      <c r="G97" s="792"/>
      <c r="H97" s="792"/>
      <c r="I97" s="792"/>
      <c r="J97" s="792"/>
      <c r="K97" s="792"/>
      <c r="L97" s="792"/>
      <c r="M97" s="792"/>
      <c r="N97" s="792"/>
      <c r="O97" s="792"/>
      <c r="P97" s="792"/>
      <c r="Q97" s="792"/>
      <c r="R97" s="792"/>
      <c r="S97" s="792"/>
      <c r="T97" s="792"/>
      <c r="U97" s="792"/>
      <c r="V97" s="792"/>
    </row>
    <row r="98" spans="1:26" s="318" customFormat="1" ht="16.5" thickBot="1">
      <c r="A98" s="264"/>
      <c r="B98" s="265"/>
      <c r="C98" s="265"/>
      <c r="D98" s="265"/>
      <c r="E98" s="798"/>
      <c r="F98" s="798"/>
      <c r="G98" s="798"/>
      <c r="H98" s="798"/>
      <c r="I98" s="798"/>
      <c r="J98" s="798"/>
      <c r="K98" s="798"/>
      <c r="L98" s="798"/>
      <c r="M98" s="798"/>
      <c r="N98" s="798"/>
      <c r="O98" s="798"/>
      <c r="P98" s="798"/>
      <c r="Q98" s="798"/>
      <c r="R98" s="798"/>
      <c r="S98" s="798"/>
      <c r="T98" s="264"/>
      <c r="U98" s="264"/>
      <c r="V98" s="244"/>
    </row>
    <row r="99" spans="1:26" s="318" customFormat="1" ht="54.75" thickTop="1">
      <c r="A99" s="401" t="s">
        <v>176</v>
      </c>
      <c r="B99" s="840" t="s">
        <v>197</v>
      </c>
      <c r="C99" s="840"/>
      <c r="D99" s="701" t="s">
        <v>198</v>
      </c>
      <c r="E99" s="402">
        <f>E63</f>
        <v>1</v>
      </c>
      <c r="F99" s="402">
        <f t="shared" ref="F99:S99" si="14">F63</f>
        <v>2</v>
      </c>
      <c r="G99" s="402">
        <f t="shared" si="14"/>
        <v>3</v>
      </c>
      <c r="H99" s="402">
        <f t="shared" si="14"/>
        <v>4</v>
      </c>
      <c r="I99" s="402">
        <f t="shared" si="14"/>
        <v>5</v>
      </c>
      <c r="J99" s="402">
        <f t="shared" si="14"/>
        <v>6</v>
      </c>
      <c r="K99" s="402">
        <f t="shared" si="14"/>
        <v>7</v>
      </c>
      <c r="L99" s="402">
        <f t="shared" si="14"/>
        <v>8</v>
      </c>
      <c r="M99" s="402">
        <f t="shared" si="14"/>
        <v>9</v>
      </c>
      <c r="N99" s="402">
        <f t="shared" si="14"/>
        <v>10</v>
      </c>
      <c r="O99" s="402">
        <f t="shared" si="14"/>
        <v>11</v>
      </c>
      <c r="P99" s="402">
        <f t="shared" si="14"/>
        <v>12</v>
      </c>
      <c r="Q99" s="402">
        <f t="shared" si="14"/>
        <v>13</v>
      </c>
      <c r="R99" s="402">
        <f t="shared" si="14"/>
        <v>14</v>
      </c>
      <c r="S99" s="402">
        <f t="shared" si="14"/>
        <v>15</v>
      </c>
      <c r="T99" s="403" t="s">
        <v>275</v>
      </c>
      <c r="U99" s="403" t="s">
        <v>207</v>
      </c>
      <c r="V99" s="404" t="s">
        <v>208</v>
      </c>
    </row>
    <row r="100" spans="1:26" s="318" customFormat="1" ht="30">
      <c r="A100" s="406">
        <v>1</v>
      </c>
      <c r="B100" s="567" t="s">
        <v>68</v>
      </c>
      <c r="C100" s="568" t="s">
        <v>69</v>
      </c>
      <c r="D100" s="310" t="s">
        <v>206</v>
      </c>
      <c r="E100" s="271"/>
      <c r="F100" s="271"/>
      <c r="G100" s="271"/>
      <c r="H100" s="271"/>
      <c r="I100" s="271">
        <v>3255</v>
      </c>
      <c r="J100" s="271">
        <v>2594</v>
      </c>
      <c r="K100" s="728"/>
      <c r="L100" s="271">
        <v>3074</v>
      </c>
      <c r="M100" s="12"/>
      <c r="N100" s="12"/>
      <c r="O100" s="271"/>
      <c r="P100" s="271"/>
      <c r="Q100" s="271"/>
      <c r="R100" s="271"/>
      <c r="S100" s="271"/>
      <c r="T100" s="311">
        <f>ROUND(U100/1000,3)</f>
        <v>8.923</v>
      </c>
      <c r="U100" s="335">
        <f t="shared" ref="U100:U110" si="15">SUM(E100:S100)</f>
        <v>8923</v>
      </c>
      <c r="V100" s="407"/>
      <c r="Y100" s="276">
        <f>ROUND(T100*0.1,2)</f>
        <v>0.89</v>
      </c>
      <c r="Z100" s="727">
        <f>Y100+T100</f>
        <v>9.8130000000000006</v>
      </c>
    </row>
    <row r="101" spans="1:26" s="318" customFormat="1" ht="25.5">
      <c r="A101" s="406">
        <f>+A100+1</f>
        <v>2</v>
      </c>
      <c r="B101" s="570" t="s">
        <v>70</v>
      </c>
      <c r="C101" s="369" t="s">
        <v>71</v>
      </c>
      <c r="D101" s="310" t="s">
        <v>206</v>
      </c>
      <c r="E101" s="271"/>
      <c r="F101" s="271"/>
      <c r="G101" s="271"/>
      <c r="H101" s="271"/>
      <c r="I101" s="271">
        <v>3255</v>
      </c>
      <c r="J101" s="271">
        <v>2594</v>
      </c>
      <c r="K101" s="271">
        <v>3623</v>
      </c>
      <c r="L101" s="271">
        <v>3074</v>
      </c>
      <c r="M101" s="12"/>
      <c r="N101" s="12"/>
      <c r="O101" s="271"/>
      <c r="P101" s="271"/>
      <c r="Q101" s="271"/>
      <c r="R101" s="271"/>
      <c r="S101" s="271"/>
      <c r="T101" s="311">
        <f t="shared" ref="T101:T110" si="16">ROUND(U101/1000,3)</f>
        <v>12.545999999999999</v>
      </c>
      <c r="U101" s="335">
        <f t="shared" si="15"/>
        <v>12546</v>
      </c>
      <c r="V101" s="407"/>
    </row>
    <row r="102" spans="1:26" s="318" customFormat="1" ht="25.5">
      <c r="A102" s="406">
        <f t="shared" ref="A102:A104" si="17">+A101+1</f>
        <v>3</v>
      </c>
      <c r="B102" s="570" t="s">
        <v>78</v>
      </c>
      <c r="C102" s="574" t="s">
        <v>79</v>
      </c>
      <c r="D102" s="310" t="s">
        <v>206</v>
      </c>
      <c r="E102" s="271"/>
      <c r="F102" s="271"/>
      <c r="G102" s="271"/>
      <c r="H102" s="271"/>
      <c r="I102" s="271">
        <v>3255</v>
      </c>
      <c r="J102" s="271">
        <v>2594</v>
      </c>
      <c r="K102" s="271">
        <v>3623</v>
      </c>
      <c r="L102" s="271">
        <v>3074</v>
      </c>
      <c r="M102" s="12"/>
      <c r="N102" s="12"/>
      <c r="O102" s="271"/>
      <c r="P102" s="271"/>
      <c r="Q102" s="271"/>
      <c r="R102" s="271"/>
      <c r="S102" s="271"/>
      <c r="T102" s="311">
        <f t="shared" si="16"/>
        <v>12.545999999999999</v>
      </c>
      <c r="U102" s="335">
        <f t="shared" si="15"/>
        <v>12546</v>
      </c>
      <c r="V102" s="407"/>
    </row>
    <row r="103" spans="1:26" s="318" customFormat="1" ht="25.5">
      <c r="A103" s="406">
        <f t="shared" si="17"/>
        <v>4</v>
      </c>
      <c r="B103" s="570" t="s">
        <v>80</v>
      </c>
      <c r="C103" s="574" t="s">
        <v>81</v>
      </c>
      <c r="D103" s="310" t="s">
        <v>206</v>
      </c>
      <c r="E103" s="271"/>
      <c r="F103" s="271"/>
      <c r="G103" s="271"/>
      <c r="H103" s="271"/>
      <c r="I103" s="728"/>
      <c r="J103" s="728"/>
      <c r="K103" s="271">
        <v>3623</v>
      </c>
      <c r="L103" s="728"/>
      <c r="M103" s="12"/>
      <c r="N103" s="12"/>
      <c r="O103" s="271"/>
      <c r="P103" s="271"/>
      <c r="Q103" s="271"/>
      <c r="R103" s="271"/>
      <c r="S103" s="271"/>
      <c r="T103" s="311">
        <f t="shared" si="16"/>
        <v>3.6230000000000002</v>
      </c>
      <c r="U103" s="335">
        <f t="shared" si="15"/>
        <v>3623</v>
      </c>
      <c r="V103" s="407"/>
    </row>
    <row r="104" spans="1:26" s="318" customFormat="1" ht="23.25">
      <c r="A104" s="406">
        <f t="shared" si="17"/>
        <v>5</v>
      </c>
      <c r="B104" s="578" t="s">
        <v>88</v>
      </c>
      <c r="C104" s="579" t="s">
        <v>89</v>
      </c>
      <c r="D104" s="310" t="s">
        <v>206</v>
      </c>
      <c r="E104" s="271"/>
      <c r="F104" s="271"/>
      <c r="G104" s="271"/>
      <c r="H104" s="271"/>
      <c r="I104" s="271">
        <v>3255</v>
      </c>
      <c r="J104" s="271">
        <v>2594</v>
      </c>
      <c r="K104" s="271">
        <v>3623</v>
      </c>
      <c r="L104" s="271">
        <v>3074</v>
      </c>
      <c r="M104" s="12"/>
      <c r="N104" s="12"/>
      <c r="O104" s="271"/>
      <c r="P104" s="271"/>
      <c r="Q104" s="271"/>
      <c r="R104" s="271"/>
      <c r="S104" s="271"/>
      <c r="T104" s="311">
        <f t="shared" si="16"/>
        <v>12.545999999999999</v>
      </c>
      <c r="U104" s="335">
        <f t="shared" si="15"/>
        <v>12546</v>
      </c>
      <c r="V104" s="407"/>
    </row>
    <row r="105" spans="1:26" s="318" customFormat="1" ht="23.25">
      <c r="A105" s="406">
        <f t="shared" ref="A105:A110" si="18">A104+1</f>
        <v>6</v>
      </c>
      <c r="B105" s="582" t="s">
        <v>94</v>
      </c>
      <c r="C105" s="584" t="s">
        <v>95</v>
      </c>
      <c r="D105" s="310" t="s">
        <v>206</v>
      </c>
      <c r="E105" s="271"/>
      <c r="F105" s="271"/>
      <c r="G105" s="271"/>
      <c r="H105" s="271"/>
      <c r="I105" s="271">
        <v>3255</v>
      </c>
      <c r="J105" s="271">
        <v>2593</v>
      </c>
      <c r="K105" s="271">
        <v>3623</v>
      </c>
      <c r="L105" s="271">
        <v>3074</v>
      </c>
      <c r="M105" s="12"/>
      <c r="N105" s="12"/>
      <c r="O105" s="271"/>
      <c r="P105" s="271"/>
      <c r="Q105" s="271"/>
      <c r="R105" s="271"/>
      <c r="S105" s="271"/>
      <c r="T105" s="311">
        <f t="shared" si="16"/>
        <v>12.545</v>
      </c>
      <c r="U105" s="335">
        <f t="shared" si="15"/>
        <v>12545</v>
      </c>
      <c r="V105" s="407"/>
    </row>
    <row r="106" spans="1:26" s="318" customFormat="1" ht="23.25">
      <c r="A106" s="406">
        <f t="shared" si="18"/>
        <v>7</v>
      </c>
      <c r="B106" s="582" t="s">
        <v>96</v>
      </c>
      <c r="C106" s="584" t="s">
        <v>97</v>
      </c>
      <c r="D106" s="310" t="s">
        <v>206</v>
      </c>
      <c r="E106" s="271"/>
      <c r="F106" s="271"/>
      <c r="G106" s="271"/>
      <c r="H106" s="271"/>
      <c r="I106" s="271">
        <v>3255</v>
      </c>
      <c r="J106" s="271">
        <v>2593</v>
      </c>
      <c r="K106" s="271">
        <v>3623</v>
      </c>
      <c r="L106" s="271">
        <v>3074</v>
      </c>
      <c r="M106" s="12"/>
      <c r="N106" s="12"/>
      <c r="O106" s="271"/>
      <c r="P106" s="271"/>
      <c r="Q106" s="271"/>
      <c r="R106" s="271"/>
      <c r="S106" s="271"/>
      <c r="T106" s="311">
        <f t="shared" si="16"/>
        <v>12.545</v>
      </c>
      <c r="U106" s="335">
        <f t="shared" si="15"/>
        <v>12545</v>
      </c>
      <c r="V106" s="407"/>
    </row>
    <row r="107" spans="1:26" s="318" customFormat="1" ht="23.25">
      <c r="A107" s="406">
        <f t="shared" si="18"/>
        <v>8</v>
      </c>
      <c r="B107" s="582" t="s">
        <v>98</v>
      </c>
      <c r="C107" s="585" t="s">
        <v>99</v>
      </c>
      <c r="D107" s="310" t="s">
        <v>206</v>
      </c>
      <c r="E107" s="271"/>
      <c r="F107" s="271"/>
      <c r="G107" s="271"/>
      <c r="H107" s="271"/>
      <c r="I107" s="271">
        <v>3255</v>
      </c>
      <c r="J107" s="728"/>
      <c r="K107" s="728"/>
      <c r="L107" s="271">
        <v>3074</v>
      </c>
      <c r="M107" s="12"/>
      <c r="N107" s="12"/>
      <c r="O107" s="271"/>
      <c r="P107" s="271"/>
      <c r="Q107" s="271"/>
      <c r="R107" s="271"/>
      <c r="S107" s="271"/>
      <c r="T107" s="311">
        <f t="shared" si="16"/>
        <v>6.3289999999999997</v>
      </c>
      <c r="U107" s="335">
        <f t="shared" si="15"/>
        <v>6329</v>
      </c>
      <c r="V107" s="407"/>
    </row>
    <row r="108" spans="1:26" s="318" customFormat="1" ht="23.25">
      <c r="A108" s="406">
        <f t="shared" si="18"/>
        <v>9</v>
      </c>
      <c r="B108" s="587" t="s">
        <v>278</v>
      </c>
      <c r="C108" s="586" t="s">
        <v>279</v>
      </c>
      <c r="D108" s="310" t="s">
        <v>206</v>
      </c>
      <c r="E108" s="271"/>
      <c r="F108" s="271"/>
      <c r="G108" s="271"/>
      <c r="H108" s="271"/>
      <c r="I108" s="271">
        <v>3254</v>
      </c>
      <c r="J108" s="271">
        <v>2594</v>
      </c>
      <c r="K108" s="271">
        <v>3622</v>
      </c>
      <c r="L108" s="271">
        <v>3074</v>
      </c>
      <c r="M108" s="12"/>
      <c r="N108" s="12"/>
      <c r="O108" s="271"/>
      <c r="P108" s="271"/>
      <c r="Q108" s="271"/>
      <c r="R108" s="271"/>
      <c r="S108" s="271"/>
      <c r="T108" s="311">
        <f t="shared" si="16"/>
        <v>12.544</v>
      </c>
      <c r="U108" s="335">
        <f t="shared" si="15"/>
        <v>12544</v>
      </c>
      <c r="V108" s="407"/>
    </row>
    <row r="109" spans="1:26" s="318" customFormat="1" ht="23.25">
      <c r="A109" s="406">
        <f t="shared" si="18"/>
        <v>10</v>
      </c>
      <c r="B109" s="578" t="s">
        <v>280</v>
      </c>
      <c r="C109" s="586" t="s">
        <v>281</v>
      </c>
      <c r="D109" s="310" t="s">
        <v>206</v>
      </c>
      <c r="E109" s="271"/>
      <c r="F109" s="271"/>
      <c r="G109" s="271"/>
      <c r="H109" s="271"/>
      <c r="I109" s="271">
        <v>1627</v>
      </c>
      <c r="J109" s="728"/>
      <c r="K109" s="728"/>
      <c r="L109" s="728"/>
      <c r="M109" s="12"/>
      <c r="N109" s="12"/>
      <c r="O109" s="271"/>
      <c r="P109" s="271"/>
      <c r="Q109" s="271"/>
      <c r="R109" s="271"/>
      <c r="S109" s="271"/>
      <c r="T109" s="311">
        <f t="shared" si="16"/>
        <v>1.627</v>
      </c>
      <c r="U109" s="335">
        <f t="shared" si="15"/>
        <v>1627</v>
      </c>
      <c r="V109" s="407"/>
    </row>
    <row r="110" spans="1:26" s="318" customFormat="1" ht="23.25">
      <c r="A110" s="406">
        <f t="shared" si="18"/>
        <v>11</v>
      </c>
      <c r="B110" s="567" t="s">
        <v>135</v>
      </c>
      <c r="C110" s="365" t="s">
        <v>136</v>
      </c>
      <c r="D110" s="310" t="s">
        <v>206</v>
      </c>
      <c r="E110" s="271"/>
      <c r="F110" s="271"/>
      <c r="G110" s="271"/>
      <c r="H110" s="271"/>
      <c r="I110" s="728"/>
      <c r="J110" s="271">
        <v>2594</v>
      </c>
      <c r="K110" s="728"/>
      <c r="L110" s="271">
        <v>3074</v>
      </c>
      <c r="M110" s="12"/>
      <c r="N110" s="12"/>
      <c r="O110" s="271"/>
      <c r="P110" s="271"/>
      <c r="Q110" s="271"/>
      <c r="R110" s="271"/>
      <c r="S110" s="271"/>
      <c r="T110" s="311">
        <f t="shared" si="16"/>
        <v>5.6680000000000001</v>
      </c>
      <c r="U110" s="335">
        <f t="shared" si="15"/>
        <v>5668</v>
      </c>
      <c r="V110" s="407"/>
    </row>
    <row r="111" spans="1:26" s="261" customFormat="1" ht="30" thickBot="1">
      <c r="A111" s="408"/>
      <c r="B111" s="841" t="s">
        <v>54</v>
      </c>
      <c r="C111" s="841"/>
      <c r="D111" s="409"/>
      <c r="E111" s="565">
        <f t="shared" ref="E111:U111" si="19">SUM(E100:E110)</f>
        <v>0</v>
      </c>
      <c r="F111" s="565">
        <f t="shared" si="19"/>
        <v>0</v>
      </c>
      <c r="G111" s="565">
        <f t="shared" si="19"/>
        <v>0</v>
      </c>
      <c r="H111" s="565">
        <f t="shared" si="19"/>
        <v>0</v>
      </c>
      <c r="I111" s="565">
        <f t="shared" si="19"/>
        <v>27666</v>
      </c>
      <c r="J111" s="565">
        <f t="shared" si="19"/>
        <v>20750</v>
      </c>
      <c r="K111" s="565">
        <f t="shared" si="19"/>
        <v>25360</v>
      </c>
      <c r="L111" s="565">
        <f t="shared" si="19"/>
        <v>27666</v>
      </c>
      <c r="M111" s="565">
        <f t="shared" si="19"/>
        <v>0</v>
      </c>
      <c r="N111" s="565">
        <f t="shared" si="19"/>
        <v>0</v>
      </c>
      <c r="O111" s="565">
        <f t="shared" si="19"/>
        <v>0</v>
      </c>
      <c r="P111" s="565">
        <f t="shared" si="19"/>
        <v>0</v>
      </c>
      <c r="Q111" s="565">
        <f t="shared" si="19"/>
        <v>0</v>
      </c>
      <c r="R111" s="565">
        <f t="shared" si="19"/>
        <v>0</v>
      </c>
      <c r="S111" s="565">
        <f t="shared" si="19"/>
        <v>0</v>
      </c>
      <c r="T111" s="411">
        <f t="shared" si="19"/>
        <v>101.44199999999999</v>
      </c>
      <c r="U111" s="410">
        <f t="shared" si="19"/>
        <v>101442</v>
      </c>
      <c r="V111" s="412"/>
    </row>
    <row r="112" spans="1:26" s="261" customFormat="1" ht="30" hidden="1" thickTop="1">
      <c r="A112" s="729"/>
      <c r="B112" s="730"/>
      <c r="C112" s="730"/>
      <c r="D112" s="731"/>
      <c r="E112" s="355">
        <f>VLOOKUP(E99,'[3]BKECHITIET TO1 (tp)'!$A$11:$K$25,11)</f>
        <v>0</v>
      </c>
      <c r="F112" s="355">
        <f>VLOOKUP(F99,'[3]BKECHITIET TO1 (tp)'!$A$11:$K$25,11)</f>
        <v>0</v>
      </c>
      <c r="G112" s="355">
        <f>VLOOKUP(G99,'[3]BKECHITIET TO1 (tp)'!$A$11:$K$25,11)</f>
        <v>0</v>
      </c>
      <c r="H112" s="355">
        <f>VLOOKUP(H99,'[3]BKECHITIET TO1 (tp)'!$A$11:$K$25,11)</f>
        <v>0</v>
      </c>
      <c r="I112" s="355">
        <f>VLOOKUP(I99,'[3]BKECHITIET TO1 (tp)'!$A$11:$K$25,11)</f>
        <v>27666</v>
      </c>
      <c r="J112" s="355">
        <f>VLOOKUP(J99,'[3]BKECHITIET TO1 (tp)'!$A$11:$K$25,11)</f>
        <v>20750</v>
      </c>
      <c r="K112" s="355">
        <f>VLOOKUP(K99,'[3]BKECHITIET TO1 (tp)'!$A$11:$K$25,11)</f>
        <v>25360</v>
      </c>
      <c r="L112" s="355">
        <f>VLOOKUP(L99,'[3]BKECHITIET TO1 (tp)'!$A$11:$K$25,11)</f>
        <v>27666</v>
      </c>
      <c r="M112" s="355">
        <f>VLOOKUP(M99,'[3]BKECHITIET TO1 (tp)'!$A$11:$K$25,11)</f>
        <v>0</v>
      </c>
      <c r="N112" s="355">
        <f>VLOOKUP(N99,'[3]BKECHITIET TO1 (tp)'!$A$11:$K$25,11)</f>
        <v>0</v>
      </c>
      <c r="O112" s="355">
        <f>VLOOKUP(O99,'[3]BKECHITIET TO1 (tp)'!$A$11:$K$25,11)</f>
        <v>0</v>
      </c>
      <c r="P112" s="355">
        <f>VLOOKUP(P99,'[3]BKECHITIET TO1 (tp)'!$A$11:$K$25,11)</f>
        <v>0</v>
      </c>
      <c r="Q112" s="355">
        <f>VLOOKUP(Q99,'[3]BKECHITIET TO1 (tp)'!$A$11:$K$25,11)</f>
        <v>0</v>
      </c>
      <c r="R112" s="355">
        <f>VLOOKUP(R99,'[3]BKECHITIET TO1 (tp)'!$A$11:$K$25,11)</f>
        <v>0</v>
      </c>
      <c r="S112" s="355">
        <f>VLOOKUP(S99,'[3]BKECHITIET TO1 (tp)'!$A$11:$K$25,11)</f>
        <v>0</v>
      </c>
      <c r="T112" s="357">
        <f>SUM(E112:S112)</f>
        <v>101442</v>
      </c>
      <c r="U112" s="732"/>
      <c r="V112" s="733"/>
    </row>
    <row r="113" spans="1:22" s="261" customFormat="1" ht="30" hidden="1" thickTop="1">
      <c r="A113" s="729"/>
      <c r="B113" s="730"/>
      <c r="C113" s="730"/>
      <c r="D113" s="731"/>
      <c r="E113" s="360">
        <v>17</v>
      </c>
      <c r="F113" s="360">
        <v>19</v>
      </c>
      <c r="G113" s="360">
        <v>17</v>
      </c>
      <c r="H113" s="360">
        <v>20</v>
      </c>
      <c r="I113" s="360">
        <v>8.5</v>
      </c>
      <c r="J113" s="360">
        <v>8</v>
      </c>
      <c r="K113" s="360">
        <v>7</v>
      </c>
      <c r="L113" s="360">
        <v>9</v>
      </c>
      <c r="M113" s="360">
        <v>0</v>
      </c>
      <c r="N113" s="360">
        <v>0</v>
      </c>
      <c r="O113" s="360">
        <v>22</v>
      </c>
      <c r="P113" s="360">
        <v>18</v>
      </c>
      <c r="Q113" s="360">
        <v>22</v>
      </c>
      <c r="R113" s="360">
        <v>16</v>
      </c>
      <c r="S113" s="360">
        <v>16</v>
      </c>
      <c r="T113" s="361" t="e">
        <f>#REF!-#REF!</f>
        <v>#REF!</v>
      </c>
      <c r="U113" s="732"/>
      <c r="V113" s="733"/>
    </row>
    <row r="114" spans="1:22" s="261" customFormat="1" ht="30" hidden="1" thickTop="1">
      <c r="A114" s="729"/>
      <c r="B114" s="730"/>
      <c r="C114" s="730"/>
      <c r="D114" s="731"/>
      <c r="E114" s="360">
        <f>COUNTIF(E89:E110,"X")+0.5*COUNTIF(E89:E110,"/")</f>
        <v>0</v>
      </c>
      <c r="F114" s="360">
        <f t="shared" ref="F114:H114" si="20">COUNTIF(F89:F110,"X")+0.5*COUNTIF(F89:F110,"/")</f>
        <v>0</v>
      </c>
      <c r="G114" s="360">
        <f t="shared" si="20"/>
        <v>0</v>
      </c>
      <c r="H114" s="360">
        <f t="shared" si="20"/>
        <v>0</v>
      </c>
      <c r="I114" s="360">
        <f>COUNTIF(I89:I110,"Xcv")+0.5*COUNTIF(I89:I110,"/")</f>
        <v>0</v>
      </c>
      <c r="J114" s="360">
        <f t="shared" ref="J114:S114" si="21">COUNTIF(J89:J110,"Xcv")+0.5*COUNTIF(J89:J110,"/")</f>
        <v>0</v>
      </c>
      <c r="K114" s="360">
        <f t="shared" si="21"/>
        <v>0</v>
      </c>
      <c r="L114" s="360">
        <f t="shared" si="21"/>
        <v>0</v>
      </c>
      <c r="M114" s="360">
        <f t="shared" si="21"/>
        <v>0</v>
      </c>
      <c r="N114" s="360">
        <f t="shared" si="21"/>
        <v>0</v>
      </c>
      <c r="O114" s="360">
        <f t="shared" si="21"/>
        <v>0</v>
      </c>
      <c r="P114" s="360">
        <f t="shared" si="21"/>
        <v>0</v>
      </c>
      <c r="Q114" s="360">
        <f t="shared" si="21"/>
        <v>0</v>
      </c>
      <c r="R114" s="360">
        <f t="shared" si="21"/>
        <v>0</v>
      </c>
      <c r="S114" s="360">
        <f t="shared" si="21"/>
        <v>0</v>
      </c>
      <c r="T114" s="360"/>
      <c r="U114" s="732"/>
      <c r="V114" s="733"/>
    </row>
    <row r="115" spans="1:22" s="261" customFormat="1" ht="30" hidden="1" thickTop="1">
      <c r="A115" s="729"/>
      <c r="B115" s="730"/>
      <c r="C115" s="730"/>
      <c r="D115" s="731"/>
      <c r="E115" s="362">
        <f>ROUND(E112/E113,2)</f>
        <v>0</v>
      </c>
      <c r="F115" s="362">
        <f t="shared" ref="F115" si="22">ROUND(F112/F113,2)</f>
        <v>0</v>
      </c>
      <c r="G115" s="362">
        <f>ROUND(G112/G113,2)</f>
        <v>0</v>
      </c>
      <c r="H115" s="362">
        <f t="shared" ref="H115:N115" si="23">ROUND(H112/H113,2)</f>
        <v>0</v>
      </c>
      <c r="I115" s="362">
        <f t="shared" si="23"/>
        <v>3254.82</v>
      </c>
      <c r="J115" s="362">
        <f t="shared" si="23"/>
        <v>2593.75</v>
      </c>
      <c r="K115" s="362">
        <f t="shared" si="23"/>
        <v>3622.86</v>
      </c>
      <c r="L115" s="362">
        <f t="shared" si="23"/>
        <v>3074</v>
      </c>
      <c r="M115" s="362" t="e">
        <f t="shared" si="23"/>
        <v>#DIV/0!</v>
      </c>
      <c r="N115" s="362" t="e">
        <f t="shared" si="23"/>
        <v>#DIV/0!</v>
      </c>
      <c r="O115" s="362">
        <f>ROUND(O112/O113,2)</f>
        <v>0</v>
      </c>
      <c r="P115" s="362">
        <f t="shared" ref="P115:Q115" si="24">ROUND(P112/P113,2)</f>
        <v>0</v>
      </c>
      <c r="Q115" s="362">
        <f t="shared" si="24"/>
        <v>0</v>
      </c>
      <c r="R115" s="362">
        <f>ROUND(R112/R113,2)</f>
        <v>0</v>
      </c>
      <c r="S115" s="363">
        <f>ROUND(S112/S113,2)</f>
        <v>0</v>
      </c>
      <c r="T115" s="362" t="e">
        <f t="shared" ref="T115" si="25">ROUND(T112/T113,2)</f>
        <v>#REF!</v>
      </c>
      <c r="U115" s="732"/>
      <c r="V115" s="733"/>
    </row>
    <row r="116" spans="1:22" s="261" customFormat="1" ht="30" hidden="1" thickTop="1">
      <c r="A116" s="729"/>
      <c r="B116" s="730"/>
      <c r="C116" s="730"/>
      <c r="D116" s="731"/>
      <c r="E116" s="364">
        <f>E111-E112</f>
        <v>0</v>
      </c>
      <c r="F116" s="364">
        <f t="shared" ref="F116:S116" si="26">F111-F112</f>
        <v>0</v>
      </c>
      <c r="G116" s="364">
        <f t="shared" si="26"/>
        <v>0</v>
      </c>
      <c r="H116" s="364">
        <f t="shared" si="26"/>
        <v>0</v>
      </c>
      <c r="I116" s="364">
        <f t="shared" si="26"/>
        <v>0</v>
      </c>
      <c r="J116" s="364">
        <f t="shared" si="26"/>
        <v>0</v>
      </c>
      <c r="K116" s="364">
        <f t="shared" si="26"/>
        <v>0</v>
      </c>
      <c r="L116" s="364">
        <f t="shared" si="26"/>
        <v>0</v>
      </c>
      <c r="M116" s="364">
        <f t="shared" si="26"/>
        <v>0</v>
      </c>
      <c r="N116" s="364">
        <f t="shared" si="26"/>
        <v>0</v>
      </c>
      <c r="O116" s="364">
        <f t="shared" si="26"/>
        <v>0</v>
      </c>
      <c r="P116" s="364">
        <f t="shared" si="26"/>
        <v>0</v>
      </c>
      <c r="Q116" s="364">
        <f t="shared" si="26"/>
        <v>0</v>
      </c>
      <c r="R116" s="364">
        <f t="shared" si="26"/>
        <v>0</v>
      </c>
      <c r="S116" s="364">
        <f t="shared" si="26"/>
        <v>0</v>
      </c>
      <c r="T116" s="363"/>
      <c r="U116" s="732"/>
      <c r="V116" s="733"/>
    </row>
    <row r="117" spans="1:22" s="261" customFormat="1" ht="30" hidden="1" thickTop="1">
      <c r="A117" s="729"/>
      <c r="B117" s="730"/>
      <c r="C117" s="730"/>
      <c r="D117" s="731"/>
      <c r="E117" s="364"/>
      <c r="F117" s="364"/>
      <c r="G117" s="364"/>
      <c r="H117" s="364"/>
      <c r="I117" s="364">
        <f>I115/2</f>
        <v>1627.41</v>
      </c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3"/>
      <c r="U117" s="732"/>
      <c r="V117" s="733"/>
    </row>
    <row r="118" spans="1:22" s="261" customFormat="1" ht="30" thickTop="1">
      <c r="A118" s="729"/>
      <c r="B118" s="730"/>
      <c r="C118" s="730"/>
      <c r="D118" s="731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3"/>
      <c r="U118" s="732"/>
      <c r="V118" s="733"/>
    </row>
    <row r="119" spans="1:22" s="261" customFormat="1" ht="29.25">
      <c r="A119" s="729"/>
      <c r="B119" s="730"/>
      <c r="C119" s="730"/>
      <c r="D119" s="731"/>
      <c r="E119" s="364"/>
      <c r="F119" s="364"/>
      <c r="G119" s="364"/>
      <c r="H119" s="364"/>
      <c r="I119" s="364"/>
      <c r="J119" s="364"/>
      <c r="K119" s="364"/>
      <c r="L119" s="364"/>
      <c r="M119" s="364"/>
      <c r="N119" s="364"/>
      <c r="O119" s="364"/>
      <c r="P119" s="364"/>
      <c r="Q119" s="364"/>
      <c r="R119" s="364"/>
      <c r="S119" s="364"/>
      <c r="T119" s="363"/>
      <c r="U119" s="732"/>
      <c r="V119" s="733"/>
    </row>
    <row r="120" spans="1:22" s="261" customFormat="1" ht="29.25">
      <c r="A120" s="729"/>
      <c r="B120" s="730"/>
      <c r="C120" s="730"/>
      <c r="D120" s="731"/>
      <c r="E120" s="364"/>
      <c r="F120" s="364"/>
      <c r="G120" s="364"/>
      <c r="H120" s="364"/>
      <c r="I120" s="364"/>
      <c r="J120" s="364"/>
      <c r="K120" s="364"/>
      <c r="L120" s="364"/>
      <c r="M120" s="364"/>
      <c r="N120" s="364"/>
      <c r="O120" s="364"/>
      <c r="P120" s="364"/>
      <c r="Q120" s="364"/>
      <c r="R120" s="364"/>
      <c r="S120" s="364"/>
      <c r="T120" s="363"/>
      <c r="U120" s="732"/>
      <c r="V120" s="733"/>
    </row>
    <row r="121" spans="1:22" s="261" customFormat="1" ht="29.25">
      <c r="A121" s="729"/>
      <c r="B121" s="730"/>
      <c r="C121" s="730"/>
      <c r="D121" s="731"/>
      <c r="E121" s="364"/>
      <c r="F121" s="364"/>
      <c r="G121" s="364"/>
      <c r="H121" s="364"/>
      <c r="I121" s="364"/>
      <c r="J121" s="364"/>
      <c r="K121" s="364"/>
      <c r="L121" s="364"/>
      <c r="M121" s="364"/>
      <c r="N121" s="364"/>
      <c r="O121" s="364"/>
      <c r="P121" s="364"/>
      <c r="Q121" s="364"/>
      <c r="R121" s="364"/>
      <c r="S121" s="364"/>
      <c r="T121" s="363"/>
      <c r="U121" s="732"/>
      <c r="V121" s="733"/>
    </row>
    <row r="122" spans="1:22" s="261" customFormat="1" ht="29.25">
      <c r="A122" s="729"/>
      <c r="B122" s="730"/>
      <c r="C122" s="730"/>
      <c r="D122" s="731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4"/>
      <c r="P122" s="364"/>
      <c r="Q122" s="364"/>
      <c r="R122" s="364"/>
      <c r="S122" s="364"/>
      <c r="T122" s="363"/>
      <c r="U122" s="732"/>
      <c r="V122" s="733"/>
    </row>
    <row r="123" spans="1:22" s="261" customFormat="1" ht="29.25">
      <c r="A123" s="729"/>
      <c r="B123" s="730"/>
      <c r="C123" s="730"/>
      <c r="D123" s="731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4"/>
      <c r="P123" s="364"/>
      <c r="Q123" s="364"/>
      <c r="R123" s="364"/>
      <c r="S123" s="364"/>
      <c r="T123" s="363"/>
      <c r="U123" s="732"/>
      <c r="V123" s="733"/>
    </row>
    <row r="124" spans="1:22" s="261" customFormat="1" ht="29.25">
      <c r="A124" s="729"/>
      <c r="B124" s="730"/>
      <c r="C124" s="730"/>
      <c r="D124" s="731"/>
      <c r="E124" s="364"/>
      <c r="F124" s="364"/>
      <c r="G124" s="364"/>
      <c r="H124" s="364"/>
      <c r="I124" s="364"/>
      <c r="J124" s="364"/>
      <c r="K124" s="364"/>
      <c r="L124" s="364"/>
      <c r="M124" s="364"/>
      <c r="N124" s="364"/>
      <c r="O124" s="364"/>
      <c r="P124" s="364"/>
      <c r="Q124" s="364"/>
      <c r="R124" s="364"/>
      <c r="S124" s="364"/>
      <c r="T124" s="363"/>
      <c r="U124" s="732"/>
      <c r="V124" s="733"/>
    </row>
    <row r="125" spans="1:22" s="261" customFormat="1" ht="29.25">
      <c r="A125" s="729"/>
      <c r="B125" s="730"/>
      <c r="C125" s="730"/>
      <c r="D125" s="731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4"/>
      <c r="P125" s="364"/>
      <c r="Q125" s="364"/>
      <c r="R125" s="364"/>
      <c r="S125" s="364"/>
      <c r="T125" s="363"/>
      <c r="U125" s="732"/>
      <c r="V125" s="733"/>
    </row>
    <row r="126" spans="1:22" s="261" customFormat="1" ht="25.5">
      <c r="A126" s="789" t="s">
        <v>0</v>
      </c>
      <c r="B126" s="789"/>
      <c r="C126" s="789"/>
      <c r="D126" s="789"/>
      <c r="E126" s="789"/>
      <c r="F126" s="260"/>
      <c r="G126" s="260"/>
      <c r="H126" s="260"/>
      <c r="I126" s="244"/>
      <c r="J126" s="244"/>
      <c r="K126" s="244"/>
      <c r="T126" s="790"/>
      <c r="U126" s="790"/>
      <c r="V126" s="244"/>
    </row>
    <row r="127" spans="1:22" s="261" customFormat="1" ht="15.75">
      <c r="A127" s="828" t="s">
        <v>194</v>
      </c>
      <c r="B127" s="828"/>
      <c r="C127" s="828"/>
      <c r="D127" s="828"/>
      <c r="E127" s="828"/>
      <c r="F127" s="260"/>
      <c r="G127" s="260"/>
      <c r="H127" s="260"/>
      <c r="I127" s="244"/>
      <c r="J127" s="244"/>
      <c r="K127" s="244"/>
      <c r="T127" s="792"/>
      <c r="U127" s="792"/>
      <c r="V127" s="244"/>
    </row>
    <row r="128" spans="1:22" s="261" customFormat="1" ht="25.5">
      <c r="A128" s="789" t="s">
        <v>4</v>
      </c>
      <c r="B128" s="789"/>
      <c r="C128" s="789"/>
      <c r="D128" s="789"/>
      <c r="E128" s="789"/>
      <c r="F128" s="260"/>
      <c r="G128" s="260"/>
      <c r="H128" s="260"/>
      <c r="I128" s="244"/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790"/>
      <c r="U128" s="790"/>
      <c r="V128" s="244"/>
    </row>
    <row r="129" spans="1:26" s="261" customFormat="1" ht="15.75">
      <c r="A129" s="830" t="s">
        <v>6</v>
      </c>
      <c r="B129" s="830"/>
      <c r="C129" s="830"/>
      <c r="D129" s="830"/>
      <c r="E129" s="830"/>
      <c r="F129" s="260"/>
      <c r="G129" s="260"/>
      <c r="H129" s="260"/>
      <c r="I129" s="244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795"/>
      <c r="U129" s="795"/>
      <c r="V129" s="244"/>
    </row>
    <row r="130" spans="1:26" s="261" customFormat="1" ht="34.5" customHeight="1">
      <c r="A130" s="832" t="s">
        <v>353</v>
      </c>
      <c r="B130" s="833"/>
      <c r="C130" s="833"/>
      <c r="D130" s="833"/>
      <c r="E130" s="833"/>
      <c r="F130" s="833"/>
      <c r="G130" s="833"/>
      <c r="H130" s="833"/>
      <c r="I130" s="833"/>
      <c r="J130" s="833"/>
      <c r="K130" s="833"/>
      <c r="L130" s="833"/>
      <c r="M130" s="833"/>
      <c r="N130" s="833"/>
      <c r="O130" s="833"/>
      <c r="P130" s="833"/>
      <c r="Q130" s="833"/>
      <c r="R130" s="833"/>
      <c r="S130" s="833"/>
      <c r="T130" s="833"/>
      <c r="U130" s="833"/>
      <c r="V130" s="833"/>
    </row>
    <row r="131" spans="1:26" s="261" customFormat="1" ht="34.5" customHeight="1">
      <c r="A131" s="832" t="str">
        <f>A95</f>
        <v xml:space="preserve">ថ្ងៃ  ០១-១៥ ខែ ០១ ឆ្នាំ ២០២៦ </v>
      </c>
      <c r="B131" s="833"/>
      <c r="C131" s="833"/>
      <c r="D131" s="833"/>
      <c r="E131" s="833"/>
      <c r="F131" s="833"/>
      <c r="G131" s="833"/>
      <c r="H131" s="833"/>
      <c r="I131" s="833"/>
      <c r="J131" s="833"/>
      <c r="K131" s="833"/>
      <c r="L131" s="833"/>
      <c r="M131" s="833"/>
      <c r="N131" s="833"/>
      <c r="O131" s="833"/>
      <c r="P131" s="833"/>
      <c r="Q131" s="833"/>
      <c r="R131" s="833"/>
      <c r="S131" s="833"/>
      <c r="T131" s="833"/>
      <c r="U131" s="833"/>
      <c r="V131" s="833"/>
    </row>
    <row r="132" spans="1:26" s="261" customFormat="1" ht="18.75">
      <c r="A132" s="803" t="s">
        <v>354</v>
      </c>
      <c r="B132" s="803"/>
      <c r="C132" s="803"/>
      <c r="D132" s="803"/>
      <c r="E132" s="803"/>
      <c r="F132" s="803"/>
      <c r="G132" s="803"/>
      <c r="H132" s="803"/>
      <c r="I132" s="803"/>
      <c r="J132" s="803"/>
      <c r="K132" s="803"/>
      <c r="L132" s="803"/>
      <c r="M132" s="803"/>
      <c r="N132" s="803"/>
      <c r="O132" s="803"/>
      <c r="P132" s="803"/>
      <c r="Q132" s="803"/>
      <c r="R132" s="803"/>
      <c r="S132" s="803"/>
      <c r="T132" s="803"/>
      <c r="U132" s="803"/>
      <c r="V132" s="803"/>
    </row>
    <row r="133" spans="1:26" s="261" customFormat="1" ht="15.75">
      <c r="A133" s="792" t="str">
        <f>A97</f>
        <v>NGÀY​​​​ 01 ĐẾN 15 THÁNG 01 NĂM 2026</v>
      </c>
      <c r="B133" s="792"/>
      <c r="C133" s="792"/>
      <c r="D133" s="792"/>
      <c r="E133" s="792"/>
      <c r="F133" s="792"/>
      <c r="G133" s="792"/>
      <c r="H133" s="792"/>
      <c r="I133" s="792"/>
      <c r="J133" s="792"/>
      <c r="K133" s="792"/>
      <c r="L133" s="792"/>
      <c r="M133" s="792"/>
      <c r="N133" s="792"/>
      <c r="O133" s="792"/>
      <c r="P133" s="792"/>
      <c r="Q133" s="792"/>
      <c r="R133" s="792"/>
      <c r="S133" s="792"/>
      <c r="T133" s="792"/>
      <c r="U133" s="792"/>
      <c r="V133" s="792"/>
    </row>
    <row r="134" spans="1:26" s="261" customFormat="1" ht="15.75">
      <c r="A134" s="264"/>
      <c r="B134" s="265"/>
      <c r="C134" s="265"/>
      <c r="D134" s="265"/>
      <c r="E134" s="798"/>
      <c r="F134" s="798"/>
      <c r="G134" s="798"/>
      <c r="H134" s="798"/>
      <c r="I134" s="798"/>
      <c r="J134" s="798"/>
      <c r="K134" s="798"/>
      <c r="L134" s="798"/>
      <c r="M134" s="798"/>
      <c r="N134" s="798"/>
      <c r="O134" s="798"/>
      <c r="P134" s="798"/>
      <c r="Q134" s="798"/>
      <c r="R134" s="798"/>
      <c r="S134" s="798"/>
      <c r="T134" s="264"/>
      <c r="U134" s="264"/>
      <c r="V134" s="244"/>
    </row>
    <row r="135" spans="1:26" s="261" customFormat="1" ht="51.75" customHeight="1">
      <c r="A135" s="700" t="s">
        <v>176</v>
      </c>
      <c r="B135" s="837" t="s">
        <v>197</v>
      </c>
      <c r="C135" s="837"/>
      <c r="D135" s="700" t="s">
        <v>198</v>
      </c>
      <c r="E135" s="308">
        <f>E99</f>
        <v>1</v>
      </c>
      <c r="F135" s="308">
        <f>E135+1</f>
        <v>2</v>
      </c>
      <c r="G135" s="308">
        <f t="shared" ref="G135:H135" si="27">F135+1</f>
        <v>3</v>
      </c>
      <c r="H135" s="308">
        <f t="shared" si="27"/>
        <v>4</v>
      </c>
      <c r="I135" s="308">
        <f>H135+1</f>
        <v>5</v>
      </c>
      <c r="J135" s="308">
        <f t="shared" ref="J135:Q135" si="28">I135+1</f>
        <v>6</v>
      </c>
      <c r="K135" s="308">
        <f t="shared" si="28"/>
        <v>7</v>
      </c>
      <c r="L135" s="308">
        <f t="shared" si="28"/>
        <v>8</v>
      </c>
      <c r="M135" s="308">
        <f t="shared" si="28"/>
        <v>9</v>
      </c>
      <c r="N135" s="308">
        <f t="shared" si="28"/>
        <v>10</v>
      </c>
      <c r="O135" s="308">
        <f t="shared" si="28"/>
        <v>11</v>
      </c>
      <c r="P135" s="308">
        <f t="shared" si="28"/>
        <v>12</v>
      </c>
      <c r="Q135" s="308">
        <f t="shared" si="28"/>
        <v>13</v>
      </c>
      <c r="R135" s="308">
        <f>Q135+1</f>
        <v>14</v>
      </c>
      <c r="S135" s="308">
        <f>R135+1</f>
        <v>15</v>
      </c>
      <c r="T135" s="309" t="s">
        <v>274</v>
      </c>
      <c r="U135" s="309" t="s">
        <v>199</v>
      </c>
      <c r="V135" s="266" t="s">
        <v>205</v>
      </c>
    </row>
    <row r="136" spans="1:26" s="261" customFormat="1" ht="23.25">
      <c r="A136" s="267">
        <v>1</v>
      </c>
      <c r="B136" s="567" t="s">
        <v>131</v>
      </c>
      <c r="C136" s="734" t="s">
        <v>132</v>
      </c>
      <c r="D136" s="601" t="s">
        <v>201</v>
      </c>
      <c r="E136" s="271"/>
      <c r="F136" s="271"/>
      <c r="G136" s="271"/>
      <c r="H136" s="271"/>
      <c r="I136" s="12"/>
      <c r="J136" s="271">
        <v>3074</v>
      </c>
      <c r="K136" s="271">
        <v>3747</v>
      </c>
      <c r="L136" s="271">
        <v>4034</v>
      </c>
      <c r="M136" s="12"/>
      <c r="N136" s="271"/>
      <c r="O136" s="271"/>
      <c r="P136" s="271"/>
      <c r="Q136" s="271"/>
      <c r="R136" s="271"/>
      <c r="S136" s="271"/>
      <c r="T136" s="366">
        <f>ROUND(U136/1000,3)</f>
        <v>10.855</v>
      </c>
      <c r="U136" s="367">
        <f t="shared" ref="U136:U148" si="29">SUM(E136:S136)</f>
        <v>10855</v>
      </c>
      <c r="V136" s="602"/>
      <c r="Y136" s="276">
        <f>ROUND(T136*0.1,2)</f>
        <v>1.0900000000000001</v>
      </c>
      <c r="Z136" s="727">
        <f>Y136+T136</f>
        <v>11.945</v>
      </c>
    </row>
    <row r="137" spans="1:26" s="261" customFormat="1" ht="23.25">
      <c r="A137" s="267">
        <f>+A136+1</f>
        <v>2</v>
      </c>
      <c r="B137" s="567" t="s">
        <v>137</v>
      </c>
      <c r="C137" s="365" t="s">
        <v>138</v>
      </c>
      <c r="D137" s="601" t="s">
        <v>201</v>
      </c>
      <c r="E137" s="271"/>
      <c r="F137" s="271"/>
      <c r="G137" s="271"/>
      <c r="H137" s="271"/>
      <c r="I137" s="12"/>
      <c r="J137" s="271">
        <v>3074</v>
      </c>
      <c r="K137" s="12"/>
      <c r="L137" s="12"/>
      <c r="M137" s="12"/>
      <c r="N137" s="271"/>
      <c r="O137" s="271"/>
      <c r="P137" s="271"/>
      <c r="Q137" s="271"/>
      <c r="R137" s="271"/>
      <c r="S137" s="271"/>
      <c r="T137" s="366">
        <f t="shared" ref="T137:T148" si="30">ROUND(U137/1000,3)</f>
        <v>3.0739999999999998</v>
      </c>
      <c r="U137" s="367">
        <f t="shared" si="29"/>
        <v>3074</v>
      </c>
      <c r="V137" s="602"/>
    </row>
    <row r="138" spans="1:26" s="261" customFormat="1" ht="23.25">
      <c r="A138" s="267">
        <f t="shared" ref="A138:A148" si="31">+A137+1</f>
        <v>3</v>
      </c>
      <c r="B138" s="567" t="s">
        <v>141</v>
      </c>
      <c r="C138" s="365" t="s">
        <v>142</v>
      </c>
      <c r="D138" s="601" t="s">
        <v>201</v>
      </c>
      <c r="E138" s="271"/>
      <c r="F138" s="271"/>
      <c r="G138" s="271"/>
      <c r="H138" s="271"/>
      <c r="I138" s="12"/>
      <c r="J138" s="271">
        <v>3074</v>
      </c>
      <c r="K138" s="271">
        <v>3747</v>
      </c>
      <c r="L138" s="12"/>
      <c r="M138" s="12"/>
      <c r="N138" s="271"/>
      <c r="O138" s="271"/>
      <c r="P138" s="271"/>
      <c r="Q138" s="271"/>
      <c r="R138" s="271"/>
      <c r="S138" s="271"/>
      <c r="T138" s="366">
        <f t="shared" si="30"/>
        <v>6.8209999999999997</v>
      </c>
      <c r="U138" s="367">
        <f t="shared" si="29"/>
        <v>6821</v>
      </c>
      <c r="V138" s="602"/>
    </row>
    <row r="139" spans="1:26" s="261" customFormat="1" ht="23.25">
      <c r="A139" s="267">
        <f t="shared" si="31"/>
        <v>4</v>
      </c>
      <c r="B139" s="567" t="s">
        <v>143</v>
      </c>
      <c r="C139" s="365" t="s">
        <v>144</v>
      </c>
      <c r="D139" s="601" t="s">
        <v>201</v>
      </c>
      <c r="E139" s="271"/>
      <c r="F139" s="271"/>
      <c r="G139" s="271"/>
      <c r="H139" s="271"/>
      <c r="I139" s="12"/>
      <c r="J139" s="271">
        <v>3074</v>
      </c>
      <c r="K139" s="271">
        <v>3747</v>
      </c>
      <c r="L139" s="271">
        <v>4034</v>
      </c>
      <c r="M139" s="12"/>
      <c r="N139" s="271"/>
      <c r="O139" s="271"/>
      <c r="P139" s="271"/>
      <c r="Q139" s="271"/>
      <c r="R139" s="271"/>
      <c r="S139" s="271"/>
      <c r="T139" s="366">
        <f t="shared" si="30"/>
        <v>10.855</v>
      </c>
      <c r="U139" s="367">
        <f t="shared" si="29"/>
        <v>10855</v>
      </c>
      <c r="V139" s="602"/>
    </row>
    <row r="140" spans="1:26" s="261" customFormat="1" ht="23.25">
      <c r="A140" s="267">
        <f t="shared" si="31"/>
        <v>5</v>
      </c>
      <c r="B140" s="567" t="s">
        <v>145</v>
      </c>
      <c r="C140" s="365" t="s">
        <v>146</v>
      </c>
      <c r="D140" s="601" t="s">
        <v>201</v>
      </c>
      <c r="E140" s="271"/>
      <c r="F140" s="271"/>
      <c r="G140" s="271"/>
      <c r="H140" s="271"/>
      <c r="I140" s="12"/>
      <c r="J140" s="271">
        <v>3074</v>
      </c>
      <c r="K140" s="271">
        <v>3747</v>
      </c>
      <c r="L140" s="12"/>
      <c r="M140" s="12"/>
      <c r="N140" s="271"/>
      <c r="O140" s="271"/>
      <c r="P140" s="271"/>
      <c r="Q140" s="271"/>
      <c r="R140" s="271"/>
      <c r="S140" s="271"/>
      <c r="T140" s="366">
        <f t="shared" si="30"/>
        <v>6.8209999999999997</v>
      </c>
      <c r="U140" s="367">
        <f t="shared" si="29"/>
        <v>6821</v>
      </c>
      <c r="V140" s="602"/>
    </row>
    <row r="141" spans="1:26" s="261" customFormat="1" ht="21">
      <c r="A141" s="267">
        <f t="shared" si="31"/>
        <v>6</v>
      </c>
      <c r="B141" s="580" t="s">
        <v>147</v>
      </c>
      <c r="C141" s="338" t="s">
        <v>148</v>
      </c>
      <c r="D141" s="601" t="s">
        <v>201</v>
      </c>
      <c r="E141" s="271"/>
      <c r="F141" s="271"/>
      <c r="G141" s="271"/>
      <c r="H141" s="271"/>
      <c r="I141" s="12"/>
      <c r="J141" s="271">
        <v>3074</v>
      </c>
      <c r="K141" s="271">
        <v>3746</v>
      </c>
      <c r="L141" s="271">
        <v>4035</v>
      </c>
      <c r="M141" s="12"/>
      <c r="N141" s="271"/>
      <c r="O141" s="271"/>
      <c r="P141" s="271"/>
      <c r="Q141" s="271"/>
      <c r="R141" s="271"/>
      <c r="S141" s="271"/>
      <c r="T141" s="366">
        <f t="shared" si="30"/>
        <v>10.855</v>
      </c>
      <c r="U141" s="367">
        <f t="shared" si="29"/>
        <v>10855</v>
      </c>
      <c r="V141" s="602"/>
    </row>
    <row r="142" spans="1:26" s="261" customFormat="1" ht="23.25">
      <c r="A142" s="267">
        <f t="shared" si="31"/>
        <v>7</v>
      </c>
      <c r="B142" s="567" t="s">
        <v>149</v>
      </c>
      <c r="C142" s="365" t="s">
        <v>150</v>
      </c>
      <c r="D142" s="601" t="s">
        <v>201</v>
      </c>
      <c r="E142" s="271"/>
      <c r="F142" s="271"/>
      <c r="G142" s="271"/>
      <c r="H142" s="271"/>
      <c r="I142" s="12"/>
      <c r="J142" s="12"/>
      <c r="K142" s="12"/>
      <c r="L142" s="271">
        <v>4035</v>
      </c>
      <c r="M142" s="12"/>
      <c r="N142" s="271"/>
      <c r="O142" s="271"/>
      <c r="P142" s="271"/>
      <c r="Q142" s="271"/>
      <c r="R142" s="271"/>
      <c r="S142" s="271"/>
      <c r="T142" s="366">
        <f t="shared" si="30"/>
        <v>4.0350000000000001</v>
      </c>
      <c r="U142" s="367">
        <f t="shared" si="29"/>
        <v>4035</v>
      </c>
      <c r="V142" s="602"/>
    </row>
    <row r="143" spans="1:26" s="261" customFormat="1" ht="23.25">
      <c r="A143" s="267">
        <f t="shared" si="31"/>
        <v>8</v>
      </c>
      <c r="B143" s="603" t="s">
        <v>153</v>
      </c>
      <c r="C143" s="585" t="s">
        <v>154</v>
      </c>
      <c r="D143" s="601" t="s">
        <v>201</v>
      </c>
      <c r="E143" s="271"/>
      <c r="F143" s="271"/>
      <c r="G143" s="271"/>
      <c r="H143" s="271"/>
      <c r="I143" s="12"/>
      <c r="J143" s="12"/>
      <c r="K143" s="12"/>
      <c r="L143" s="271">
        <v>4035</v>
      </c>
      <c r="M143" s="12"/>
      <c r="N143" s="271"/>
      <c r="O143" s="271"/>
      <c r="P143" s="271"/>
      <c r="Q143" s="271"/>
      <c r="R143" s="271"/>
      <c r="S143" s="271"/>
      <c r="T143" s="366">
        <f t="shared" si="30"/>
        <v>4.0350000000000001</v>
      </c>
      <c r="U143" s="367">
        <f t="shared" si="29"/>
        <v>4035</v>
      </c>
      <c r="V143" s="602"/>
    </row>
    <row r="144" spans="1:26" s="261" customFormat="1" ht="23.25">
      <c r="A144" s="267">
        <f t="shared" si="31"/>
        <v>9</v>
      </c>
      <c r="B144" s="603" t="s">
        <v>155</v>
      </c>
      <c r="C144" s="585" t="s">
        <v>156</v>
      </c>
      <c r="D144" s="601" t="s">
        <v>201</v>
      </c>
      <c r="E144" s="271"/>
      <c r="F144" s="271"/>
      <c r="G144" s="271"/>
      <c r="H144" s="271"/>
      <c r="I144" s="12"/>
      <c r="J144" s="12"/>
      <c r="K144" s="12"/>
      <c r="L144" s="271">
        <v>4035</v>
      </c>
      <c r="M144" s="12"/>
      <c r="N144" s="271"/>
      <c r="O144" s="271"/>
      <c r="P144" s="271"/>
      <c r="Q144" s="271"/>
      <c r="R144" s="271"/>
      <c r="S144" s="271"/>
      <c r="T144" s="366">
        <f t="shared" si="30"/>
        <v>4.0350000000000001</v>
      </c>
      <c r="U144" s="367">
        <f t="shared" si="29"/>
        <v>4035</v>
      </c>
      <c r="V144" s="602"/>
    </row>
    <row r="145" spans="1:22" s="261" customFormat="1" ht="23.25">
      <c r="A145" s="267">
        <f t="shared" si="31"/>
        <v>10</v>
      </c>
      <c r="B145" s="603" t="s">
        <v>157</v>
      </c>
      <c r="C145" s="585" t="s">
        <v>158</v>
      </c>
      <c r="D145" s="601" t="s">
        <v>201</v>
      </c>
      <c r="E145" s="271"/>
      <c r="F145" s="271"/>
      <c r="G145" s="271"/>
      <c r="H145" s="271"/>
      <c r="I145" s="12"/>
      <c r="J145" s="271">
        <v>3074</v>
      </c>
      <c r="K145" s="271">
        <v>3746</v>
      </c>
      <c r="L145" s="12"/>
      <c r="M145" s="12"/>
      <c r="N145" s="271"/>
      <c r="O145" s="271"/>
      <c r="P145" s="271"/>
      <c r="Q145" s="271"/>
      <c r="R145" s="271"/>
      <c r="S145" s="271"/>
      <c r="T145" s="366">
        <f t="shared" si="30"/>
        <v>6.82</v>
      </c>
      <c r="U145" s="367">
        <f t="shared" si="29"/>
        <v>6820</v>
      </c>
      <c r="V145" s="602"/>
    </row>
    <row r="146" spans="1:22" s="261" customFormat="1" ht="23.25">
      <c r="A146" s="267">
        <f t="shared" si="31"/>
        <v>11</v>
      </c>
      <c r="B146" s="603" t="s">
        <v>282</v>
      </c>
      <c r="C146" s="459" t="s">
        <v>283</v>
      </c>
      <c r="D146" s="601" t="s">
        <v>201</v>
      </c>
      <c r="E146" s="271"/>
      <c r="F146" s="271"/>
      <c r="G146" s="271"/>
      <c r="H146" s="271"/>
      <c r="I146" s="12"/>
      <c r="J146" s="271">
        <v>3074</v>
      </c>
      <c r="K146" s="271">
        <v>3746</v>
      </c>
      <c r="L146" s="12"/>
      <c r="M146" s="12"/>
      <c r="N146" s="271"/>
      <c r="O146" s="271"/>
      <c r="P146" s="271"/>
      <c r="Q146" s="271"/>
      <c r="R146" s="271"/>
      <c r="S146" s="271"/>
      <c r="T146" s="366">
        <f t="shared" si="30"/>
        <v>6.82</v>
      </c>
      <c r="U146" s="367">
        <f t="shared" si="29"/>
        <v>6820</v>
      </c>
      <c r="V146" s="602"/>
    </row>
    <row r="147" spans="1:22" s="261" customFormat="1" ht="23.25">
      <c r="A147" s="267">
        <f t="shared" si="31"/>
        <v>12</v>
      </c>
      <c r="B147" s="603" t="s">
        <v>284</v>
      </c>
      <c r="C147" s="604" t="s">
        <v>285</v>
      </c>
      <c r="D147" s="601" t="s">
        <v>201</v>
      </c>
      <c r="E147" s="271"/>
      <c r="F147" s="271"/>
      <c r="G147" s="271"/>
      <c r="H147" s="271"/>
      <c r="I147" s="12"/>
      <c r="J147" s="271">
        <v>3074</v>
      </c>
      <c r="K147" s="271">
        <v>3746</v>
      </c>
      <c r="L147" s="271">
        <v>4035</v>
      </c>
      <c r="M147" s="12"/>
      <c r="N147" s="271"/>
      <c r="O147" s="271"/>
      <c r="P147" s="271"/>
      <c r="Q147" s="271"/>
      <c r="R147" s="271"/>
      <c r="S147" s="271"/>
      <c r="T147" s="366">
        <f t="shared" si="30"/>
        <v>10.855</v>
      </c>
      <c r="U147" s="367">
        <f t="shared" si="29"/>
        <v>10855</v>
      </c>
      <c r="V147" s="602"/>
    </row>
    <row r="148" spans="1:22" s="261" customFormat="1" ht="23.25">
      <c r="A148" s="267">
        <f t="shared" si="31"/>
        <v>13</v>
      </c>
      <c r="B148" s="603" t="s">
        <v>325</v>
      </c>
      <c r="C148" s="459" t="s">
        <v>326</v>
      </c>
      <c r="D148" s="601" t="s">
        <v>201</v>
      </c>
      <c r="E148" s="271"/>
      <c r="F148" s="271"/>
      <c r="G148" s="271"/>
      <c r="H148" s="271"/>
      <c r="I148" s="12"/>
      <c r="J148" s="728"/>
      <c r="K148" s="728"/>
      <c r="L148" s="271">
        <v>4034</v>
      </c>
      <c r="M148" s="12"/>
      <c r="N148" s="271"/>
      <c r="O148" s="271"/>
      <c r="P148" s="271"/>
      <c r="Q148" s="271"/>
      <c r="R148" s="271"/>
      <c r="S148" s="271"/>
      <c r="T148" s="366">
        <f t="shared" si="30"/>
        <v>4.0339999999999998</v>
      </c>
      <c r="U148" s="367">
        <f t="shared" si="29"/>
        <v>4034</v>
      </c>
      <c r="V148" s="602"/>
    </row>
    <row r="149" spans="1:22" s="261" customFormat="1" ht="15.75">
      <c r="A149" s="605"/>
      <c r="B149" s="842" t="s">
        <v>203</v>
      </c>
      <c r="C149" s="843"/>
      <c r="D149" s="605"/>
      <c r="E149" s="606">
        <f>SUM(E136:E147)</f>
        <v>0</v>
      </c>
      <c r="F149" s="606">
        <f>SUM(F136:F147)</f>
        <v>0</v>
      </c>
      <c r="G149" s="606">
        <f>SUM(G136:G147)</f>
        <v>0</v>
      </c>
      <c r="H149" s="606">
        <f>SUM(H136:H147)</f>
        <v>0</v>
      </c>
      <c r="I149" s="606">
        <f>SUM(I136:I147)</f>
        <v>0</v>
      </c>
      <c r="J149" s="606">
        <f>SUM(J136:J148)</f>
        <v>27666</v>
      </c>
      <c r="K149" s="606">
        <f t="shared" ref="K149:U149" si="32">SUM(K136:K148)</f>
        <v>29972</v>
      </c>
      <c r="L149" s="606">
        <f t="shared" si="32"/>
        <v>32277</v>
      </c>
      <c r="M149" s="606">
        <f t="shared" si="32"/>
        <v>0</v>
      </c>
      <c r="N149" s="606">
        <f t="shared" si="32"/>
        <v>0</v>
      </c>
      <c r="O149" s="606">
        <f t="shared" si="32"/>
        <v>0</v>
      </c>
      <c r="P149" s="606">
        <f t="shared" si="32"/>
        <v>0</v>
      </c>
      <c r="Q149" s="606">
        <f t="shared" si="32"/>
        <v>0</v>
      </c>
      <c r="R149" s="606">
        <f t="shared" si="32"/>
        <v>0</v>
      </c>
      <c r="S149" s="606">
        <f t="shared" si="32"/>
        <v>0</v>
      </c>
      <c r="T149" s="607">
        <f t="shared" si="32"/>
        <v>89.914999999999992</v>
      </c>
      <c r="U149" s="606">
        <f t="shared" si="32"/>
        <v>89915</v>
      </c>
      <c r="V149" s="605"/>
    </row>
    <row r="150" spans="1:22" s="261" customFormat="1" ht="15.75" hidden="1">
      <c r="A150" s="318"/>
      <c r="B150" s="318"/>
      <c r="C150" s="318"/>
      <c r="D150" s="318"/>
      <c r="E150" s="372">
        <f>VLOOKUP(E135,'[3]BKECHITIET TO2 (TP)'!$A$11:$K$25,11)</f>
        <v>0</v>
      </c>
      <c r="F150" s="372">
        <f>VLOOKUP(F135,'[3]BKECHITIET TO2 (TP)'!$A$11:$K$25,11)</f>
        <v>0</v>
      </c>
      <c r="G150" s="372">
        <f>VLOOKUP(G135,'[3]BKECHITIET TO2 (TP)'!$A$11:$K$25,11)</f>
        <v>0</v>
      </c>
      <c r="H150" s="372">
        <f>VLOOKUP(H135,'[3]BKECHITIET TO2 (TP)'!$A$11:$K$25,11)</f>
        <v>0</v>
      </c>
      <c r="I150" s="372">
        <f>VLOOKUP(I135,'[3]BKECHITIET TO2 (TP)'!$A$11:$K$25,11)</f>
        <v>0</v>
      </c>
      <c r="J150" s="372">
        <f>VLOOKUP(J135,'[3]BKECHITIET TO2 (TP)'!$A$11:$K$25,11)</f>
        <v>27666</v>
      </c>
      <c r="K150" s="372">
        <f>VLOOKUP(K135,'[3]BKECHITIET TO2 (TP)'!$A$11:$K$25,11)</f>
        <v>29972</v>
      </c>
      <c r="L150" s="372">
        <f>VLOOKUP(L135,'[3]BKECHITIET TO2 (TP)'!$A$11:$K$25,11)</f>
        <v>32277</v>
      </c>
      <c r="M150" s="372">
        <f>VLOOKUP(M135,'[3]BKECHITIET TO2 (TP)'!$A$11:$K$25,11)</f>
        <v>0</v>
      </c>
      <c r="N150" s="372">
        <f>VLOOKUP(N135,'[3]BKECHITIET TO2 (TP)'!$A$11:$K$25,11)</f>
        <v>0</v>
      </c>
      <c r="O150" s="372">
        <f>VLOOKUP(O135,'[3]BKECHITIET TO2 (TP)'!$A$11:$K$25,11)</f>
        <v>0</v>
      </c>
      <c r="P150" s="372">
        <f>VLOOKUP(P135,'[3]BKECHITIET TO2 (TP)'!$A$11:$K$25,11)</f>
        <v>0</v>
      </c>
      <c r="Q150" s="372">
        <f>VLOOKUP(Q135,'[3]BKECHITIET TO2 (TP)'!$A$11:$K$25,11)</f>
        <v>0</v>
      </c>
      <c r="R150" s="372">
        <f>VLOOKUP(R135,'[3]BKECHITIET TO2 (TP)'!$A$11:$K$25,11)</f>
        <v>0</v>
      </c>
      <c r="S150" s="372">
        <f>VLOOKUP(S135,'[3]BKECHITIET TO2 (TP)'!$A$11:$K$25,11)</f>
        <v>0</v>
      </c>
      <c r="T150" s="373">
        <f>SUM(E150:S150)</f>
        <v>89915</v>
      </c>
      <c r="U150" s="318"/>
      <c r="V150" s="318"/>
    </row>
    <row r="151" spans="1:22" s="261" customFormat="1" ht="15.75" hidden="1">
      <c r="A151" s="318"/>
      <c r="B151" s="318"/>
      <c r="C151" s="318"/>
      <c r="D151" s="318"/>
      <c r="E151" s="328">
        <f>COUNTIF(E136:E147,"X")+COUNTIF(E136:E147,"/")*0.5</f>
        <v>0</v>
      </c>
      <c r="F151" s="328">
        <f>COUNTIF(F136:F147,"X")+COUNTIF(F136:F147,"/")*0.5</f>
        <v>0</v>
      </c>
      <c r="G151" s="328">
        <f>COUNTIF(G136:G147,"X")+COUNTIF(G136:G147,"/")*0.5</f>
        <v>0</v>
      </c>
      <c r="H151" s="328">
        <f>COUNTIF(H136:H147,"X")+COUNTIF(H136:H147,"/")*0.5</f>
        <v>0</v>
      </c>
      <c r="I151" s="328">
        <f>COUNTIF(I136:I147,"X")+COUNTIF(I136:I147,"/")*0.5</f>
        <v>0</v>
      </c>
      <c r="J151" s="328">
        <f>COUNTIF(J136:J148,"Xcv")+COUNTIF(J136:J148,"/")*0.5</f>
        <v>0</v>
      </c>
      <c r="K151" s="328">
        <f t="shared" ref="K151:L151" si="33">COUNTIF(K136:K148,"Xcv")+COUNTIF(K136:K148,"/")*0.5</f>
        <v>0</v>
      </c>
      <c r="L151" s="328">
        <f t="shared" si="33"/>
        <v>0</v>
      </c>
      <c r="M151" s="328">
        <f t="shared" ref="M151:S151" si="34">COUNTIF(M136:M147,"X")+COUNTIF(M136:M147,"/")*0.5</f>
        <v>0</v>
      </c>
      <c r="N151" s="328">
        <f t="shared" si="34"/>
        <v>0</v>
      </c>
      <c r="O151" s="328">
        <f t="shared" si="34"/>
        <v>0</v>
      </c>
      <c r="P151" s="328">
        <f t="shared" si="34"/>
        <v>0</v>
      </c>
      <c r="Q151" s="328">
        <f t="shared" si="34"/>
        <v>0</v>
      </c>
      <c r="R151" s="328">
        <f t="shared" si="34"/>
        <v>0</v>
      </c>
      <c r="S151" s="328">
        <f t="shared" si="34"/>
        <v>0</v>
      </c>
      <c r="T151" s="328">
        <f>COUNTIF(T136:T147,"X")</f>
        <v>0</v>
      </c>
      <c r="U151" s="318"/>
      <c r="V151" s="318"/>
    </row>
    <row r="152" spans="1:22" s="261" customFormat="1" ht="15.75" hidden="1">
      <c r="A152" s="318"/>
      <c r="B152" s="318"/>
      <c r="C152" s="318"/>
      <c r="D152" s="318"/>
      <c r="E152" s="374">
        <f>E150/E153</f>
        <v>0</v>
      </c>
      <c r="F152" s="328">
        <f t="shared" ref="F152:K152" si="35">F150/F153</f>
        <v>0</v>
      </c>
      <c r="G152" s="328">
        <f t="shared" si="35"/>
        <v>0</v>
      </c>
      <c r="H152" s="374">
        <f t="shared" si="35"/>
        <v>0</v>
      </c>
      <c r="I152" s="374" t="e">
        <f t="shared" si="35"/>
        <v>#DIV/0!</v>
      </c>
      <c r="J152" s="328">
        <f t="shared" si="35"/>
        <v>3074</v>
      </c>
      <c r="K152" s="328">
        <f t="shared" si="35"/>
        <v>3746.5</v>
      </c>
      <c r="L152" s="375">
        <f>ROUND(L150/L153,1)</f>
        <v>4034.6</v>
      </c>
      <c r="M152" s="375" t="e">
        <f t="shared" ref="M152:Q152" si="36">ROUND(M150/M153,1)</f>
        <v>#DIV/0!</v>
      </c>
      <c r="N152" s="375">
        <f t="shared" si="36"/>
        <v>0</v>
      </c>
      <c r="O152" s="375">
        <f t="shared" si="36"/>
        <v>0</v>
      </c>
      <c r="P152" s="375">
        <f t="shared" si="36"/>
        <v>0</v>
      </c>
      <c r="Q152" s="375">
        <f t="shared" si="36"/>
        <v>0</v>
      </c>
      <c r="R152" s="375">
        <f>ROUND(R150/R153,1)</f>
        <v>0</v>
      </c>
      <c r="S152" s="375">
        <f t="shared" ref="S152" si="37">ROUND(S150/S153,1)</f>
        <v>0</v>
      </c>
      <c r="T152" s="318"/>
      <c r="U152" s="318"/>
      <c r="V152" s="318"/>
    </row>
    <row r="153" spans="1:22" s="261" customFormat="1" ht="15.75" hidden="1">
      <c r="A153" s="318"/>
      <c r="B153" s="318"/>
      <c r="C153" s="318"/>
      <c r="D153" s="318"/>
      <c r="E153" s="328">
        <v>21</v>
      </c>
      <c r="F153" s="328">
        <v>18</v>
      </c>
      <c r="G153" s="328">
        <v>21</v>
      </c>
      <c r="H153" s="328">
        <v>20</v>
      </c>
      <c r="I153" s="328">
        <v>0</v>
      </c>
      <c r="J153" s="318">
        <v>9</v>
      </c>
      <c r="K153" s="318">
        <v>8</v>
      </c>
      <c r="L153" s="318">
        <v>8</v>
      </c>
      <c r="M153" s="328">
        <v>0</v>
      </c>
      <c r="N153" s="328">
        <v>20</v>
      </c>
      <c r="O153" s="328">
        <v>21</v>
      </c>
      <c r="P153" s="328">
        <v>21</v>
      </c>
      <c r="Q153" s="328">
        <v>21</v>
      </c>
      <c r="R153" s="328">
        <v>20</v>
      </c>
      <c r="S153" s="328">
        <v>21</v>
      </c>
      <c r="T153" s="318"/>
      <c r="U153" s="318"/>
      <c r="V153" s="318"/>
    </row>
    <row r="154" spans="1:22" s="261" customFormat="1" ht="15.75" hidden="1">
      <c r="A154" s="244"/>
      <c r="B154" s="244"/>
      <c r="C154" s="244"/>
      <c r="D154" s="244"/>
      <c r="E154" s="250">
        <f>E150-E149</f>
        <v>0</v>
      </c>
      <c r="F154" s="250">
        <f t="shared" ref="F154:S154" si="38">F150-F149</f>
        <v>0</v>
      </c>
      <c r="G154" s="250">
        <f t="shared" si="38"/>
        <v>0</v>
      </c>
      <c r="H154" s="250">
        <f t="shared" si="38"/>
        <v>0</v>
      </c>
      <c r="I154" s="250">
        <f t="shared" si="38"/>
        <v>0</v>
      </c>
      <c r="J154" s="250">
        <f t="shared" si="38"/>
        <v>0</v>
      </c>
      <c r="K154" s="250">
        <f t="shared" si="38"/>
        <v>0</v>
      </c>
      <c r="L154" s="250">
        <f t="shared" si="38"/>
        <v>0</v>
      </c>
      <c r="M154" s="250">
        <f t="shared" si="38"/>
        <v>0</v>
      </c>
      <c r="N154" s="250">
        <f t="shared" si="38"/>
        <v>0</v>
      </c>
      <c r="O154" s="250">
        <f t="shared" si="38"/>
        <v>0</v>
      </c>
      <c r="P154" s="250">
        <f t="shared" si="38"/>
        <v>0</v>
      </c>
      <c r="Q154" s="250">
        <f t="shared" si="38"/>
        <v>0</v>
      </c>
      <c r="R154" s="250">
        <f t="shared" si="38"/>
        <v>0</v>
      </c>
      <c r="S154" s="250">
        <f t="shared" si="38"/>
        <v>0</v>
      </c>
      <c r="T154" s="244"/>
      <c r="U154" s="244"/>
      <c r="V154" s="244"/>
    </row>
    <row r="155" spans="1:22" s="261" customFormat="1" ht="15.75">
      <c r="A155" s="318"/>
      <c r="B155" s="318"/>
      <c r="C155" s="318"/>
      <c r="D155" s="318"/>
      <c r="E155" s="328"/>
      <c r="F155" s="328">
        <f>F152/2</f>
        <v>0</v>
      </c>
      <c r="G155" s="328"/>
      <c r="H155" s="328">
        <f>H152/2</f>
        <v>0</v>
      </c>
      <c r="I155" s="318"/>
      <c r="J155" s="318"/>
      <c r="K155" s="318"/>
      <c r="L155" s="318"/>
      <c r="M155" s="318"/>
      <c r="N155" s="318"/>
      <c r="O155" s="318">
        <f>O152/2</f>
        <v>0</v>
      </c>
      <c r="P155" s="318"/>
      <c r="Q155" s="318"/>
      <c r="R155" s="318">
        <f>R152/2</f>
        <v>0</v>
      </c>
      <c r="S155" s="318"/>
      <c r="T155" s="318"/>
      <c r="U155" s="318"/>
      <c r="V155" s="318"/>
    </row>
    <row r="156" spans="1:22" s="261" customFormat="1" ht="15.75">
      <c r="A156" s="318"/>
      <c r="B156" s="318"/>
      <c r="C156" s="318"/>
      <c r="D156" s="318"/>
      <c r="E156" s="328"/>
      <c r="F156" s="328"/>
      <c r="G156" s="328"/>
      <c r="H156" s="328"/>
      <c r="I156" s="318"/>
      <c r="J156" s="318"/>
      <c r="K156" s="318"/>
      <c r="L156" s="318"/>
      <c r="M156" s="318"/>
      <c r="N156" s="318"/>
      <c r="O156" s="318"/>
      <c r="P156" s="318"/>
      <c r="Q156" s="318"/>
      <c r="R156" s="318"/>
      <c r="S156" s="318"/>
      <c r="T156" s="318"/>
      <c r="U156" s="318"/>
      <c r="V156" s="318"/>
    </row>
    <row r="157" spans="1:22" s="261" customFormat="1" ht="15.75">
      <c r="A157" s="318"/>
      <c r="B157" s="318"/>
      <c r="C157" s="318"/>
      <c r="D157" s="318"/>
      <c r="E157" s="328"/>
      <c r="F157" s="328"/>
      <c r="G157" s="328"/>
      <c r="H157" s="328"/>
      <c r="I157" s="318"/>
      <c r="J157" s="318"/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</row>
    <row r="158" spans="1:22" s="261" customFormat="1" ht="15.75">
      <c r="A158" s="318"/>
      <c r="B158" s="318"/>
      <c r="C158" s="318"/>
      <c r="D158" s="318"/>
      <c r="E158" s="328"/>
      <c r="F158" s="328"/>
      <c r="G158" s="328"/>
      <c r="H158" s="328"/>
      <c r="I158" s="318"/>
      <c r="J158" s="318"/>
      <c r="K158" s="318"/>
      <c r="L158" s="318"/>
      <c r="M158" s="318"/>
      <c r="N158" s="318"/>
      <c r="O158" s="318"/>
      <c r="P158" s="318"/>
      <c r="Q158" s="318"/>
      <c r="R158" s="318"/>
      <c r="S158" s="318"/>
      <c r="T158" s="318"/>
      <c r="U158" s="318"/>
      <c r="V158" s="318"/>
    </row>
    <row r="159" spans="1:22" s="261" customFormat="1" ht="15.75">
      <c r="A159" s="318"/>
      <c r="B159" s="318"/>
      <c r="C159" s="318"/>
      <c r="D159" s="318"/>
      <c r="E159" s="328"/>
      <c r="F159" s="328"/>
      <c r="G159" s="328"/>
      <c r="H159" s="328"/>
      <c r="I159" s="318"/>
      <c r="J159" s="318"/>
      <c r="K159" s="318"/>
      <c r="L159" s="318"/>
      <c r="M159" s="318"/>
      <c r="N159" s="318"/>
      <c r="O159" s="318"/>
      <c r="P159" s="318"/>
      <c r="Q159" s="318"/>
      <c r="R159" s="318"/>
      <c r="S159" s="318"/>
      <c r="T159" s="318"/>
      <c r="U159" s="318"/>
      <c r="V159" s="318"/>
    </row>
    <row r="160" spans="1:22" s="261" customFormat="1" ht="15.75">
      <c r="A160" s="318"/>
      <c r="B160" s="318"/>
      <c r="C160" s="318"/>
      <c r="D160" s="318"/>
      <c r="E160" s="328"/>
      <c r="F160" s="328"/>
      <c r="G160" s="328"/>
      <c r="H160" s="32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</row>
    <row r="161" spans="1:22" s="261" customFormat="1" ht="15.75">
      <c r="A161" s="318"/>
      <c r="B161" s="318"/>
      <c r="C161" s="318"/>
      <c r="D161" s="318"/>
      <c r="E161" s="328"/>
      <c r="F161" s="328"/>
      <c r="G161" s="328"/>
      <c r="H161" s="32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</row>
    <row r="162" spans="1:22" s="261" customFormat="1" ht="15.75">
      <c r="A162" s="318"/>
      <c r="B162" s="318"/>
      <c r="C162" s="318"/>
      <c r="D162" s="318"/>
      <c r="E162" s="328"/>
      <c r="F162" s="328"/>
      <c r="G162" s="328"/>
      <c r="H162" s="328"/>
      <c r="I162" s="318"/>
      <c r="J162" s="318"/>
      <c r="K162" s="318"/>
      <c r="L162" s="318"/>
      <c r="M162" s="318"/>
      <c r="N162" s="318"/>
      <c r="O162" s="318"/>
      <c r="P162" s="318"/>
      <c r="Q162" s="318"/>
      <c r="R162" s="318"/>
      <c r="S162" s="318"/>
      <c r="T162" s="318"/>
      <c r="U162" s="318"/>
      <c r="V162" s="318"/>
    </row>
    <row r="163" spans="1:22" s="261" customFormat="1" ht="15.75">
      <c r="A163" s="318"/>
      <c r="B163" s="318"/>
      <c r="C163" s="318"/>
      <c r="D163" s="318"/>
      <c r="E163" s="328"/>
      <c r="F163" s="328"/>
      <c r="G163" s="328"/>
      <c r="H163" s="328"/>
      <c r="I163" s="318"/>
      <c r="J163" s="318"/>
      <c r="K163" s="318"/>
      <c r="L163" s="318"/>
      <c r="M163" s="318"/>
      <c r="N163" s="318"/>
      <c r="O163" s="318"/>
      <c r="P163" s="318"/>
      <c r="Q163" s="318"/>
      <c r="R163" s="318"/>
      <c r="S163" s="318"/>
      <c r="T163" s="318"/>
      <c r="U163" s="318"/>
      <c r="V163" s="318"/>
    </row>
    <row r="164" spans="1:22" s="261" customFormat="1" ht="15.75">
      <c r="A164" s="318"/>
      <c r="B164" s="318"/>
      <c r="C164" s="318"/>
      <c r="D164" s="318"/>
      <c r="E164" s="328"/>
      <c r="F164" s="328"/>
      <c r="G164" s="328"/>
      <c r="H164" s="328"/>
      <c r="I164" s="318"/>
      <c r="J164" s="318"/>
      <c r="K164" s="318"/>
      <c r="L164" s="318"/>
      <c r="M164" s="318"/>
      <c r="N164" s="318"/>
      <c r="O164" s="318"/>
      <c r="P164" s="318"/>
      <c r="Q164" s="318"/>
      <c r="R164" s="318"/>
      <c r="S164" s="318"/>
      <c r="T164" s="318"/>
      <c r="U164" s="318"/>
      <c r="V164" s="318"/>
    </row>
    <row r="165" spans="1:22" s="261" customFormat="1" ht="15.75">
      <c r="A165" s="318"/>
      <c r="B165" s="318"/>
      <c r="C165" s="318"/>
      <c r="D165" s="318"/>
      <c r="E165" s="328"/>
      <c r="F165" s="328"/>
      <c r="G165" s="328"/>
      <c r="H165" s="32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</row>
    <row r="166" spans="1:22" s="261" customFormat="1" ht="15.75">
      <c r="A166" s="318"/>
      <c r="B166" s="318"/>
      <c r="C166" s="318"/>
      <c r="D166" s="318"/>
      <c r="E166" s="328"/>
      <c r="F166" s="328"/>
      <c r="G166" s="328"/>
      <c r="H166" s="32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</row>
    <row r="167" spans="1:22" s="261" customFormat="1" ht="15.75">
      <c r="A167" s="318"/>
      <c r="B167" s="318"/>
      <c r="C167" s="318"/>
      <c r="D167" s="318"/>
      <c r="E167" s="328"/>
      <c r="F167" s="328"/>
      <c r="G167" s="328"/>
      <c r="H167" s="328"/>
      <c r="I167" s="318"/>
      <c r="J167" s="318"/>
      <c r="K167" s="318"/>
      <c r="L167" s="318"/>
      <c r="M167" s="318"/>
      <c r="N167" s="318"/>
      <c r="O167" s="318"/>
      <c r="P167" s="318"/>
      <c r="Q167" s="318"/>
      <c r="R167" s="318"/>
      <c r="S167" s="318"/>
      <c r="T167" s="318"/>
      <c r="U167" s="318"/>
      <c r="V167" s="318"/>
    </row>
    <row r="168" spans="1:22" s="261" customFormat="1" ht="15.75">
      <c r="A168" s="318"/>
      <c r="B168" s="318"/>
      <c r="C168" s="318"/>
      <c r="D168" s="318"/>
      <c r="E168" s="328"/>
      <c r="F168" s="328"/>
      <c r="G168" s="328"/>
      <c r="H168" s="328"/>
      <c r="I168" s="318"/>
      <c r="J168" s="318"/>
      <c r="K168" s="318"/>
      <c r="L168" s="318"/>
      <c r="M168" s="318"/>
      <c r="N168" s="318"/>
      <c r="O168" s="318"/>
      <c r="P168" s="318"/>
      <c r="Q168" s="318"/>
      <c r="R168" s="318"/>
      <c r="S168" s="318"/>
      <c r="T168" s="318"/>
      <c r="U168" s="318"/>
      <c r="V168" s="318"/>
    </row>
    <row r="169" spans="1:22" s="261" customFormat="1" ht="15.75">
      <c r="A169" s="318"/>
      <c r="B169" s="318"/>
      <c r="C169" s="318"/>
      <c r="D169" s="318"/>
      <c r="E169" s="328"/>
      <c r="F169" s="328"/>
      <c r="G169" s="328"/>
      <c r="H169" s="328"/>
      <c r="I169" s="318"/>
      <c r="J169" s="318"/>
      <c r="K169" s="318"/>
      <c r="L169" s="318"/>
      <c r="M169" s="318"/>
      <c r="N169" s="318"/>
      <c r="O169" s="318"/>
      <c r="P169" s="318"/>
      <c r="Q169" s="318"/>
      <c r="R169" s="318"/>
      <c r="S169" s="318"/>
      <c r="T169" s="318"/>
      <c r="U169" s="318"/>
      <c r="V169" s="318"/>
    </row>
    <row r="170" spans="1:22" s="261" customFormat="1" ht="31.5" customHeight="1">
      <c r="A170" s="828" t="s">
        <v>194</v>
      </c>
      <c r="B170" s="828"/>
      <c r="C170" s="828"/>
      <c r="D170" s="828"/>
      <c r="E170" s="828"/>
      <c r="F170" s="260"/>
      <c r="G170" s="260"/>
      <c r="H170" s="260"/>
      <c r="I170" s="244"/>
      <c r="J170" s="244"/>
      <c r="K170" s="244"/>
      <c r="T170" s="792"/>
      <c r="U170" s="792"/>
      <c r="V170" s="244"/>
    </row>
    <row r="171" spans="1:22" s="261" customFormat="1" ht="25.5">
      <c r="A171" s="789" t="s">
        <v>4</v>
      </c>
      <c r="B171" s="789"/>
      <c r="C171" s="789"/>
      <c r="D171" s="789"/>
      <c r="E171" s="789"/>
      <c r="F171" s="260"/>
      <c r="G171" s="260"/>
      <c r="H171" s="260"/>
      <c r="I171" s="244"/>
      <c r="J171" s="244"/>
      <c r="K171" s="244"/>
      <c r="L171" s="244"/>
      <c r="M171" s="244"/>
      <c r="N171" s="244"/>
      <c r="O171" s="244"/>
      <c r="P171" s="244"/>
      <c r="Q171" s="244"/>
      <c r="R171" s="332"/>
      <c r="S171" s="244"/>
      <c r="T171" s="790"/>
      <c r="U171" s="790"/>
      <c r="V171" s="244"/>
    </row>
    <row r="172" spans="1:22" s="261" customFormat="1" ht="15.75">
      <c r="A172" s="830" t="s">
        <v>6</v>
      </c>
      <c r="B172" s="830"/>
      <c r="C172" s="830"/>
      <c r="D172" s="830"/>
      <c r="E172" s="830"/>
      <c r="F172" s="260"/>
      <c r="G172" s="260"/>
      <c r="H172" s="260"/>
      <c r="I172" s="244"/>
      <c r="J172" s="244"/>
      <c r="K172" s="244"/>
      <c r="L172" s="244"/>
      <c r="M172" s="244"/>
      <c r="N172" s="244"/>
      <c r="O172" s="244"/>
      <c r="P172" s="244"/>
      <c r="Q172" s="244"/>
      <c r="R172" s="244"/>
      <c r="S172" s="244"/>
      <c r="T172" s="795"/>
      <c r="U172" s="795"/>
      <c r="V172" s="244"/>
    </row>
    <row r="173" spans="1:22" s="261" customFormat="1" ht="33">
      <c r="A173" s="833" t="s">
        <v>195</v>
      </c>
      <c r="B173" s="833"/>
      <c r="C173" s="833"/>
      <c r="D173" s="833"/>
      <c r="E173" s="833"/>
      <c r="F173" s="833"/>
      <c r="G173" s="833"/>
      <c r="H173" s="833"/>
      <c r="I173" s="833"/>
      <c r="J173" s="833"/>
      <c r="K173" s="833"/>
      <c r="L173" s="833"/>
      <c r="M173" s="833"/>
      <c r="N173" s="833"/>
      <c r="O173" s="833"/>
      <c r="P173" s="833"/>
      <c r="Q173" s="833"/>
      <c r="R173" s="833"/>
      <c r="S173" s="833"/>
      <c r="T173" s="833"/>
      <c r="U173" s="833"/>
      <c r="V173" s="833"/>
    </row>
    <row r="174" spans="1:22" s="261" customFormat="1" ht="24.75" customHeight="1">
      <c r="A174" s="834" t="str">
        <f>A59</f>
        <v xml:space="preserve">ថ្ងៃ  ០១-១៥ ខែ ០១ ឆ្នាំ ២០២៦ </v>
      </c>
      <c r="B174" s="834"/>
      <c r="C174" s="834"/>
      <c r="D174" s="834"/>
      <c r="E174" s="834"/>
      <c r="F174" s="834"/>
      <c r="G174" s="834"/>
      <c r="H174" s="834"/>
      <c r="I174" s="834"/>
      <c r="J174" s="834"/>
      <c r="K174" s="834"/>
      <c r="L174" s="834"/>
      <c r="M174" s="834"/>
      <c r="N174" s="834"/>
      <c r="O174" s="834"/>
      <c r="P174" s="834"/>
      <c r="Q174" s="834"/>
      <c r="R174" s="834"/>
      <c r="S174" s="834"/>
      <c r="T174" s="834"/>
      <c r="U174" s="834"/>
      <c r="V174" s="834"/>
    </row>
    <row r="175" spans="1:22" s="261" customFormat="1" ht="18.75">
      <c r="A175" s="803" t="s">
        <v>355</v>
      </c>
      <c r="B175" s="803"/>
      <c r="C175" s="803"/>
      <c r="D175" s="803"/>
      <c r="E175" s="803"/>
      <c r="F175" s="803"/>
      <c r="G175" s="803"/>
      <c r="H175" s="803"/>
      <c r="I175" s="803"/>
      <c r="J175" s="803"/>
      <c r="K175" s="803"/>
      <c r="L175" s="803"/>
      <c r="M175" s="803"/>
      <c r="N175" s="803"/>
      <c r="O175" s="803"/>
      <c r="P175" s="803"/>
      <c r="Q175" s="803"/>
      <c r="R175" s="803"/>
      <c r="S175" s="803"/>
      <c r="T175" s="803"/>
      <c r="U175" s="803"/>
      <c r="V175" s="803"/>
    </row>
    <row r="176" spans="1:22" s="261" customFormat="1" ht="15.75">
      <c r="A176" s="792" t="str">
        <f>A61</f>
        <v>NGÀY​​​​ 01 ĐẾN 15 THÁNG 01 NĂM 2026</v>
      </c>
      <c r="B176" s="792"/>
      <c r="C176" s="792"/>
      <c r="D176" s="792"/>
      <c r="E176" s="792"/>
      <c r="F176" s="792"/>
      <c r="G176" s="792"/>
      <c r="H176" s="792"/>
      <c r="I176" s="792"/>
      <c r="J176" s="792"/>
      <c r="K176" s="792"/>
      <c r="L176" s="792"/>
      <c r="M176" s="792"/>
      <c r="N176" s="792"/>
      <c r="O176" s="792"/>
      <c r="P176" s="792"/>
      <c r="Q176" s="792"/>
      <c r="R176" s="792"/>
      <c r="S176" s="792"/>
      <c r="T176" s="792"/>
      <c r="U176" s="792"/>
      <c r="V176" s="792"/>
    </row>
    <row r="177" spans="1:26" s="261" customFormat="1" ht="16.5" thickBot="1">
      <c r="A177" s="264"/>
      <c r="B177" s="265"/>
      <c r="C177" s="265"/>
      <c r="D177" s="265"/>
      <c r="E177" s="798"/>
      <c r="F177" s="798"/>
      <c r="G177" s="798"/>
      <c r="H177" s="798"/>
      <c r="I177" s="798"/>
      <c r="J177" s="798"/>
      <c r="K177" s="798"/>
      <c r="L177" s="798"/>
      <c r="M177" s="798"/>
      <c r="N177" s="798"/>
      <c r="O177" s="798"/>
      <c r="P177" s="798"/>
      <c r="Q177" s="798"/>
      <c r="R177" s="798"/>
      <c r="S177" s="798"/>
      <c r="T177" s="264"/>
      <c r="U177" s="264"/>
      <c r="V177" s="244"/>
    </row>
    <row r="178" spans="1:26" ht="56.25" customHeight="1" thickTop="1">
      <c r="A178" s="401" t="s">
        <v>176</v>
      </c>
      <c r="B178" s="840" t="s">
        <v>197</v>
      </c>
      <c r="C178" s="840"/>
      <c r="D178" s="701" t="s">
        <v>198</v>
      </c>
      <c r="E178" s="402">
        <f t="shared" ref="E178:S178" si="39">E63</f>
        <v>1</v>
      </c>
      <c r="F178" s="402">
        <f t="shared" si="39"/>
        <v>2</v>
      </c>
      <c r="G178" s="402">
        <f t="shared" si="39"/>
        <v>3</v>
      </c>
      <c r="H178" s="402">
        <f t="shared" si="39"/>
        <v>4</v>
      </c>
      <c r="I178" s="402">
        <f t="shared" si="39"/>
        <v>5</v>
      </c>
      <c r="J178" s="402">
        <f t="shared" si="39"/>
        <v>6</v>
      </c>
      <c r="K178" s="402">
        <f t="shared" si="39"/>
        <v>7</v>
      </c>
      <c r="L178" s="402">
        <f t="shared" si="39"/>
        <v>8</v>
      </c>
      <c r="M178" s="402">
        <f t="shared" si="39"/>
        <v>9</v>
      </c>
      <c r="N178" s="402">
        <f t="shared" si="39"/>
        <v>10</v>
      </c>
      <c r="O178" s="402">
        <f t="shared" si="39"/>
        <v>11</v>
      </c>
      <c r="P178" s="402">
        <f t="shared" si="39"/>
        <v>12</v>
      </c>
      <c r="Q178" s="402">
        <f t="shared" si="39"/>
        <v>13</v>
      </c>
      <c r="R178" s="402">
        <f t="shared" si="39"/>
        <v>14</v>
      </c>
      <c r="S178" s="402">
        <f t="shared" si="39"/>
        <v>15</v>
      </c>
      <c r="T178" s="403" t="s">
        <v>275</v>
      </c>
      <c r="U178" s="403" t="s">
        <v>207</v>
      </c>
      <c r="V178" s="404" t="s">
        <v>208</v>
      </c>
      <c r="W178" s="405">
        <v>2402</v>
      </c>
      <c r="X178" s="249" t="e">
        <f>W178+#REF!</f>
        <v>#REF!</v>
      </c>
      <c r="Y178" s="277"/>
      <c r="Z178" s="277"/>
    </row>
    <row r="179" spans="1:26" ht="30">
      <c r="A179" s="406">
        <v>1</v>
      </c>
      <c r="B179" s="14" t="s">
        <v>68</v>
      </c>
      <c r="C179" s="334" t="s">
        <v>69</v>
      </c>
      <c r="D179" s="310" t="s">
        <v>206</v>
      </c>
      <c r="E179" s="271"/>
      <c r="F179" s="271"/>
      <c r="G179" s="271"/>
      <c r="H179" s="271"/>
      <c r="I179" s="12"/>
      <c r="J179" s="12"/>
      <c r="K179" s="12"/>
      <c r="L179" s="12"/>
      <c r="M179" s="271">
        <v>1373</v>
      </c>
      <c r="N179" s="271">
        <v>1940</v>
      </c>
      <c r="O179" s="271">
        <v>1720</v>
      </c>
      <c r="P179" s="271">
        <v>1705</v>
      </c>
      <c r="Q179" s="271">
        <v>1625</v>
      </c>
      <c r="R179" s="271">
        <v>1599</v>
      </c>
      <c r="S179" s="271">
        <v>1991</v>
      </c>
      <c r="T179" s="311">
        <f>ROUND(U179/1000,3)</f>
        <v>11.952999999999999</v>
      </c>
      <c r="U179" s="335">
        <f t="shared" ref="U179:U200" si="40">SUM(E179:S179)</f>
        <v>11953</v>
      </c>
      <c r="V179" s="407"/>
      <c r="W179" s="405"/>
      <c r="X179" s="249"/>
      <c r="Y179" s="311">
        <f>ROUND(T179*15%,2)</f>
        <v>1.79</v>
      </c>
      <c r="Z179" s="311">
        <f>ROUND((T179+Y179),2)</f>
        <v>13.74</v>
      </c>
    </row>
    <row r="180" spans="1:26" ht="21.95" customHeight="1">
      <c r="A180" s="406">
        <f>+A179+1</f>
        <v>2</v>
      </c>
      <c r="B180" s="74" t="s">
        <v>70</v>
      </c>
      <c r="C180" s="338" t="s">
        <v>71</v>
      </c>
      <c r="D180" s="310" t="s">
        <v>206</v>
      </c>
      <c r="E180" s="271"/>
      <c r="F180" s="271"/>
      <c r="G180" s="271"/>
      <c r="H180" s="271"/>
      <c r="I180" s="12"/>
      <c r="J180" s="12"/>
      <c r="K180" s="12"/>
      <c r="L180" s="12"/>
      <c r="M180" s="271">
        <v>1373</v>
      </c>
      <c r="N180" s="271">
        <v>1940</v>
      </c>
      <c r="O180" s="271">
        <v>1720</v>
      </c>
      <c r="P180" s="271">
        <v>1705</v>
      </c>
      <c r="Q180" s="271">
        <v>1625</v>
      </c>
      <c r="R180" s="735" t="s">
        <v>202</v>
      </c>
      <c r="S180" s="271">
        <v>1991</v>
      </c>
      <c r="T180" s="311">
        <f t="shared" ref="T180:T198" si="41">ROUND(U180/1000,3)</f>
        <v>10.353999999999999</v>
      </c>
      <c r="U180" s="335">
        <f t="shared" si="40"/>
        <v>10354</v>
      </c>
      <c r="V180" s="407"/>
      <c r="W180" s="405">
        <v>2402</v>
      </c>
      <c r="X180" s="249" t="e">
        <f>W180+#REF!</f>
        <v>#REF!</v>
      </c>
      <c r="Y180" s="311"/>
      <c r="Z180" s="277"/>
    </row>
    <row r="181" spans="1:26" ht="21.95" customHeight="1">
      <c r="A181" s="406">
        <f t="shared" ref="A181:A183" si="42">+A180+1</f>
        <v>3</v>
      </c>
      <c r="B181" s="74" t="s">
        <v>74</v>
      </c>
      <c r="C181" s="336" t="s">
        <v>75</v>
      </c>
      <c r="D181" s="310" t="s">
        <v>206</v>
      </c>
      <c r="E181" s="271"/>
      <c r="F181" s="271"/>
      <c r="G181" s="271"/>
      <c r="H181" s="271"/>
      <c r="I181" s="12"/>
      <c r="J181" s="12"/>
      <c r="K181" s="12"/>
      <c r="L181" s="12"/>
      <c r="M181" s="271">
        <v>1373</v>
      </c>
      <c r="N181" s="271">
        <v>1940</v>
      </c>
      <c r="O181" s="271">
        <v>1720</v>
      </c>
      <c r="P181" s="271">
        <v>1704</v>
      </c>
      <c r="Q181" s="271">
        <v>1625</v>
      </c>
      <c r="R181" s="271">
        <v>1600</v>
      </c>
      <c r="S181" s="271">
        <v>1991</v>
      </c>
      <c r="T181" s="311">
        <f t="shared" si="41"/>
        <v>11.952999999999999</v>
      </c>
      <c r="U181" s="335">
        <f t="shared" si="40"/>
        <v>11953</v>
      </c>
      <c r="V181" s="407"/>
      <c r="W181" s="405">
        <v>2402</v>
      </c>
      <c r="X181" s="249" t="e">
        <f>W181+#REF!</f>
        <v>#REF!</v>
      </c>
      <c r="Y181" s="277"/>
      <c r="Z181" s="277"/>
    </row>
    <row r="182" spans="1:26" ht="21.95" customHeight="1">
      <c r="A182" s="406">
        <f t="shared" si="42"/>
        <v>4</v>
      </c>
      <c r="B182" s="74" t="s">
        <v>76</v>
      </c>
      <c r="C182" s="339" t="s">
        <v>77</v>
      </c>
      <c r="D182" s="310" t="s">
        <v>206</v>
      </c>
      <c r="E182" s="271"/>
      <c r="F182" s="271"/>
      <c r="G182" s="271"/>
      <c r="H182" s="271"/>
      <c r="I182" s="12"/>
      <c r="J182" s="12"/>
      <c r="K182" s="12"/>
      <c r="L182" s="12"/>
      <c r="M182" s="271">
        <v>1373</v>
      </c>
      <c r="N182" s="271">
        <v>1940</v>
      </c>
      <c r="O182" s="271">
        <v>1720</v>
      </c>
      <c r="P182" s="271">
        <v>1704</v>
      </c>
      <c r="Q182" s="271">
        <v>1625</v>
      </c>
      <c r="R182" s="271">
        <v>1600</v>
      </c>
      <c r="S182" s="735" t="s">
        <v>202</v>
      </c>
      <c r="T182" s="311">
        <f t="shared" si="41"/>
        <v>9.9619999999999997</v>
      </c>
      <c r="U182" s="335">
        <f t="shared" si="40"/>
        <v>9962</v>
      </c>
      <c r="V182" s="407"/>
      <c r="W182" s="405">
        <v>2402</v>
      </c>
      <c r="X182" s="249" t="e">
        <f>W182+#REF!</f>
        <v>#REF!</v>
      </c>
      <c r="Y182" s="277"/>
      <c r="Z182" s="277"/>
    </row>
    <row r="183" spans="1:26" ht="21.95" customHeight="1">
      <c r="A183" s="406">
        <f t="shared" si="42"/>
        <v>5</v>
      </c>
      <c r="B183" s="74" t="s">
        <v>78</v>
      </c>
      <c r="C183" s="337" t="s">
        <v>79</v>
      </c>
      <c r="D183" s="310" t="s">
        <v>206</v>
      </c>
      <c r="E183" s="271"/>
      <c r="F183" s="271"/>
      <c r="G183" s="271"/>
      <c r="H183" s="271"/>
      <c r="I183" s="12"/>
      <c r="J183" s="12"/>
      <c r="K183" s="12"/>
      <c r="L183" s="12"/>
      <c r="M183" s="271">
        <v>1373</v>
      </c>
      <c r="N183" s="271">
        <v>1940</v>
      </c>
      <c r="O183" s="271">
        <v>1720</v>
      </c>
      <c r="P183" s="271">
        <v>1704</v>
      </c>
      <c r="Q183" s="271">
        <v>1625</v>
      </c>
      <c r="R183" s="271">
        <v>1600</v>
      </c>
      <c r="S183" s="271">
        <v>1991</v>
      </c>
      <c r="T183" s="311">
        <f t="shared" si="41"/>
        <v>11.952999999999999</v>
      </c>
      <c r="U183" s="335">
        <f t="shared" si="40"/>
        <v>11953</v>
      </c>
      <c r="V183" s="407"/>
      <c r="W183" s="405">
        <v>2402</v>
      </c>
      <c r="X183" s="249" t="e">
        <f>W183+#REF!</f>
        <v>#REF!</v>
      </c>
      <c r="Y183" s="277"/>
      <c r="Z183" s="277"/>
    </row>
    <row r="184" spans="1:26" ht="25.5">
      <c r="A184" s="406">
        <f t="shared" ref="A184:A200" si="43">A183+1</f>
        <v>6</v>
      </c>
      <c r="B184" s="74" t="s">
        <v>80</v>
      </c>
      <c r="C184" s="337" t="s">
        <v>81</v>
      </c>
      <c r="D184" s="310" t="s">
        <v>206</v>
      </c>
      <c r="E184" s="271"/>
      <c r="F184" s="271"/>
      <c r="G184" s="271"/>
      <c r="H184" s="271"/>
      <c r="I184" s="12"/>
      <c r="J184" s="12"/>
      <c r="K184" s="12"/>
      <c r="L184" s="12"/>
      <c r="M184" s="271">
        <v>1373</v>
      </c>
      <c r="N184" s="271">
        <v>1940</v>
      </c>
      <c r="O184" s="271">
        <v>1720</v>
      </c>
      <c r="P184" s="271">
        <v>1704</v>
      </c>
      <c r="Q184" s="271">
        <v>1625</v>
      </c>
      <c r="R184" s="271">
        <v>1600</v>
      </c>
      <c r="S184" s="271">
        <v>1991</v>
      </c>
      <c r="T184" s="311">
        <f t="shared" si="41"/>
        <v>11.952999999999999</v>
      </c>
      <c r="U184" s="335">
        <f t="shared" si="40"/>
        <v>11953</v>
      </c>
      <c r="V184" s="407"/>
      <c r="W184" s="690">
        <v>0</v>
      </c>
      <c r="X184" s="249" t="e">
        <f>W184+#REF!</f>
        <v>#REF!</v>
      </c>
      <c r="Y184" s="277"/>
      <c r="Z184" s="277"/>
    </row>
    <row r="185" spans="1:26" ht="21.95" customHeight="1">
      <c r="A185" s="406">
        <f t="shared" si="43"/>
        <v>7</v>
      </c>
      <c r="B185" s="74" t="s">
        <v>82</v>
      </c>
      <c r="C185" s="337" t="s">
        <v>83</v>
      </c>
      <c r="D185" s="310" t="s">
        <v>206</v>
      </c>
      <c r="E185" s="271"/>
      <c r="F185" s="271"/>
      <c r="G185" s="271"/>
      <c r="H185" s="271"/>
      <c r="I185" s="12"/>
      <c r="J185" s="12"/>
      <c r="K185" s="12"/>
      <c r="L185" s="12"/>
      <c r="M185" s="271">
        <v>1373</v>
      </c>
      <c r="N185" s="271">
        <v>1940</v>
      </c>
      <c r="O185" s="271">
        <v>1720</v>
      </c>
      <c r="P185" s="271">
        <v>1704</v>
      </c>
      <c r="Q185" s="271">
        <v>1625</v>
      </c>
      <c r="R185" s="271">
        <v>1600</v>
      </c>
      <c r="S185" s="271">
        <v>1991</v>
      </c>
      <c r="T185" s="311">
        <f t="shared" si="41"/>
        <v>11.952999999999999</v>
      </c>
      <c r="U185" s="335">
        <f t="shared" si="40"/>
        <v>11953</v>
      </c>
      <c r="V185" s="407"/>
      <c r="W185" s="405">
        <v>2401</v>
      </c>
      <c r="X185" s="249" t="e">
        <f>W185+#REF!</f>
        <v>#REF!</v>
      </c>
      <c r="Y185" s="277"/>
      <c r="Z185" s="277"/>
    </row>
    <row r="186" spans="1:26" ht="21.95" customHeight="1">
      <c r="A186" s="406">
        <f t="shared" si="43"/>
        <v>8</v>
      </c>
      <c r="B186" s="341" t="s">
        <v>84</v>
      </c>
      <c r="C186" s="342" t="s">
        <v>85</v>
      </c>
      <c r="D186" s="310" t="s">
        <v>206</v>
      </c>
      <c r="E186" s="271"/>
      <c r="F186" s="271"/>
      <c r="G186" s="271"/>
      <c r="H186" s="271"/>
      <c r="I186" s="12"/>
      <c r="J186" s="12"/>
      <c r="K186" s="12"/>
      <c r="L186" s="12"/>
      <c r="M186" s="271">
        <v>1372</v>
      </c>
      <c r="N186" s="271">
        <v>970</v>
      </c>
      <c r="O186" s="271">
        <v>1721</v>
      </c>
      <c r="P186" s="271">
        <v>1704</v>
      </c>
      <c r="Q186" s="271">
        <v>1625</v>
      </c>
      <c r="R186" s="271">
        <v>1600</v>
      </c>
      <c r="S186" s="735" t="s">
        <v>202</v>
      </c>
      <c r="T186" s="311">
        <f t="shared" si="41"/>
        <v>8.9920000000000009</v>
      </c>
      <c r="U186" s="335">
        <f t="shared" si="40"/>
        <v>8992</v>
      </c>
      <c r="V186" s="407"/>
      <c r="W186" s="405">
        <v>2401</v>
      </c>
      <c r="X186" s="249" t="e">
        <f>W186+#REF!</f>
        <v>#REF!</v>
      </c>
      <c r="Y186" s="277"/>
      <c r="Z186" s="277"/>
    </row>
    <row r="187" spans="1:26" ht="21.95" customHeight="1">
      <c r="A187" s="406">
        <f t="shared" si="43"/>
        <v>9</v>
      </c>
      <c r="B187" s="343" t="s">
        <v>86</v>
      </c>
      <c r="C187" s="344" t="s">
        <v>87</v>
      </c>
      <c r="D187" s="310" t="s">
        <v>206</v>
      </c>
      <c r="E187" s="271"/>
      <c r="F187" s="271"/>
      <c r="G187" s="271"/>
      <c r="H187" s="271"/>
      <c r="I187" s="12"/>
      <c r="J187" s="12"/>
      <c r="K187" s="12"/>
      <c r="L187" s="12"/>
      <c r="M187" s="271">
        <v>1372</v>
      </c>
      <c r="N187" s="271">
        <v>1940</v>
      </c>
      <c r="O187" s="271">
        <v>1721</v>
      </c>
      <c r="P187" s="271">
        <v>1704</v>
      </c>
      <c r="Q187" s="271">
        <v>1625</v>
      </c>
      <c r="R187" s="735" t="s">
        <v>202</v>
      </c>
      <c r="S187" s="271">
        <v>1991</v>
      </c>
      <c r="T187" s="311">
        <f t="shared" si="41"/>
        <v>10.353</v>
      </c>
      <c r="U187" s="335">
        <f t="shared" si="40"/>
        <v>10353</v>
      </c>
      <c r="V187" s="407"/>
      <c r="W187" s="405">
        <v>2401</v>
      </c>
      <c r="X187" s="249" t="e">
        <f>W187+#REF!</f>
        <v>#REF!</v>
      </c>
      <c r="Y187" s="277"/>
      <c r="Z187" s="277"/>
    </row>
    <row r="188" spans="1:26" ht="21.95" customHeight="1">
      <c r="A188" s="406">
        <f t="shared" si="43"/>
        <v>10</v>
      </c>
      <c r="B188" s="343" t="s">
        <v>88</v>
      </c>
      <c r="C188" s="345" t="s">
        <v>89</v>
      </c>
      <c r="D188" s="310" t="s">
        <v>206</v>
      </c>
      <c r="E188" s="271"/>
      <c r="F188" s="271"/>
      <c r="G188" s="271"/>
      <c r="H188" s="271"/>
      <c r="I188" s="12"/>
      <c r="J188" s="12"/>
      <c r="K188" s="12"/>
      <c r="L188" s="12"/>
      <c r="M188" s="735" t="s">
        <v>202</v>
      </c>
      <c r="N188" s="271">
        <v>1940</v>
      </c>
      <c r="O188" s="271">
        <v>1721</v>
      </c>
      <c r="P188" s="271">
        <v>1704</v>
      </c>
      <c r="Q188" s="271">
        <v>1625</v>
      </c>
      <c r="R188" s="271">
        <v>1600</v>
      </c>
      <c r="S188" s="271">
        <v>1991</v>
      </c>
      <c r="T188" s="311">
        <f t="shared" si="41"/>
        <v>10.581</v>
      </c>
      <c r="U188" s="335">
        <f t="shared" si="40"/>
        <v>10581</v>
      </c>
      <c r="V188" s="407"/>
      <c r="W188" s="340">
        <v>0</v>
      </c>
      <c r="X188" s="249" t="e">
        <f>W188+#REF!</f>
        <v>#REF!</v>
      </c>
      <c r="Y188" s="277"/>
      <c r="Z188" s="277"/>
    </row>
    <row r="189" spans="1:26" ht="21.95" customHeight="1">
      <c r="A189" s="406">
        <f t="shared" si="43"/>
        <v>11</v>
      </c>
      <c r="B189" s="346" t="s">
        <v>90</v>
      </c>
      <c r="C189" s="338" t="s">
        <v>91</v>
      </c>
      <c r="D189" s="310" t="s">
        <v>206</v>
      </c>
      <c r="E189" s="271"/>
      <c r="F189" s="271"/>
      <c r="G189" s="271"/>
      <c r="H189" s="271"/>
      <c r="I189" s="12"/>
      <c r="J189" s="12"/>
      <c r="K189" s="12"/>
      <c r="L189" s="12"/>
      <c r="M189" s="735" t="s">
        <v>202</v>
      </c>
      <c r="N189" s="735" t="s">
        <v>202</v>
      </c>
      <c r="O189" s="271">
        <v>1721</v>
      </c>
      <c r="P189" s="271">
        <v>1704</v>
      </c>
      <c r="Q189" s="271">
        <v>1625</v>
      </c>
      <c r="R189" s="271">
        <v>1600</v>
      </c>
      <c r="S189" s="735" t="s">
        <v>202</v>
      </c>
      <c r="T189" s="311">
        <f t="shared" si="41"/>
        <v>6.65</v>
      </c>
      <c r="U189" s="335">
        <f t="shared" si="40"/>
        <v>6650</v>
      </c>
      <c r="V189" s="407"/>
      <c r="W189" s="405">
        <v>2401</v>
      </c>
      <c r="X189" s="249" t="e">
        <f>W189+#REF!</f>
        <v>#REF!</v>
      </c>
      <c r="Y189" s="277"/>
      <c r="Z189" s="277"/>
    </row>
    <row r="190" spans="1:26" ht="21.95" customHeight="1">
      <c r="A190" s="406">
        <f t="shared" si="43"/>
        <v>12</v>
      </c>
      <c r="B190" s="347" t="s">
        <v>92</v>
      </c>
      <c r="C190" s="348" t="s">
        <v>93</v>
      </c>
      <c r="D190" s="310" t="s">
        <v>206</v>
      </c>
      <c r="E190" s="271"/>
      <c r="F190" s="271"/>
      <c r="G190" s="271"/>
      <c r="H190" s="271"/>
      <c r="I190" s="12"/>
      <c r="J190" s="12"/>
      <c r="K190" s="12"/>
      <c r="L190" s="12"/>
      <c r="M190" s="271">
        <v>1372</v>
      </c>
      <c r="N190" s="271">
        <v>1940</v>
      </c>
      <c r="O190" s="271">
        <v>1721</v>
      </c>
      <c r="P190" s="271">
        <v>1704</v>
      </c>
      <c r="Q190" s="271">
        <v>1625</v>
      </c>
      <c r="R190" s="271">
        <v>1600</v>
      </c>
      <c r="S190" s="271">
        <v>1991</v>
      </c>
      <c r="T190" s="311">
        <f t="shared" si="41"/>
        <v>11.952999999999999</v>
      </c>
      <c r="U190" s="335">
        <f t="shared" si="40"/>
        <v>11953</v>
      </c>
      <c r="V190" s="407"/>
      <c r="W190" s="405">
        <v>2401</v>
      </c>
      <c r="X190" s="249" t="e">
        <f>W190+#REF!</f>
        <v>#REF!</v>
      </c>
      <c r="Y190" s="277"/>
      <c r="Z190" s="277"/>
    </row>
    <row r="191" spans="1:26" ht="21.95" customHeight="1">
      <c r="A191" s="406">
        <f t="shared" si="43"/>
        <v>13</v>
      </c>
      <c r="B191" s="347" t="s">
        <v>94</v>
      </c>
      <c r="C191" s="350" t="s">
        <v>95</v>
      </c>
      <c r="D191" s="310" t="s">
        <v>206</v>
      </c>
      <c r="E191" s="271"/>
      <c r="F191" s="271"/>
      <c r="G191" s="271"/>
      <c r="H191" s="271"/>
      <c r="I191" s="12"/>
      <c r="J191" s="12"/>
      <c r="K191" s="12"/>
      <c r="L191" s="12"/>
      <c r="M191" s="271">
        <v>1372</v>
      </c>
      <c r="N191" s="735" t="s">
        <v>202</v>
      </c>
      <c r="O191" s="271">
        <v>1720</v>
      </c>
      <c r="P191" s="271">
        <v>1705</v>
      </c>
      <c r="Q191" s="271">
        <v>1625</v>
      </c>
      <c r="R191" s="271">
        <v>1600</v>
      </c>
      <c r="S191" s="271">
        <v>1991</v>
      </c>
      <c r="T191" s="311">
        <f>ROUND(U191/1000,3)</f>
        <v>10.013</v>
      </c>
      <c r="U191" s="335">
        <f t="shared" si="40"/>
        <v>10013</v>
      </c>
      <c r="V191" s="407"/>
      <c r="W191" s="405"/>
      <c r="X191" s="249"/>
      <c r="Y191" s="277"/>
      <c r="Z191" s="277"/>
    </row>
    <row r="192" spans="1:26" ht="21.95" customHeight="1">
      <c r="A192" s="406">
        <f t="shared" si="43"/>
        <v>14</v>
      </c>
      <c r="B192" s="347" t="s">
        <v>96</v>
      </c>
      <c r="C192" s="350" t="s">
        <v>97</v>
      </c>
      <c r="D192" s="310" t="s">
        <v>206</v>
      </c>
      <c r="E192" s="271"/>
      <c r="F192" s="271"/>
      <c r="G192" s="271"/>
      <c r="H192" s="271"/>
      <c r="I192" s="12"/>
      <c r="J192" s="12"/>
      <c r="K192" s="12"/>
      <c r="L192" s="12"/>
      <c r="M192" s="271">
        <v>1372</v>
      </c>
      <c r="N192" s="735" t="s">
        <v>202</v>
      </c>
      <c r="O192" s="271">
        <v>1720</v>
      </c>
      <c r="P192" s="271">
        <v>1705</v>
      </c>
      <c r="Q192" s="735" t="s">
        <v>202</v>
      </c>
      <c r="R192" s="271">
        <v>1599</v>
      </c>
      <c r="S192" s="271">
        <v>1992</v>
      </c>
      <c r="T192" s="311">
        <f t="shared" si="41"/>
        <v>8.3879999999999999</v>
      </c>
      <c r="U192" s="335">
        <f t="shared" si="40"/>
        <v>8388</v>
      </c>
      <c r="V192" s="407"/>
      <c r="W192" s="405">
        <v>2401</v>
      </c>
      <c r="X192" s="249" t="e">
        <f>W192+#REF!</f>
        <v>#REF!</v>
      </c>
      <c r="Y192" s="277"/>
      <c r="Z192" s="277"/>
    </row>
    <row r="193" spans="1:26" ht="21.95" customHeight="1">
      <c r="A193" s="406">
        <f t="shared" si="43"/>
        <v>15</v>
      </c>
      <c r="B193" s="347" t="s">
        <v>98</v>
      </c>
      <c r="C193" s="351" t="s">
        <v>99</v>
      </c>
      <c r="D193" s="310" t="s">
        <v>206</v>
      </c>
      <c r="E193" s="271"/>
      <c r="F193" s="271"/>
      <c r="G193" s="271"/>
      <c r="H193" s="271"/>
      <c r="I193" s="12"/>
      <c r="J193" s="12"/>
      <c r="K193" s="12"/>
      <c r="L193" s="12"/>
      <c r="M193" s="271">
        <v>1372</v>
      </c>
      <c r="N193" s="271">
        <v>1940</v>
      </c>
      <c r="O193" s="271">
        <v>1720</v>
      </c>
      <c r="P193" s="271">
        <v>1705</v>
      </c>
      <c r="Q193" s="271">
        <v>1625</v>
      </c>
      <c r="R193" s="271">
        <v>1599</v>
      </c>
      <c r="S193" s="735" t="s">
        <v>202</v>
      </c>
      <c r="T193" s="311">
        <f>ROUND(U193/1000,3)</f>
        <v>9.9610000000000003</v>
      </c>
      <c r="U193" s="335">
        <f t="shared" si="40"/>
        <v>9961</v>
      </c>
      <c r="V193" s="407"/>
      <c r="W193" s="349"/>
      <c r="X193" s="249"/>
      <c r="Y193" s="277"/>
      <c r="Z193" s="277"/>
    </row>
    <row r="194" spans="1:26" ht="21.95" customHeight="1">
      <c r="A194" s="406">
        <f t="shared" si="43"/>
        <v>16</v>
      </c>
      <c r="B194" s="347" t="s">
        <v>100</v>
      </c>
      <c r="C194" s="351" t="s">
        <v>101</v>
      </c>
      <c r="D194" s="310" t="s">
        <v>206</v>
      </c>
      <c r="E194" s="271"/>
      <c r="F194" s="271"/>
      <c r="G194" s="271"/>
      <c r="H194" s="271"/>
      <c r="I194" s="12"/>
      <c r="J194" s="12"/>
      <c r="K194" s="12"/>
      <c r="L194" s="12"/>
      <c r="M194" s="271">
        <v>1372</v>
      </c>
      <c r="N194" s="271">
        <v>1940</v>
      </c>
      <c r="O194" s="271">
        <v>1720</v>
      </c>
      <c r="P194" s="271">
        <v>1705</v>
      </c>
      <c r="Q194" s="271">
        <v>1625</v>
      </c>
      <c r="R194" s="271">
        <v>1599</v>
      </c>
      <c r="S194" s="271">
        <v>1991</v>
      </c>
      <c r="T194" s="311">
        <f>ROUND(U194/1000,3)</f>
        <v>11.952</v>
      </c>
      <c r="U194" s="335">
        <f t="shared" si="40"/>
        <v>11952</v>
      </c>
      <c r="V194" s="407"/>
      <c r="W194" s="349"/>
      <c r="X194" s="249"/>
      <c r="Y194" s="277"/>
      <c r="Z194" s="277"/>
    </row>
    <row r="195" spans="1:26" ht="21.95" customHeight="1">
      <c r="A195" s="406">
        <f t="shared" si="43"/>
        <v>17</v>
      </c>
      <c r="B195" s="347" t="s">
        <v>102</v>
      </c>
      <c r="C195" s="351" t="s">
        <v>103</v>
      </c>
      <c r="D195" s="310" t="s">
        <v>206</v>
      </c>
      <c r="E195" s="271"/>
      <c r="F195" s="271"/>
      <c r="G195" s="271"/>
      <c r="H195" s="271"/>
      <c r="I195" s="12"/>
      <c r="J195" s="12"/>
      <c r="K195" s="12"/>
      <c r="L195" s="12"/>
      <c r="M195" s="271">
        <v>1372</v>
      </c>
      <c r="N195" s="271">
        <v>1940</v>
      </c>
      <c r="O195" s="271">
        <v>1720</v>
      </c>
      <c r="P195" s="271">
        <v>1705</v>
      </c>
      <c r="Q195" s="271">
        <v>1625</v>
      </c>
      <c r="R195" s="271">
        <v>1599</v>
      </c>
      <c r="S195" s="271">
        <v>1991</v>
      </c>
      <c r="T195" s="311">
        <f t="shared" si="41"/>
        <v>11.952</v>
      </c>
      <c r="U195" s="335">
        <f t="shared" si="40"/>
        <v>11952</v>
      </c>
      <c r="V195" s="407"/>
      <c r="W195" s="340">
        <v>0</v>
      </c>
      <c r="X195" s="249" t="e">
        <f>W195+#REF!</f>
        <v>#REF!</v>
      </c>
      <c r="Y195" s="277"/>
      <c r="Z195" s="277"/>
    </row>
    <row r="196" spans="1:26" ht="21.95" customHeight="1">
      <c r="A196" s="406">
        <f t="shared" si="43"/>
        <v>18</v>
      </c>
      <c r="B196" s="347" t="s">
        <v>104</v>
      </c>
      <c r="C196" s="352" t="s">
        <v>105</v>
      </c>
      <c r="D196" s="310" t="s">
        <v>206</v>
      </c>
      <c r="E196" s="271"/>
      <c r="F196" s="271"/>
      <c r="G196" s="271"/>
      <c r="H196" s="271"/>
      <c r="I196" s="12"/>
      <c r="J196" s="12"/>
      <c r="K196" s="12"/>
      <c r="L196" s="12"/>
      <c r="M196" s="271">
        <v>1372</v>
      </c>
      <c r="N196" s="271">
        <v>1940</v>
      </c>
      <c r="O196" s="271">
        <v>1720</v>
      </c>
      <c r="P196" s="271">
        <v>1705</v>
      </c>
      <c r="Q196" s="271">
        <v>1625</v>
      </c>
      <c r="R196" s="271">
        <v>1599</v>
      </c>
      <c r="S196" s="271">
        <v>1991</v>
      </c>
      <c r="T196" s="311">
        <f t="shared" si="41"/>
        <v>11.952</v>
      </c>
      <c r="U196" s="335">
        <f t="shared" si="40"/>
        <v>11952</v>
      </c>
      <c r="V196" s="407"/>
      <c r="W196" s="340">
        <v>0</v>
      </c>
      <c r="X196" s="249" t="e">
        <f>W196+#REF!</f>
        <v>#REF!</v>
      </c>
      <c r="Y196" s="277"/>
      <c r="Z196" s="277"/>
    </row>
    <row r="197" spans="1:26" ht="21.95" customHeight="1">
      <c r="A197" s="406">
        <f t="shared" si="43"/>
        <v>19</v>
      </c>
      <c r="B197" s="343" t="s">
        <v>219</v>
      </c>
      <c r="C197" s="352" t="s">
        <v>220</v>
      </c>
      <c r="D197" s="310" t="s">
        <v>206</v>
      </c>
      <c r="E197" s="271"/>
      <c r="F197" s="271"/>
      <c r="G197" s="271"/>
      <c r="H197" s="271"/>
      <c r="I197" s="12"/>
      <c r="J197" s="12"/>
      <c r="K197" s="12"/>
      <c r="L197" s="12"/>
      <c r="M197" s="271">
        <v>1372</v>
      </c>
      <c r="N197" s="271">
        <v>1940</v>
      </c>
      <c r="O197" s="271">
        <v>1720</v>
      </c>
      <c r="P197" s="271">
        <v>1705</v>
      </c>
      <c r="Q197" s="271">
        <v>1625</v>
      </c>
      <c r="R197" s="271">
        <v>1599</v>
      </c>
      <c r="S197" s="271">
        <v>1991</v>
      </c>
      <c r="T197" s="311">
        <f t="shared" si="41"/>
        <v>11.952</v>
      </c>
      <c r="U197" s="335">
        <f t="shared" si="40"/>
        <v>11952</v>
      </c>
      <c r="V197" s="407"/>
      <c r="W197" s="340"/>
      <c r="X197" s="249"/>
      <c r="Y197" s="277"/>
      <c r="Z197" s="277"/>
    </row>
    <row r="198" spans="1:26" ht="21.95" customHeight="1">
      <c r="A198" s="406">
        <f t="shared" si="43"/>
        <v>20</v>
      </c>
      <c r="B198" s="564" t="s">
        <v>278</v>
      </c>
      <c r="C198" s="352" t="s">
        <v>279</v>
      </c>
      <c r="D198" s="310" t="s">
        <v>206</v>
      </c>
      <c r="E198" s="271"/>
      <c r="F198" s="271"/>
      <c r="G198" s="271"/>
      <c r="H198" s="271"/>
      <c r="I198" s="12"/>
      <c r="J198" s="12"/>
      <c r="K198" s="12"/>
      <c r="L198" s="12"/>
      <c r="M198" s="735" t="s">
        <v>202</v>
      </c>
      <c r="N198" s="735" t="s">
        <v>202</v>
      </c>
      <c r="O198" s="735" t="s">
        <v>202</v>
      </c>
      <c r="P198" s="735" t="s">
        <v>202</v>
      </c>
      <c r="Q198" s="271">
        <v>1625</v>
      </c>
      <c r="R198" s="271">
        <v>1599</v>
      </c>
      <c r="S198" s="271">
        <v>1992</v>
      </c>
      <c r="T198" s="311">
        <f t="shared" si="41"/>
        <v>5.2160000000000002</v>
      </c>
      <c r="U198" s="335">
        <f t="shared" si="40"/>
        <v>5216</v>
      </c>
      <c r="V198" s="407"/>
      <c r="W198" s="340"/>
      <c r="X198" s="249"/>
      <c r="Y198" s="277"/>
      <c r="Z198" s="277"/>
    </row>
    <row r="199" spans="1:26" ht="21.95" customHeight="1">
      <c r="A199" s="406">
        <f t="shared" si="43"/>
        <v>21</v>
      </c>
      <c r="B199" s="343" t="s">
        <v>280</v>
      </c>
      <c r="C199" s="352" t="s">
        <v>281</v>
      </c>
      <c r="D199" s="310" t="s">
        <v>206</v>
      </c>
      <c r="E199" s="271"/>
      <c r="F199" s="271"/>
      <c r="G199" s="271"/>
      <c r="H199" s="271"/>
      <c r="I199" s="12"/>
      <c r="J199" s="12"/>
      <c r="K199" s="12"/>
      <c r="L199" s="12"/>
      <c r="M199" s="271">
        <v>1372</v>
      </c>
      <c r="N199" s="271">
        <v>1940</v>
      </c>
      <c r="O199" s="735" t="s">
        <v>202</v>
      </c>
      <c r="P199" s="735" t="s">
        <v>202</v>
      </c>
      <c r="Q199" s="271">
        <v>1625</v>
      </c>
      <c r="R199" s="271">
        <v>1599</v>
      </c>
      <c r="S199" s="271">
        <v>1991</v>
      </c>
      <c r="T199" s="311">
        <f>ROUND(U199/1000,3)</f>
        <v>8.5269999999999992</v>
      </c>
      <c r="U199" s="335">
        <f t="shared" si="40"/>
        <v>8527</v>
      </c>
      <c r="V199" s="407"/>
      <c r="W199" s="340"/>
      <c r="X199" s="249"/>
      <c r="Y199" s="277"/>
      <c r="Z199" s="277"/>
    </row>
    <row r="200" spans="1:26" ht="21.95" customHeight="1">
      <c r="A200" s="406">
        <f t="shared" si="43"/>
        <v>22</v>
      </c>
      <c r="B200" s="14" t="s">
        <v>135</v>
      </c>
      <c r="C200" s="365" t="s">
        <v>136</v>
      </c>
      <c r="D200" s="310" t="s">
        <v>206</v>
      </c>
      <c r="E200" s="271"/>
      <c r="F200" s="271"/>
      <c r="G200" s="271"/>
      <c r="H200" s="271"/>
      <c r="I200" s="12"/>
      <c r="J200" s="12"/>
      <c r="K200" s="12"/>
      <c r="L200" s="12"/>
      <c r="M200" s="271">
        <v>1372</v>
      </c>
      <c r="N200" s="271">
        <v>1940</v>
      </c>
      <c r="O200" s="271">
        <v>1720</v>
      </c>
      <c r="P200" s="271">
        <v>1705</v>
      </c>
      <c r="Q200" s="271">
        <v>1625</v>
      </c>
      <c r="R200" s="271">
        <v>1599</v>
      </c>
      <c r="S200" s="271">
        <v>1991</v>
      </c>
      <c r="T200" s="311">
        <f>ROUND(U200/1000,3)</f>
        <v>11.952</v>
      </c>
      <c r="U200" s="335">
        <f t="shared" si="40"/>
        <v>11952</v>
      </c>
      <c r="V200" s="407"/>
      <c r="W200" s="340"/>
      <c r="X200" s="249"/>
      <c r="Y200" s="277"/>
      <c r="Z200" s="277"/>
    </row>
    <row r="201" spans="1:26" s="305" customFormat="1" ht="21.95" customHeight="1" thickBot="1">
      <c r="A201" s="408"/>
      <c r="B201" s="841" t="s">
        <v>54</v>
      </c>
      <c r="C201" s="841"/>
      <c r="D201" s="409"/>
      <c r="E201" s="565">
        <f>SUM(E179:E200)</f>
        <v>0</v>
      </c>
      <c r="F201" s="565">
        <f t="shared" ref="F201:S201" si="44">SUM(F179:F200)</f>
        <v>0</v>
      </c>
      <c r="G201" s="565">
        <f t="shared" si="44"/>
        <v>0</v>
      </c>
      <c r="H201" s="565">
        <f t="shared" si="44"/>
        <v>0</v>
      </c>
      <c r="I201" s="565">
        <f t="shared" si="44"/>
        <v>0</v>
      </c>
      <c r="J201" s="565">
        <f t="shared" si="44"/>
        <v>0</v>
      </c>
      <c r="K201" s="565">
        <f t="shared" si="44"/>
        <v>0</v>
      </c>
      <c r="L201" s="565">
        <f>SUM(L179:L200)</f>
        <v>0</v>
      </c>
      <c r="M201" s="565">
        <f t="shared" si="44"/>
        <v>26075</v>
      </c>
      <c r="N201" s="565">
        <f t="shared" si="44"/>
        <v>33950</v>
      </c>
      <c r="O201" s="565">
        <f t="shared" si="44"/>
        <v>34405</v>
      </c>
      <c r="P201" s="565">
        <f t="shared" si="44"/>
        <v>34090</v>
      </c>
      <c r="Q201" s="565">
        <f t="shared" si="44"/>
        <v>34125</v>
      </c>
      <c r="R201" s="565">
        <f t="shared" si="44"/>
        <v>31990</v>
      </c>
      <c r="S201" s="565">
        <f t="shared" si="44"/>
        <v>35840</v>
      </c>
      <c r="T201" s="411">
        <f>SUM(T179:T200)</f>
        <v>230.47500000000002</v>
      </c>
      <c r="U201" s="410">
        <f>SUM(U179:U200)</f>
        <v>230475</v>
      </c>
      <c r="V201" s="412"/>
      <c r="W201" s="413">
        <f>SUM(W178:W196)</f>
        <v>26416</v>
      </c>
    </row>
    <row r="202" spans="1:26" s="359" customFormat="1" ht="16.5" hidden="1" customHeight="1" thickTop="1">
      <c r="A202" s="353"/>
      <c r="B202" s="354"/>
      <c r="C202" s="354"/>
      <c r="D202" s="353"/>
      <c r="E202" s="355">
        <f>VLOOKUP(E178,'[3]KL mủ TPto1'!$A$11:$K$25,11)</f>
        <v>0</v>
      </c>
      <c r="F202" s="355">
        <f>VLOOKUP(F178,'[3]KL mủ TPto1'!$A$11:$K$25,11)</f>
        <v>0</v>
      </c>
      <c r="G202" s="355">
        <f>VLOOKUP(G178,'[3]KL mủ TPto1'!$A$11:$K$25,11)</f>
        <v>0</v>
      </c>
      <c r="H202" s="355">
        <f>VLOOKUP(H178,'[3]KL mủ TPto1'!$A$11:$K$25,11)</f>
        <v>0</v>
      </c>
      <c r="I202" s="355">
        <f>VLOOKUP(I178,'[3]KL mủ TPto1'!$A$11:$K$25,11)</f>
        <v>0</v>
      </c>
      <c r="J202" s="355">
        <f>VLOOKUP(J178,'[3]KL mủ TPto1'!$A$11:$K$25,11)</f>
        <v>0</v>
      </c>
      <c r="K202" s="355">
        <f>VLOOKUP(K178,'[3]KL mủ TPto1'!$A$11:$K$25,11)</f>
        <v>0</v>
      </c>
      <c r="L202" s="355">
        <f>VLOOKUP(L178,'[3]KL mủ TPto1'!$A$11:$K$25,11)</f>
        <v>0</v>
      </c>
      <c r="M202" s="355">
        <f>VLOOKUP(M178,'[3]KL mủ TPto1'!$A$11:$K$25,11)</f>
        <v>26075</v>
      </c>
      <c r="N202" s="355">
        <f>VLOOKUP(N178,'[3]KL mủ TPto1'!$A$11:$K$25,11)</f>
        <v>33950</v>
      </c>
      <c r="O202" s="355">
        <f>VLOOKUP(O178,'[3]KL mủ TPto1'!$A$11:$K$25,11)</f>
        <v>34405</v>
      </c>
      <c r="P202" s="355">
        <f>VLOOKUP(P178,'[3]KL mủ TPto1'!$A$11:$K$25,11)</f>
        <v>34090</v>
      </c>
      <c r="Q202" s="355">
        <f>VLOOKUP(Q178,'[3]KL mủ TPto1'!$A$11:$K$25,11)</f>
        <v>34125</v>
      </c>
      <c r="R202" s="355">
        <f>VLOOKUP(R178,'[3]KL mủ TPto1'!$A$11:$K$25,11)</f>
        <v>31990</v>
      </c>
      <c r="S202" s="355">
        <f>VLOOKUP(S178,'[3]KL mủ TPto1'!$A$11:$K$25,11)</f>
        <v>35840</v>
      </c>
      <c r="T202" s="357">
        <f>SUM(E202:S202)</f>
        <v>230475</v>
      </c>
      <c r="U202" s="356"/>
      <c r="V202" s="353"/>
      <c r="W202" s="358">
        <v>31220</v>
      </c>
    </row>
    <row r="203" spans="1:26" s="305" customFormat="1" ht="15.75" hidden="1" thickTop="1">
      <c r="E203" s="360">
        <v>17</v>
      </c>
      <c r="F203" s="360">
        <v>19</v>
      </c>
      <c r="G203" s="360">
        <v>17</v>
      </c>
      <c r="H203" s="360">
        <v>20</v>
      </c>
      <c r="I203" s="360">
        <v>0</v>
      </c>
      <c r="J203" s="360">
        <v>0</v>
      </c>
      <c r="K203" s="360">
        <v>0</v>
      </c>
      <c r="L203" s="360">
        <v>0</v>
      </c>
      <c r="M203" s="360">
        <v>19</v>
      </c>
      <c r="N203" s="360">
        <v>17.5</v>
      </c>
      <c r="O203" s="360">
        <v>20</v>
      </c>
      <c r="P203" s="360">
        <v>20</v>
      </c>
      <c r="Q203" s="360">
        <v>21</v>
      </c>
      <c r="R203" s="360">
        <v>20</v>
      </c>
      <c r="S203" s="360">
        <v>18</v>
      </c>
      <c r="T203" s="361" t="e">
        <f>#REF!-#REF!</f>
        <v>#REF!</v>
      </c>
      <c r="W203" s="328">
        <f>COUNTIF(W178:W196,"X")</f>
        <v>0</v>
      </c>
      <c r="Y203" s="305" t="s">
        <v>209</v>
      </c>
    </row>
    <row r="204" spans="1:26" s="305" customFormat="1" ht="14.25" hidden="1" customHeight="1">
      <c r="E204" s="360">
        <f>COUNTIF(E179:E200,"X")+0.5*COUNTIF(E179:E200,"/")</f>
        <v>0</v>
      </c>
      <c r="F204" s="360">
        <f t="shared" ref="F204:L204" si="45">COUNTIF(F179:F200,"X")+0.5*COUNTIF(F179:F200,"/")</f>
        <v>0</v>
      </c>
      <c r="G204" s="360">
        <f t="shared" si="45"/>
        <v>0</v>
      </c>
      <c r="H204" s="360">
        <f t="shared" si="45"/>
        <v>0</v>
      </c>
      <c r="I204" s="360">
        <f t="shared" si="45"/>
        <v>0</v>
      </c>
      <c r="J204" s="360">
        <f t="shared" si="45"/>
        <v>0</v>
      </c>
      <c r="K204" s="360">
        <f t="shared" si="45"/>
        <v>0</v>
      </c>
      <c r="L204" s="360">
        <f t="shared" si="45"/>
        <v>0</v>
      </c>
      <c r="M204" s="360">
        <f>COUNTIF(M179:M200,"X")+0.5*COUNTIF(M179:M200,"/")</f>
        <v>0</v>
      </c>
      <c r="N204" s="360">
        <f t="shared" ref="N204:S204" si="46">COUNTIF(N179:N200,"X")+0.5*COUNTIF(N179:N200,"/")</f>
        <v>0</v>
      </c>
      <c r="O204" s="360">
        <f t="shared" si="46"/>
        <v>0</v>
      </c>
      <c r="P204" s="360">
        <f t="shared" si="46"/>
        <v>0</v>
      </c>
      <c r="Q204" s="360">
        <f t="shared" si="46"/>
        <v>0</v>
      </c>
      <c r="R204" s="360">
        <f t="shared" si="46"/>
        <v>0</v>
      </c>
      <c r="S204" s="360">
        <f t="shared" si="46"/>
        <v>0</v>
      </c>
      <c r="T204" s="360"/>
    </row>
    <row r="205" spans="1:26" s="359" customFormat="1" ht="13.5" hidden="1" thickTop="1">
      <c r="E205" s="362">
        <f>ROUND(E202/E203,2)</f>
        <v>0</v>
      </c>
      <c r="F205" s="362">
        <f t="shared" ref="F205:T205" si="47">ROUND(F202/F203,2)</f>
        <v>0</v>
      </c>
      <c r="G205" s="362">
        <f>ROUND(G202/G203,2)</f>
        <v>0</v>
      </c>
      <c r="H205" s="362">
        <f t="shared" si="47"/>
        <v>0</v>
      </c>
      <c r="I205" s="362" t="e">
        <f t="shared" si="47"/>
        <v>#DIV/0!</v>
      </c>
      <c r="J205" s="362" t="e">
        <f t="shared" si="47"/>
        <v>#DIV/0!</v>
      </c>
      <c r="K205" s="362" t="e">
        <f t="shared" si="47"/>
        <v>#DIV/0!</v>
      </c>
      <c r="L205" s="362" t="e">
        <f t="shared" si="47"/>
        <v>#DIV/0!</v>
      </c>
      <c r="M205" s="362">
        <f t="shared" si="47"/>
        <v>1372.37</v>
      </c>
      <c r="N205" s="362">
        <f t="shared" si="47"/>
        <v>1940</v>
      </c>
      <c r="O205" s="362">
        <f>ROUND(O202/O203,2)</f>
        <v>1720.25</v>
      </c>
      <c r="P205" s="362">
        <f t="shared" si="47"/>
        <v>1704.5</v>
      </c>
      <c r="Q205" s="362">
        <f t="shared" si="47"/>
        <v>1625</v>
      </c>
      <c r="R205" s="362">
        <f>ROUND(R202/R203,2)</f>
        <v>1599.5</v>
      </c>
      <c r="S205" s="363">
        <f>ROUND(S202/S203,2)</f>
        <v>1991.11</v>
      </c>
      <c r="T205" s="362" t="e">
        <f t="shared" si="47"/>
        <v>#REF!</v>
      </c>
      <c r="W205" s="362" t="e">
        <f>ROUND(W202/W203,2)</f>
        <v>#DIV/0!</v>
      </c>
    </row>
    <row r="206" spans="1:26" s="359" customFormat="1" ht="13.5" hidden="1" thickTop="1">
      <c r="E206" s="364">
        <f t="shared" ref="E206:S206" si="48">E201-E202</f>
        <v>0</v>
      </c>
      <c r="F206" s="364">
        <f t="shared" si="48"/>
        <v>0</v>
      </c>
      <c r="G206" s="364">
        <f t="shared" si="48"/>
        <v>0</v>
      </c>
      <c r="H206" s="364">
        <f t="shared" si="48"/>
        <v>0</v>
      </c>
      <c r="I206" s="364">
        <f t="shared" si="48"/>
        <v>0</v>
      </c>
      <c r="J206" s="364">
        <f t="shared" si="48"/>
        <v>0</v>
      </c>
      <c r="K206" s="364">
        <f t="shared" si="48"/>
        <v>0</v>
      </c>
      <c r="L206" s="364">
        <f t="shared" si="48"/>
        <v>0</v>
      </c>
      <c r="M206" s="364">
        <f t="shared" si="48"/>
        <v>0</v>
      </c>
      <c r="N206" s="364">
        <f t="shared" si="48"/>
        <v>0</v>
      </c>
      <c r="O206" s="364">
        <f t="shared" si="48"/>
        <v>0</v>
      </c>
      <c r="P206" s="364">
        <f t="shared" si="48"/>
        <v>0</v>
      </c>
      <c r="Q206" s="364">
        <f t="shared" si="48"/>
        <v>0</v>
      </c>
      <c r="R206" s="364">
        <f t="shared" si="48"/>
        <v>0</v>
      </c>
      <c r="S206" s="364">
        <f t="shared" si="48"/>
        <v>0</v>
      </c>
      <c r="T206" s="363"/>
    </row>
    <row r="207" spans="1:26" s="359" customFormat="1" ht="13.5" hidden="1" thickTop="1">
      <c r="E207" s="363"/>
      <c r="F207" s="363">
        <f>F205/2</f>
        <v>0</v>
      </c>
      <c r="G207" s="363">
        <f>G205/2</f>
        <v>0</v>
      </c>
      <c r="H207" s="363"/>
      <c r="I207" s="363"/>
      <c r="J207" s="363"/>
      <c r="K207" s="363"/>
      <c r="L207" s="363" t="e">
        <f>L205/2</f>
        <v>#DIV/0!</v>
      </c>
      <c r="M207" s="363"/>
      <c r="N207" s="363">
        <f>N205/2</f>
        <v>970</v>
      </c>
      <c r="O207" s="363">
        <f>O205/2</f>
        <v>860.125</v>
      </c>
      <c r="P207" s="363"/>
      <c r="Q207" s="363"/>
      <c r="R207" s="363">
        <f>R205/2</f>
        <v>799.75</v>
      </c>
      <c r="S207" s="363">
        <f>S205/2</f>
        <v>995.55499999999995</v>
      </c>
      <c r="T207" s="363">
        <f>R205/2</f>
        <v>799.75</v>
      </c>
    </row>
    <row r="208" spans="1:26" s="359" customFormat="1" ht="13.5" thickTop="1">
      <c r="E208" s="363"/>
      <c r="F208" s="363"/>
      <c r="G208" s="363"/>
      <c r="H208" s="363"/>
      <c r="I208" s="363"/>
      <c r="J208" s="363"/>
      <c r="K208" s="363"/>
      <c r="L208" s="363"/>
      <c r="M208" s="363"/>
      <c r="N208" s="363"/>
      <c r="O208" s="363"/>
      <c r="P208" s="363"/>
      <c r="Q208" s="363"/>
      <c r="R208" s="363"/>
      <c r="S208" s="363"/>
      <c r="T208" s="363"/>
    </row>
    <row r="209" spans="1:26" s="359" customFormat="1" ht="12.75">
      <c r="E209" s="363"/>
      <c r="F209" s="363"/>
      <c r="G209" s="363"/>
      <c r="H209" s="363"/>
      <c r="I209" s="363"/>
      <c r="J209" s="363"/>
      <c r="K209" s="363"/>
      <c r="L209" s="363"/>
      <c r="M209" s="363"/>
      <c r="N209" s="363"/>
      <c r="O209" s="363"/>
      <c r="P209" s="363"/>
      <c r="Q209" s="363"/>
      <c r="R209" s="363"/>
      <c r="S209" s="363"/>
      <c r="T209" s="363"/>
    </row>
    <row r="210" spans="1:26" s="359" customFormat="1" ht="12.75"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3"/>
      <c r="P210" s="363"/>
      <c r="Q210" s="363"/>
      <c r="R210" s="363"/>
      <c r="S210" s="363"/>
      <c r="T210" s="363"/>
    </row>
    <row r="211" spans="1:26" s="359" customFormat="1" ht="12.75"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3"/>
      <c r="P211" s="363"/>
      <c r="Q211" s="363"/>
      <c r="R211" s="363"/>
      <c r="S211" s="363"/>
      <c r="T211" s="363"/>
    </row>
    <row r="212" spans="1:26" s="359" customFormat="1" ht="25.5">
      <c r="A212" s="789" t="s">
        <v>0</v>
      </c>
      <c r="B212" s="789"/>
      <c r="C212" s="789"/>
      <c r="D212" s="789"/>
      <c r="E212" s="789"/>
      <c r="F212" s="260"/>
      <c r="G212" s="260"/>
      <c r="H212" s="260"/>
      <c r="I212" s="244"/>
      <c r="J212" s="244"/>
      <c r="K212" s="244"/>
      <c r="L212" s="261"/>
      <c r="M212" s="261"/>
      <c r="N212" s="261"/>
      <c r="O212" s="261"/>
      <c r="P212" s="261"/>
      <c r="Q212" s="261"/>
      <c r="R212" s="261"/>
      <c r="S212" s="261"/>
      <c r="T212" s="790"/>
      <c r="U212" s="790"/>
      <c r="V212" s="244"/>
    </row>
    <row r="213" spans="1:26" s="359" customFormat="1" ht="15.75">
      <c r="A213" s="828" t="s">
        <v>194</v>
      </c>
      <c r="B213" s="828"/>
      <c r="C213" s="828"/>
      <c r="D213" s="828"/>
      <c r="E213" s="828"/>
      <c r="F213" s="260"/>
      <c r="G213" s="260"/>
      <c r="H213" s="260"/>
      <c r="I213" s="244"/>
      <c r="J213" s="244"/>
      <c r="K213" s="244"/>
      <c r="L213" s="261"/>
      <c r="M213" s="261"/>
      <c r="N213" s="261"/>
      <c r="O213" s="261"/>
      <c r="P213" s="261"/>
      <c r="Q213" s="261"/>
      <c r="R213" s="261"/>
      <c r="S213" s="261"/>
      <c r="T213" s="792"/>
      <c r="U213" s="792"/>
      <c r="V213" s="244"/>
    </row>
    <row r="214" spans="1:26" s="359" customFormat="1" ht="25.5" hidden="1">
      <c r="A214" s="789" t="s">
        <v>4</v>
      </c>
      <c r="B214" s="789"/>
      <c r="C214" s="789"/>
      <c r="D214" s="789"/>
      <c r="E214" s="789"/>
      <c r="F214" s="260"/>
      <c r="G214" s="260"/>
      <c r="H214" s="260"/>
      <c r="I214" s="244"/>
      <c r="J214" s="244"/>
      <c r="K214" s="244"/>
      <c r="L214" s="244"/>
      <c r="M214" s="244"/>
      <c r="N214" s="244"/>
      <c r="O214" s="244"/>
      <c r="P214" s="244"/>
      <c r="Q214" s="244"/>
      <c r="R214" s="244"/>
      <c r="S214" s="244"/>
      <c r="T214" s="790"/>
      <c r="U214" s="790"/>
      <c r="V214" s="244"/>
    </row>
    <row r="215" spans="1:26" s="305" customFormat="1" ht="15.75" hidden="1">
      <c r="A215" s="830" t="s">
        <v>6</v>
      </c>
      <c r="B215" s="830"/>
      <c r="C215" s="830"/>
      <c r="D215" s="830"/>
      <c r="E215" s="830"/>
      <c r="F215" s="260"/>
      <c r="G215" s="260"/>
      <c r="H215" s="260"/>
      <c r="I215" s="244"/>
      <c r="J215" s="244"/>
      <c r="K215" s="244"/>
      <c r="L215" s="244"/>
      <c r="M215" s="244"/>
      <c r="N215" s="244"/>
      <c r="O215" s="244"/>
      <c r="P215" s="244"/>
      <c r="Q215" s="244"/>
      <c r="R215" s="244"/>
      <c r="S215" s="244"/>
      <c r="T215" s="795"/>
      <c r="U215" s="795"/>
      <c r="V215" s="244"/>
    </row>
    <row r="216" spans="1:26" s="305" customFormat="1" ht="29.25">
      <c r="A216" s="844" t="s">
        <v>195</v>
      </c>
      <c r="B216" s="845"/>
      <c r="C216" s="845"/>
      <c r="D216" s="845"/>
      <c r="E216" s="845"/>
      <c r="F216" s="845"/>
      <c r="G216" s="845"/>
      <c r="H216" s="845"/>
      <c r="I216" s="845"/>
      <c r="J216" s="845"/>
      <c r="K216" s="845"/>
      <c r="L216" s="845"/>
      <c r="M216" s="845"/>
      <c r="N216" s="845"/>
      <c r="O216" s="845"/>
      <c r="P216" s="845"/>
      <c r="Q216" s="845"/>
      <c r="R216" s="845"/>
      <c r="S216" s="845"/>
      <c r="T216" s="845"/>
      <c r="U216" s="845"/>
      <c r="V216" s="845"/>
    </row>
    <row r="217" spans="1:26" s="305" customFormat="1" ht="29.25">
      <c r="A217" s="844" t="str">
        <f>A174</f>
        <v xml:space="preserve">ថ្ងៃ  ០១-១៥ ខែ ០១ ឆ្នាំ ២០២៦ </v>
      </c>
      <c r="B217" s="845"/>
      <c r="C217" s="845"/>
      <c r="D217" s="845"/>
      <c r="E217" s="845"/>
      <c r="F217" s="845"/>
      <c r="G217" s="845"/>
      <c r="H217" s="845"/>
      <c r="I217" s="845"/>
      <c r="J217" s="845"/>
      <c r="K217" s="845"/>
      <c r="L217" s="845"/>
      <c r="M217" s="845"/>
      <c r="N217" s="845"/>
      <c r="O217" s="845"/>
      <c r="P217" s="845"/>
      <c r="Q217" s="845"/>
      <c r="R217" s="845"/>
      <c r="S217" s="845"/>
      <c r="T217" s="845"/>
      <c r="U217" s="845"/>
      <c r="V217" s="845"/>
    </row>
    <row r="218" spans="1:26" s="305" customFormat="1" ht="18.75">
      <c r="A218" s="803" t="s">
        <v>356</v>
      </c>
      <c r="B218" s="803"/>
      <c r="C218" s="803"/>
      <c r="D218" s="803"/>
      <c r="E218" s="803"/>
      <c r="F218" s="803"/>
      <c r="G218" s="803"/>
      <c r="H218" s="803"/>
      <c r="I218" s="803"/>
      <c r="J218" s="803"/>
      <c r="K218" s="803"/>
      <c r="L218" s="803"/>
      <c r="M218" s="803"/>
      <c r="N218" s="803"/>
      <c r="O218" s="803"/>
      <c r="P218" s="803"/>
      <c r="Q218" s="803"/>
      <c r="R218" s="803"/>
      <c r="S218" s="803"/>
      <c r="T218" s="803"/>
      <c r="U218" s="803"/>
      <c r="V218" s="803"/>
    </row>
    <row r="219" spans="1:26" s="305" customFormat="1" ht="15.75">
      <c r="A219" s="792" t="str">
        <f>A176</f>
        <v>NGÀY​​​​ 01 ĐẾN 15 THÁNG 01 NĂM 2026</v>
      </c>
      <c r="B219" s="792"/>
      <c r="C219" s="792"/>
      <c r="D219" s="792"/>
      <c r="E219" s="792"/>
      <c r="F219" s="792"/>
      <c r="G219" s="792"/>
      <c r="H219" s="792"/>
      <c r="I219" s="792"/>
      <c r="J219" s="792"/>
      <c r="K219" s="792"/>
      <c r="L219" s="792"/>
      <c r="M219" s="792"/>
      <c r="N219" s="792"/>
      <c r="O219" s="792"/>
      <c r="P219" s="792"/>
      <c r="Q219" s="792"/>
      <c r="R219" s="792"/>
      <c r="S219" s="792"/>
      <c r="T219" s="792"/>
      <c r="U219" s="792"/>
      <c r="V219" s="792"/>
    </row>
    <row r="220" spans="1:26" s="305" customFormat="1" ht="15.75">
      <c r="A220" s="264"/>
      <c r="B220" s="265"/>
      <c r="C220" s="265"/>
      <c r="D220" s="265"/>
      <c r="E220" s="798"/>
      <c r="F220" s="798"/>
      <c r="G220" s="798"/>
      <c r="H220" s="798"/>
      <c r="I220" s="798"/>
      <c r="J220" s="798"/>
      <c r="K220" s="798"/>
      <c r="L220" s="798"/>
      <c r="M220" s="798"/>
      <c r="N220" s="798"/>
      <c r="O220" s="798"/>
      <c r="P220" s="798"/>
      <c r="Q220" s="798"/>
      <c r="R220" s="798"/>
      <c r="S220" s="798"/>
      <c r="T220" s="264"/>
      <c r="U220" s="264"/>
      <c r="V220" s="244"/>
    </row>
    <row r="221" spans="1:26" s="305" customFormat="1" ht="43.5">
      <c r="A221" s="700" t="s">
        <v>176</v>
      </c>
      <c r="B221" s="837" t="s">
        <v>197</v>
      </c>
      <c r="C221" s="837"/>
      <c r="D221" s="700" t="s">
        <v>198</v>
      </c>
      <c r="E221" s="308">
        <f>E178</f>
        <v>1</v>
      </c>
      <c r="F221" s="308">
        <f>E221+1</f>
        <v>2</v>
      </c>
      <c r="G221" s="308">
        <f t="shared" ref="G221:H221" si="49">F221+1</f>
        <v>3</v>
      </c>
      <c r="H221" s="308">
        <f t="shared" si="49"/>
        <v>4</v>
      </c>
      <c r="I221" s="308">
        <f>H221+1</f>
        <v>5</v>
      </c>
      <c r="J221" s="308">
        <f t="shared" ref="J221:Q221" si="50">I221+1</f>
        <v>6</v>
      </c>
      <c r="K221" s="308">
        <f t="shared" si="50"/>
        <v>7</v>
      </c>
      <c r="L221" s="308">
        <f t="shared" si="50"/>
        <v>8</v>
      </c>
      <c r="M221" s="308">
        <f t="shared" si="50"/>
        <v>9</v>
      </c>
      <c r="N221" s="308">
        <f t="shared" si="50"/>
        <v>10</v>
      </c>
      <c r="O221" s="308">
        <f t="shared" si="50"/>
        <v>11</v>
      </c>
      <c r="P221" s="308">
        <f t="shared" si="50"/>
        <v>12</v>
      </c>
      <c r="Q221" s="308">
        <f t="shared" si="50"/>
        <v>13</v>
      </c>
      <c r="R221" s="308">
        <f>Q221+1</f>
        <v>14</v>
      </c>
      <c r="S221" s="308">
        <f>R221+1</f>
        <v>15</v>
      </c>
      <c r="T221" s="309" t="s">
        <v>274</v>
      </c>
      <c r="U221" s="309" t="s">
        <v>199</v>
      </c>
      <c r="V221" s="266" t="s">
        <v>205</v>
      </c>
    </row>
    <row r="222" spans="1:26" s="305" customFormat="1" ht="23.25">
      <c r="A222" s="267">
        <v>1</v>
      </c>
      <c r="B222" s="567" t="s">
        <v>131</v>
      </c>
      <c r="C222" s="734" t="s">
        <v>132</v>
      </c>
      <c r="D222" s="601" t="s">
        <v>201</v>
      </c>
      <c r="E222" s="271"/>
      <c r="F222" s="271"/>
      <c r="G222" s="271"/>
      <c r="H222" s="271"/>
      <c r="I222" s="12"/>
      <c r="J222" s="12"/>
      <c r="K222" s="12"/>
      <c r="L222" s="12"/>
      <c r="M222" s="12"/>
      <c r="N222" s="271">
        <v>1760</v>
      </c>
      <c r="O222" s="271">
        <v>1890</v>
      </c>
      <c r="P222" s="271">
        <v>1706</v>
      </c>
      <c r="Q222" s="271">
        <v>1734</v>
      </c>
      <c r="R222" s="271">
        <v>1796</v>
      </c>
      <c r="S222" s="271">
        <v>1871</v>
      </c>
      <c r="T222" s="366">
        <f>ROUND(U222/1000,3)</f>
        <v>10.757</v>
      </c>
      <c r="U222" s="367">
        <f t="shared" ref="U222:U241" si="51">SUM(E222:S222)</f>
        <v>10757</v>
      </c>
      <c r="V222" s="602"/>
      <c r="Y222" s="311">
        <f>ROUND(T222*15%,2)</f>
        <v>1.61</v>
      </c>
      <c r="Z222" s="311">
        <f>ROUND((T222+Y222),2)</f>
        <v>12.37</v>
      </c>
    </row>
    <row r="223" spans="1:26" s="305" customFormat="1" ht="23.25">
      <c r="A223" s="267">
        <f>+A222+1</f>
        <v>2</v>
      </c>
      <c r="B223" s="567" t="s">
        <v>133</v>
      </c>
      <c r="C223" s="365" t="s">
        <v>134</v>
      </c>
      <c r="D223" s="601" t="s">
        <v>201</v>
      </c>
      <c r="E223" s="271"/>
      <c r="F223" s="271"/>
      <c r="G223" s="271"/>
      <c r="H223" s="271"/>
      <c r="I223" s="12"/>
      <c r="J223" s="12"/>
      <c r="K223" s="12"/>
      <c r="L223" s="12"/>
      <c r="M223" s="12"/>
      <c r="N223" s="271">
        <v>1760</v>
      </c>
      <c r="O223" s="271">
        <v>1890</v>
      </c>
      <c r="P223" s="271">
        <v>1706</v>
      </c>
      <c r="Q223" s="271">
        <v>1734</v>
      </c>
      <c r="R223" s="271">
        <v>1796</v>
      </c>
      <c r="S223" s="271">
        <v>1871</v>
      </c>
      <c r="T223" s="366">
        <f t="shared" ref="T223:T241" si="52">ROUND(U223/1000,3)</f>
        <v>10.757</v>
      </c>
      <c r="U223" s="367">
        <f t="shared" si="51"/>
        <v>10757</v>
      </c>
      <c r="V223" s="602"/>
    </row>
    <row r="224" spans="1:26" s="305" customFormat="1" ht="23.25">
      <c r="A224" s="267">
        <f t="shared" ref="A224:A241" si="53">+A223+1</f>
        <v>3</v>
      </c>
      <c r="B224" s="567" t="s">
        <v>137</v>
      </c>
      <c r="C224" s="365" t="s">
        <v>138</v>
      </c>
      <c r="D224" s="601" t="s">
        <v>201</v>
      </c>
      <c r="E224" s="271"/>
      <c r="F224" s="271"/>
      <c r="G224" s="271"/>
      <c r="H224" s="271"/>
      <c r="I224" s="12"/>
      <c r="J224" s="12"/>
      <c r="K224" s="12"/>
      <c r="L224" s="12"/>
      <c r="M224" s="12"/>
      <c r="N224" s="271">
        <v>1760</v>
      </c>
      <c r="O224" s="271">
        <v>1890</v>
      </c>
      <c r="P224" s="271">
        <v>1706</v>
      </c>
      <c r="Q224" s="271">
        <v>1734</v>
      </c>
      <c r="R224" s="271">
        <v>1796</v>
      </c>
      <c r="S224" s="271">
        <v>1871</v>
      </c>
      <c r="T224" s="366">
        <f t="shared" si="52"/>
        <v>10.757</v>
      </c>
      <c r="U224" s="367">
        <f t="shared" si="51"/>
        <v>10757</v>
      </c>
      <c r="V224" s="602"/>
    </row>
    <row r="225" spans="1:22" s="305" customFormat="1" ht="23.25">
      <c r="A225" s="267">
        <f t="shared" si="53"/>
        <v>4</v>
      </c>
      <c r="B225" s="567" t="s">
        <v>139</v>
      </c>
      <c r="C225" s="365" t="s">
        <v>140</v>
      </c>
      <c r="D225" s="601" t="s">
        <v>201</v>
      </c>
      <c r="E225" s="271"/>
      <c r="F225" s="271"/>
      <c r="G225" s="271"/>
      <c r="H225" s="271"/>
      <c r="I225" s="12"/>
      <c r="J225" s="12"/>
      <c r="K225" s="12"/>
      <c r="L225" s="12"/>
      <c r="M225" s="12"/>
      <c r="N225" s="271">
        <v>1760</v>
      </c>
      <c r="O225" s="457" t="s">
        <v>202</v>
      </c>
      <c r="P225" s="271">
        <v>1706</v>
      </c>
      <c r="Q225" s="271">
        <v>1734</v>
      </c>
      <c r="R225" s="271">
        <v>1796</v>
      </c>
      <c r="S225" s="271">
        <v>1871</v>
      </c>
      <c r="T225" s="366">
        <f t="shared" si="52"/>
        <v>8.8670000000000009</v>
      </c>
      <c r="U225" s="367">
        <f t="shared" si="51"/>
        <v>8867</v>
      </c>
      <c r="V225" s="602"/>
    </row>
    <row r="226" spans="1:22" s="305" customFormat="1" ht="23.25">
      <c r="A226" s="267">
        <f t="shared" si="53"/>
        <v>5</v>
      </c>
      <c r="B226" s="567" t="s">
        <v>141</v>
      </c>
      <c r="C226" s="365" t="s">
        <v>142</v>
      </c>
      <c r="D226" s="601" t="s">
        <v>201</v>
      </c>
      <c r="E226" s="271"/>
      <c r="F226" s="271"/>
      <c r="G226" s="271"/>
      <c r="H226" s="271"/>
      <c r="I226" s="12"/>
      <c r="J226" s="12"/>
      <c r="K226" s="12"/>
      <c r="L226" s="12"/>
      <c r="M226" s="12"/>
      <c r="N226" s="271">
        <v>1759</v>
      </c>
      <c r="O226" s="271">
        <v>1890</v>
      </c>
      <c r="P226" s="271">
        <v>1707</v>
      </c>
      <c r="Q226" s="271">
        <v>1734</v>
      </c>
      <c r="R226" s="271">
        <v>1796</v>
      </c>
      <c r="S226" s="271">
        <v>1871</v>
      </c>
      <c r="T226" s="366">
        <f t="shared" si="52"/>
        <v>10.757</v>
      </c>
      <c r="U226" s="367">
        <f t="shared" si="51"/>
        <v>10757</v>
      </c>
      <c r="V226" s="602"/>
    </row>
    <row r="227" spans="1:22" s="305" customFormat="1" ht="23.25">
      <c r="A227" s="267">
        <f t="shared" si="53"/>
        <v>6</v>
      </c>
      <c r="B227" s="567" t="s">
        <v>143</v>
      </c>
      <c r="C227" s="365" t="s">
        <v>144</v>
      </c>
      <c r="D227" s="601" t="s">
        <v>201</v>
      </c>
      <c r="E227" s="271"/>
      <c r="F227" s="271"/>
      <c r="G227" s="271"/>
      <c r="H227" s="271"/>
      <c r="I227" s="12"/>
      <c r="J227" s="12"/>
      <c r="K227" s="12"/>
      <c r="L227" s="12"/>
      <c r="M227" s="12"/>
      <c r="N227" s="271">
        <v>1759</v>
      </c>
      <c r="O227" s="271">
        <v>1890</v>
      </c>
      <c r="P227" s="271">
        <v>1707</v>
      </c>
      <c r="Q227" s="271">
        <v>1734</v>
      </c>
      <c r="R227" s="271">
        <v>1796</v>
      </c>
      <c r="S227" s="271">
        <v>1871</v>
      </c>
      <c r="T227" s="366">
        <f t="shared" si="52"/>
        <v>10.757</v>
      </c>
      <c r="U227" s="367">
        <f t="shared" si="51"/>
        <v>10757</v>
      </c>
      <c r="V227" s="602"/>
    </row>
    <row r="228" spans="1:22" s="305" customFormat="1" ht="23.25">
      <c r="A228" s="267">
        <f t="shared" si="53"/>
        <v>7</v>
      </c>
      <c r="B228" s="567" t="s">
        <v>145</v>
      </c>
      <c r="C228" s="365" t="s">
        <v>146</v>
      </c>
      <c r="D228" s="601" t="s">
        <v>201</v>
      </c>
      <c r="E228" s="271"/>
      <c r="F228" s="271"/>
      <c r="G228" s="271"/>
      <c r="H228" s="271"/>
      <c r="I228" s="12"/>
      <c r="J228" s="12"/>
      <c r="K228" s="12"/>
      <c r="L228" s="12"/>
      <c r="M228" s="12"/>
      <c r="N228" s="271">
        <v>1759</v>
      </c>
      <c r="O228" s="271">
        <v>1890</v>
      </c>
      <c r="P228" s="271">
        <v>1707</v>
      </c>
      <c r="Q228" s="271">
        <v>1734</v>
      </c>
      <c r="R228" s="271">
        <v>1796</v>
      </c>
      <c r="S228" s="271">
        <v>1871</v>
      </c>
      <c r="T228" s="366">
        <f t="shared" si="52"/>
        <v>10.757</v>
      </c>
      <c r="U228" s="367">
        <f t="shared" si="51"/>
        <v>10757</v>
      </c>
      <c r="V228" s="602"/>
    </row>
    <row r="229" spans="1:22" s="305" customFormat="1" ht="21">
      <c r="A229" s="267">
        <f t="shared" si="53"/>
        <v>8</v>
      </c>
      <c r="B229" s="580" t="s">
        <v>147</v>
      </c>
      <c r="C229" s="338" t="s">
        <v>148</v>
      </c>
      <c r="D229" s="601" t="s">
        <v>201</v>
      </c>
      <c r="E229" s="271"/>
      <c r="F229" s="271"/>
      <c r="G229" s="271"/>
      <c r="H229" s="271"/>
      <c r="I229" s="12"/>
      <c r="J229" s="12"/>
      <c r="K229" s="12"/>
      <c r="L229" s="12"/>
      <c r="M229" s="12"/>
      <c r="N229" s="271">
        <v>1759</v>
      </c>
      <c r="O229" s="271">
        <v>1890</v>
      </c>
      <c r="P229" s="271">
        <v>1707</v>
      </c>
      <c r="Q229" s="271">
        <v>1734</v>
      </c>
      <c r="R229" s="271">
        <v>1796</v>
      </c>
      <c r="S229" s="271">
        <v>1870</v>
      </c>
      <c r="T229" s="366">
        <f t="shared" si="52"/>
        <v>10.756</v>
      </c>
      <c r="U229" s="367">
        <f t="shared" si="51"/>
        <v>10756</v>
      </c>
      <c r="V229" s="602"/>
    </row>
    <row r="230" spans="1:22" s="305" customFormat="1" ht="23.25">
      <c r="A230" s="267">
        <f t="shared" si="53"/>
        <v>9</v>
      </c>
      <c r="B230" s="567" t="s">
        <v>149</v>
      </c>
      <c r="C230" s="365" t="s">
        <v>150</v>
      </c>
      <c r="D230" s="601" t="s">
        <v>201</v>
      </c>
      <c r="E230" s="271"/>
      <c r="F230" s="271"/>
      <c r="G230" s="271"/>
      <c r="H230" s="271"/>
      <c r="I230" s="12"/>
      <c r="J230" s="12"/>
      <c r="K230" s="12"/>
      <c r="L230" s="12"/>
      <c r="M230" s="12"/>
      <c r="N230" s="271">
        <v>1759</v>
      </c>
      <c r="O230" s="271">
        <v>1890</v>
      </c>
      <c r="P230" s="271">
        <v>1707</v>
      </c>
      <c r="Q230" s="271">
        <v>1734</v>
      </c>
      <c r="R230" s="271">
        <v>1796</v>
      </c>
      <c r="S230" s="271">
        <v>1870</v>
      </c>
      <c r="T230" s="366">
        <f t="shared" si="52"/>
        <v>10.756</v>
      </c>
      <c r="U230" s="367">
        <f t="shared" si="51"/>
        <v>10756</v>
      </c>
      <c r="V230" s="602"/>
    </row>
    <row r="231" spans="1:22" s="305" customFormat="1" ht="23.25">
      <c r="A231" s="267">
        <f t="shared" si="53"/>
        <v>10</v>
      </c>
      <c r="B231" s="603" t="s">
        <v>151</v>
      </c>
      <c r="C231" s="585" t="s">
        <v>152</v>
      </c>
      <c r="D231" s="601" t="s">
        <v>201</v>
      </c>
      <c r="E231" s="271"/>
      <c r="F231" s="271"/>
      <c r="G231" s="271"/>
      <c r="H231" s="271"/>
      <c r="I231" s="12"/>
      <c r="J231" s="12"/>
      <c r="K231" s="12"/>
      <c r="L231" s="12"/>
      <c r="M231" s="12"/>
      <c r="N231" s="271">
        <v>1759</v>
      </c>
      <c r="O231" s="271">
        <v>1890</v>
      </c>
      <c r="P231" s="271">
        <v>1706</v>
      </c>
      <c r="Q231" s="271">
        <v>1735</v>
      </c>
      <c r="R231" s="271">
        <v>1796</v>
      </c>
      <c r="S231" s="271">
        <v>1870</v>
      </c>
      <c r="T231" s="366">
        <f t="shared" si="52"/>
        <v>10.756</v>
      </c>
      <c r="U231" s="367">
        <f t="shared" si="51"/>
        <v>10756</v>
      </c>
      <c r="V231" s="602"/>
    </row>
    <row r="232" spans="1:22" s="305" customFormat="1" ht="23.25">
      <c r="A232" s="267">
        <f t="shared" si="53"/>
        <v>11</v>
      </c>
      <c r="B232" s="603" t="s">
        <v>153</v>
      </c>
      <c r="C232" s="585" t="s">
        <v>154</v>
      </c>
      <c r="D232" s="601" t="s">
        <v>201</v>
      </c>
      <c r="E232" s="271"/>
      <c r="F232" s="271"/>
      <c r="G232" s="271"/>
      <c r="H232" s="271"/>
      <c r="I232" s="12"/>
      <c r="J232" s="12"/>
      <c r="K232" s="12"/>
      <c r="L232" s="12"/>
      <c r="M232" s="12"/>
      <c r="N232" s="271">
        <v>1759</v>
      </c>
      <c r="O232" s="271">
        <v>1890</v>
      </c>
      <c r="P232" s="271">
        <v>1706</v>
      </c>
      <c r="Q232" s="271">
        <v>1735</v>
      </c>
      <c r="R232" s="271">
        <v>1796</v>
      </c>
      <c r="S232" s="271">
        <v>1870</v>
      </c>
      <c r="T232" s="366">
        <f t="shared" si="52"/>
        <v>10.756</v>
      </c>
      <c r="U232" s="367">
        <f t="shared" si="51"/>
        <v>10756</v>
      </c>
      <c r="V232" s="602"/>
    </row>
    <row r="233" spans="1:22" s="305" customFormat="1" ht="23.25">
      <c r="A233" s="267">
        <f t="shared" si="53"/>
        <v>12</v>
      </c>
      <c r="B233" s="603" t="s">
        <v>155</v>
      </c>
      <c r="C233" s="585" t="s">
        <v>156</v>
      </c>
      <c r="D233" s="601" t="s">
        <v>201</v>
      </c>
      <c r="E233" s="271"/>
      <c r="F233" s="271"/>
      <c r="G233" s="271"/>
      <c r="H233" s="271"/>
      <c r="I233" s="12"/>
      <c r="J233" s="12"/>
      <c r="K233" s="12"/>
      <c r="L233" s="12"/>
      <c r="M233" s="12"/>
      <c r="N233" s="271">
        <v>1759</v>
      </c>
      <c r="O233" s="271">
        <v>1890</v>
      </c>
      <c r="P233" s="271">
        <v>1706</v>
      </c>
      <c r="Q233" s="271">
        <v>1735</v>
      </c>
      <c r="R233" s="271">
        <v>1796</v>
      </c>
      <c r="S233" s="271">
        <v>1870</v>
      </c>
      <c r="T233" s="366">
        <f t="shared" si="52"/>
        <v>10.756</v>
      </c>
      <c r="U233" s="367">
        <f t="shared" si="51"/>
        <v>10756</v>
      </c>
      <c r="V233" s="602"/>
    </row>
    <row r="234" spans="1:22" s="305" customFormat="1" ht="23.25">
      <c r="A234" s="267">
        <f t="shared" si="53"/>
        <v>13</v>
      </c>
      <c r="B234" s="603" t="s">
        <v>157</v>
      </c>
      <c r="C234" s="585" t="s">
        <v>158</v>
      </c>
      <c r="D234" s="601" t="s">
        <v>201</v>
      </c>
      <c r="E234" s="271"/>
      <c r="F234" s="271"/>
      <c r="G234" s="271"/>
      <c r="H234" s="271"/>
      <c r="I234" s="12"/>
      <c r="J234" s="12"/>
      <c r="K234" s="12"/>
      <c r="L234" s="12"/>
      <c r="M234" s="12"/>
      <c r="N234" s="271">
        <v>1759</v>
      </c>
      <c r="O234" s="271">
        <v>1890</v>
      </c>
      <c r="P234" s="271">
        <v>1706</v>
      </c>
      <c r="Q234" s="271">
        <v>1735</v>
      </c>
      <c r="R234" s="271">
        <v>1796</v>
      </c>
      <c r="S234" s="271">
        <v>1870</v>
      </c>
      <c r="T234" s="366">
        <f t="shared" si="52"/>
        <v>10.756</v>
      </c>
      <c r="U234" s="367">
        <f t="shared" si="51"/>
        <v>10756</v>
      </c>
      <c r="V234" s="602"/>
    </row>
    <row r="235" spans="1:22" s="305" customFormat="1" ht="23.25">
      <c r="A235" s="267">
        <f t="shared" si="53"/>
        <v>14</v>
      </c>
      <c r="B235" s="603" t="s">
        <v>221</v>
      </c>
      <c r="C235" s="585" t="s">
        <v>222</v>
      </c>
      <c r="D235" s="601" t="s">
        <v>201</v>
      </c>
      <c r="E235" s="271"/>
      <c r="F235" s="271"/>
      <c r="G235" s="271"/>
      <c r="H235" s="271"/>
      <c r="I235" s="12"/>
      <c r="J235" s="12"/>
      <c r="K235" s="12"/>
      <c r="L235" s="12"/>
      <c r="M235" s="12"/>
      <c r="N235" s="271">
        <v>1759</v>
      </c>
      <c r="O235" s="271">
        <v>1890</v>
      </c>
      <c r="P235" s="271">
        <v>1706</v>
      </c>
      <c r="Q235" s="271">
        <v>1735</v>
      </c>
      <c r="R235" s="271">
        <v>1796</v>
      </c>
      <c r="S235" s="271">
        <v>1870</v>
      </c>
      <c r="T235" s="366">
        <f t="shared" si="52"/>
        <v>10.756</v>
      </c>
      <c r="U235" s="367">
        <f t="shared" si="51"/>
        <v>10756</v>
      </c>
      <c r="V235" s="602"/>
    </row>
    <row r="236" spans="1:22" s="305" customFormat="1" ht="23.25">
      <c r="A236" s="267">
        <f t="shared" si="53"/>
        <v>15</v>
      </c>
      <c r="B236" s="603" t="s">
        <v>265</v>
      </c>
      <c r="C236" s="585" t="s">
        <v>266</v>
      </c>
      <c r="D236" s="601" t="s">
        <v>201</v>
      </c>
      <c r="E236" s="271"/>
      <c r="F236" s="271"/>
      <c r="G236" s="271"/>
      <c r="H236" s="271"/>
      <c r="I236" s="12"/>
      <c r="J236" s="12"/>
      <c r="K236" s="12"/>
      <c r="L236" s="12"/>
      <c r="M236" s="12"/>
      <c r="N236" s="271">
        <v>1759</v>
      </c>
      <c r="O236" s="271">
        <v>1890</v>
      </c>
      <c r="P236" s="271">
        <v>1706</v>
      </c>
      <c r="Q236" s="271">
        <v>1734</v>
      </c>
      <c r="R236" s="271">
        <v>1797</v>
      </c>
      <c r="S236" s="271">
        <v>1870</v>
      </c>
      <c r="T236" s="366">
        <f t="shared" si="52"/>
        <v>10.756</v>
      </c>
      <c r="U236" s="367">
        <f t="shared" si="51"/>
        <v>10756</v>
      </c>
      <c r="V236" s="602"/>
    </row>
    <row r="237" spans="1:22" s="305" customFormat="1" ht="23.25">
      <c r="A237" s="267">
        <f t="shared" si="53"/>
        <v>16</v>
      </c>
      <c r="B237" s="603" t="s">
        <v>282</v>
      </c>
      <c r="C237" s="459" t="s">
        <v>283</v>
      </c>
      <c r="D237" s="601" t="s">
        <v>201</v>
      </c>
      <c r="E237" s="271"/>
      <c r="F237" s="271"/>
      <c r="G237" s="271"/>
      <c r="H237" s="271"/>
      <c r="I237" s="12"/>
      <c r="J237" s="12"/>
      <c r="K237" s="12"/>
      <c r="L237" s="12"/>
      <c r="M237" s="12"/>
      <c r="N237" s="271">
        <v>1759</v>
      </c>
      <c r="O237" s="271">
        <v>1890</v>
      </c>
      <c r="P237" s="271">
        <v>1706</v>
      </c>
      <c r="Q237" s="271">
        <v>1734</v>
      </c>
      <c r="R237" s="271">
        <v>1796</v>
      </c>
      <c r="S237" s="271">
        <v>1871</v>
      </c>
      <c r="T237" s="366">
        <f t="shared" si="52"/>
        <v>10.756</v>
      </c>
      <c r="U237" s="367">
        <f t="shared" si="51"/>
        <v>10756</v>
      </c>
      <c r="V237" s="602"/>
    </row>
    <row r="238" spans="1:22" s="305" customFormat="1" ht="23.25">
      <c r="A238" s="267">
        <f t="shared" si="53"/>
        <v>17</v>
      </c>
      <c r="B238" s="603" t="s">
        <v>284</v>
      </c>
      <c r="C238" s="604" t="s">
        <v>285</v>
      </c>
      <c r="D238" s="601" t="s">
        <v>201</v>
      </c>
      <c r="E238" s="271"/>
      <c r="F238" s="271"/>
      <c r="G238" s="271"/>
      <c r="H238" s="271"/>
      <c r="I238" s="12"/>
      <c r="J238" s="12"/>
      <c r="K238" s="12"/>
      <c r="L238" s="12"/>
      <c r="M238" s="12"/>
      <c r="N238" s="271">
        <v>1759</v>
      </c>
      <c r="O238" s="271">
        <v>1890</v>
      </c>
      <c r="P238" s="271">
        <v>1706</v>
      </c>
      <c r="Q238" s="271">
        <v>1734</v>
      </c>
      <c r="R238" s="271">
        <v>1796</v>
      </c>
      <c r="S238" s="457" t="s">
        <v>202</v>
      </c>
      <c r="T238" s="366">
        <f t="shared" si="52"/>
        <v>8.8849999999999998</v>
      </c>
      <c r="U238" s="367">
        <f t="shared" si="51"/>
        <v>8885</v>
      </c>
      <c r="V238" s="602"/>
    </row>
    <row r="239" spans="1:22" s="305" customFormat="1" ht="23.25">
      <c r="A239" s="267">
        <f t="shared" si="53"/>
        <v>18</v>
      </c>
      <c r="B239" s="603" t="s">
        <v>286</v>
      </c>
      <c r="C239" s="604" t="s">
        <v>287</v>
      </c>
      <c r="D239" s="601" t="s">
        <v>201</v>
      </c>
      <c r="E239" s="271"/>
      <c r="F239" s="271"/>
      <c r="G239" s="271"/>
      <c r="H239" s="271"/>
      <c r="I239" s="12"/>
      <c r="J239" s="12"/>
      <c r="K239" s="12"/>
      <c r="L239" s="12"/>
      <c r="M239" s="12"/>
      <c r="N239" s="271">
        <v>1759</v>
      </c>
      <c r="O239" s="271">
        <v>1890</v>
      </c>
      <c r="P239" s="271">
        <v>1706</v>
      </c>
      <c r="Q239" s="271">
        <v>1734</v>
      </c>
      <c r="R239" s="271">
        <v>1796</v>
      </c>
      <c r="S239" s="457" t="s">
        <v>202</v>
      </c>
      <c r="T239" s="366">
        <f t="shared" si="52"/>
        <v>8.8849999999999998</v>
      </c>
      <c r="U239" s="367">
        <f t="shared" si="51"/>
        <v>8885</v>
      </c>
      <c r="V239" s="602"/>
    </row>
    <row r="240" spans="1:22" s="305" customFormat="1" ht="23.25">
      <c r="A240" s="267">
        <f t="shared" si="53"/>
        <v>19</v>
      </c>
      <c r="B240" s="603" t="s">
        <v>325</v>
      </c>
      <c r="C240" s="459" t="s">
        <v>326</v>
      </c>
      <c r="D240" s="601" t="s">
        <v>201</v>
      </c>
      <c r="E240" s="271"/>
      <c r="F240" s="271"/>
      <c r="G240" s="271"/>
      <c r="H240" s="271"/>
      <c r="I240" s="12"/>
      <c r="J240" s="12"/>
      <c r="K240" s="12"/>
      <c r="L240" s="12"/>
      <c r="M240" s="12"/>
      <c r="N240" s="271">
        <v>1759</v>
      </c>
      <c r="O240" s="457" t="s">
        <v>202</v>
      </c>
      <c r="P240" s="271">
        <v>1706</v>
      </c>
      <c r="Q240" s="271">
        <v>1734</v>
      </c>
      <c r="R240" s="271">
        <v>1796</v>
      </c>
      <c r="S240" s="271">
        <v>1871</v>
      </c>
      <c r="T240" s="366">
        <f t="shared" si="52"/>
        <v>8.8659999999999997</v>
      </c>
      <c r="U240" s="367">
        <f t="shared" si="51"/>
        <v>8866</v>
      </c>
      <c r="V240" s="602"/>
    </row>
    <row r="241" spans="1:22" s="305" customFormat="1" ht="23.25">
      <c r="A241" s="267">
        <f t="shared" si="53"/>
        <v>20</v>
      </c>
      <c r="B241" s="603" t="s">
        <v>346</v>
      </c>
      <c r="C241" s="604" t="s">
        <v>347</v>
      </c>
      <c r="D241" s="601" t="s">
        <v>201</v>
      </c>
      <c r="E241" s="271"/>
      <c r="F241" s="271"/>
      <c r="G241" s="271"/>
      <c r="H241" s="271"/>
      <c r="I241" s="12"/>
      <c r="J241" s="12"/>
      <c r="K241" s="12"/>
      <c r="L241" s="12"/>
      <c r="M241" s="12"/>
      <c r="N241" s="12"/>
      <c r="O241" s="271">
        <v>1890</v>
      </c>
      <c r="P241" s="271">
        <v>1706</v>
      </c>
      <c r="Q241" s="271">
        <v>1734</v>
      </c>
      <c r="R241" s="457" t="s">
        <v>202</v>
      </c>
      <c r="S241" s="271">
        <v>1871</v>
      </c>
      <c r="T241" s="366">
        <f t="shared" si="52"/>
        <v>7.2009999999999996</v>
      </c>
      <c r="U241" s="367">
        <f t="shared" si="51"/>
        <v>7201</v>
      </c>
      <c r="V241" s="602"/>
    </row>
    <row r="242" spans="1:22" s="305" customFormat="1" ht="15.75">
      <c r="A242" s="605"/>
      <c r="B242" s="842" t="s">
        <v>203</v>
      </c>
      <c r="C242" s="843"/>
      <c r="D242" s="605"/>
      <c r="E242" s="606">
        <f t="shared" ref="E242:U242" si="54">SUM(E222:E241)</f>
        <v>0</v>
      </c>
      <c r="F242" s="606">
        <f t="shared" si="54"/>
        <v>0</v>
      </c>
      <c r="G242" s="606">
        <f t="shared" si="54"/>
        <v>0</v>
      </c>
      <c r="H242" s="606">
        <f t="shared" si="54"/>
        <v>0</v>
      </c>
      <c r="I242" s="606">
        <f t="shared" si="54"/>
        <v>0</v>
      </c>
      <c r="J242" s="606">
        <f t="shared" si="54"/>
        <v>0</v>
      </c>
      <c r="K242" s="606">
        <f t="shared" si="54"/>
        <v>0</v>
      </c>
      <c r="L242" s="606">
        <f t="shared" si="54"/>
        <v>0</v>
      </c>
      <c r="M242" s="606">
        <f t="shared" si="54"/>
        <v>0</v>
      </c>
      <c r="N242" s="606">
        <f t="shared" si="54"/>
        <v>33425</v>
      </c>
      <c r="O242" s="606">
        <f t="shared" si="54"/>
        <v>34020</v>
      </c>
      <c r="P242" s="606">
        <f t="shared" si="54"/>
        <v>34125</v>
      </c>
      <c r="Q242" s="606">
        <f t="shared" si="54"/>
        <v>34685</v>
      </c>
      <c r="R242" s="606">
        <f t="shared" si="54"/>
        <v>34125</v>
      </c>
      <c r="S242" s="606">
        <f t="shared" si="54"/>
        <v>33670</v>
      </c>
      <c r="T242" s="607">
        <f t="shared" si="54"/>
        <v>204.04999999999998</v>
      </c>
      <c r="U242" s="606">
        <f t="shared" si="54"/>
        <v>204050</v>
      </c>
      <c r="V242" s="605"/>
    </row>
    <row r="243" spans="1:22" s="305" customFormat="1" ht="15.75" hidden="1">
      <c r="A243" s="318"/>
      <c r="B243" s="318"/>
      <c r="C243" s="318"/>
      <c r="D243" s="318"/>
      <c r="E243" s="372">
        <f>VLOOKUP(E221,'[3]KL mu TP to2'!$A$12:$K$26,11)</f>
        <v>0</v>
      </c>
      <c r="F243" s="372">
        <f>VLOOKUP(F221,'[3]KL mu TP to2'!$A$12:$K$26,11)</f>
        <v>0</v>
      </c>
      <c r="G243" s="372">
        <f>VLOOKUP(G221,'[3]KL mu TP to2'!$A$12:$K$26,11)</f>
        <v>0</v>
      </c>
      <c r="H243" s="372">
        <f>VLOOKUP(H221,'[3]KL mu TP to2'!$A$12:$K$26,11)</f>
        <v>0</v>
      </c>
      <c r="I243" s="372">
        <f>VLOOKUP(I221,'[3]KL mu TP to2'!$A$12:$K$26,11)</f>
        <v>0</v>
      </c>
      <c r="J243" s="372">
        <f>VLOOKUP(J221,'[3]KL mu TP to2'!$A$12:$K$26,11)</f>
        <v>0</v>
      </c>
      <c r="K243" s="372">
        <f>VLOOKUP(K221,'[3]KL mu TP to2'!$A$12:$K$26,11)</f>
        <v>0</v>
      </c>
      <c r="L243" s="372">
        <f>VLOOKUP(L221,'[3]KL mu TP to2'!$A$12:$K$26,11)</f>
        <v>0</v>
      </c>
      <c r="M243" s="372">
        <f>VLOOKUP(M221,'[3]KL mu TP to2'!$A$12:$K$26,11)</f>
        <v>0</v>
      </c>
      <c r="N243" s="372">
        <f>VLOOKUP(N221,'[3]KL mu TP to2'!$A$12:$K$26,11)</f>
        <v>33425</v>
      </c>
      <c r="O243" s="372">
        <f>VLOOKUP(O221,'[3]KL mu TP to2'!$A$12:$K$26,11)</f>
        <v>34020</v>
      </c>
      <c r="P243" s="372">
        <f>VLOOKUP(P221,'[3]KL mu TP to2'!$A$12:$K$26,11)</f>
        <v>34125</v>
      </c>
      <c r="Q243" s="372">
        <f>VLOOKUP(Q221,'[3]KL mu TP to2'!$A$12:$K$26,11)</f>
        <v>34685</v>
      </c>
      <c r="R243" s="372">
        <f>VLOOKUP(R221,'[3]KL mu TP to2'!$A$12:$K$26,11)</f>
        <v>34125</v>
      </c>
      <c r="S243" s="372">
        <f>VLOOKUP(S221,'[3]KL mu TP to2'!$A$12:$K$26,11)</f>
        <v>33670</v>
      </c>
      <c r="T243" s="373">
        <f>SUM(E243:S243)</f>
        <v>204050</v>
      </c>
      <c r="U243" s="318"/>
      <c r="V243" s="318"/>
    </row>
    <row r="244" spans="1:22" s="305" customFormat="1" ht="15.75" hidden="1">
      <c r="A244" s="318"/>
      <c r="B244" s="318"/>
      <c r="C244" s="318"/>
      <c r="D244" s="318"/>
      <c r="E244" s="328">
        <f t="shared" ref="E244:S244" si="55">COUNTIF(E222:E241,"X")+COUNTIF(E222:E241,"/")*0.5</f>
        <v>0</v>
      </c>
      <c r="F244" s="328">
        <f t="shared" si="55"/>
        <v>0</v>
      </c>
      <c r="G244" s="328">
        <f t="shared" si="55"/>
        <v>0</v>
      </c>
      <c r="H244" s="328">
        <f t="shared" si="55"/>
        <v>0</v>
      </c>
      <c r="I244" s="328">
        <f t="shared" si="55"/>
        <v>0</v>
      </c>
      <c r="J244" s="328">
        <f t="shared" si="55"/>
        <v>0</v>
      </c>
      <c r="K244" s="328">
        <f t="shared" si="55"/>
        <v>0</v>
      </c>
      <c r="L244" s="328">
        <f t="shared" si="55"/>
        <v>0</v>
      </c>
      <c r="M244" s="328">
        <f t="shared" si="55"/>
        <v>0</v>
      </c>
      <c r="N244" s="328">
        <f t="shared" si="55"/>
        <v>0</v>
      </c>
      <c r="O244" s="328">
        <f t="shared" si="55"/>
        <v>0</v>
      </c>
      <c r="P244" s="328">
        <f t="shared" si="55"/>
        <v>0</v>
      </c>
      <c r="Q244" s="328">
        <f t="shared" si="55"/>
        <v>0</v>
      </c>
      <c r="R244" s="328">
        <f t="shared" si="55"/>
        <v>0</v>
      </c>
      <c r="S244" s="328">
        <f t="shared" si="55"/>
        <v>0</v>
      </c>
      <c r="T244" s="328">
        <f>COUNTIF(T222:T237,"X")</f>
        <v>0</v>
      </c>
      <c r="U244" s="318"/>
      <c r="V244" s="318"/>
    </row>
    <row r="245" spans="1:22" s="305" customFormat="1" ht="15.75" hidden="1">
      <c r="A245" s="318"/>
      <c r="B245" s="318"/>
      <c r="C245" s="318"/>
      <c r="D245" s="318"/>
      <c r="E245" s="374">
        <f>E243/E246</f>
        <v>0</v>
      </c>
      <c r="F245" s="328">
        <f t="shared" ref="F245:K245" si="56">F243/F246</f>
        <v>0</v>
      </c>
      <c r="G245" s="328">
        <f t="shared" si="56"/>
        <v>0</v>
      </c>
      <c r="H245" s="374">
        <f t="shared" si="56"/>
        <v>0</v>
      </c>
      <c r="I245" s="374" t="e">
        <f t="shared" si="56"/>
        <v>#DIV/0!</v>
      </c>
      <c r="J245" s="328" t="e">
        <f t="shared" si="56"/>
        <v>#DIV/0!</v>
      </c>
      <c r="K245" s="328" t="e">
        <f t="shared" si="56"/>
        <v>#DIV/0!</v>
      </c>
      <c r="L245" s="375" t="e">
        <f>ROUND(L243/L246,1)</f>
        <v>#DIV/0!</v>
      </c>
      <c r="M245" s="375" t="e">
        <f t="shared" ref="M245:Q245" si="57">ROUND(M243/M246,1)</f>
        <v>#DIV/0!</v>
      </c>
      <c r="N245" s="375">
        <f t="shared" si="57"/>
        <v>1759.2</v>
      </c>
      <c r="O245" s="375">
        <f t="shared" si="57"/>
        <v>1890</v>
      </c>
      <c r="P245" s="375">
        <f t="shared" si="57"/>
        <v>1706.3</v>
      </c>
      <c r="Q245" s="375">
        <f t="shared" si="57"/>
        <v>1734.3</v>
      </c>
      <c r="R245" s="375">
        <f>ROUND(R243/R246,1)</f>
        <v>1796.1</v>
      </c>
      <c r="S245" s="375">
        <f t="shared" ref="S245" si="58">ROUND(S243/S246,1)</f>
        <v>1870.6</v>
      </c>
      <c r="T245" s="318"/>
      <c r="U245" s="318"/>
      <c r="V245" s="318"/>
    </row>
    <row r="246" spans="1:22" s="305" customFormat="1" ht="15.75" hidden="1">
      <c r="A246" s="318"/>
      <c r="B246" s="318"/>
      <c r="C246" s="318"/>
      <c r="D246" s="318"/>
      <c r="E246" s="328">
        <v>21</v>
      </c>
      <c r="F246" s="328">
        <v>18</v>
      </c>
      <c r="G246" s="328">
        <v>21</v>
      </c>
      <c r="H246" s="328">
        <v>20</v>
      </c>
      <c r="I246" s="328">
        <v>0</v>
      </c>
      <c r="J246" s="318">
        <v>0</v>
      </c>
      <c r="K246" s="318">
        <v>0</v>
      </c>
      <c r="L246" s="318">
        <v>0</v>
      </c>
      <c r="M246" s="328">
        <v>0</v>
      </c>
      <c r="N246" s="328">
        <v>19</v>
      </c>
      <c r="O246" s="328">
        <v>18</v>
      </c>
      <c r="P246" s="328">
        <v>20</v>
      </c>
      <c r="Q246" s="328">
        <v>20</v>
      </c>
      <c r="R246" s="328">
        <v>19</v>
      </c>
      <c r="S246" s="328">
        <v>18</v>
      </c>
      <c r="T246" s="318"/>
      <c r="U246" s="318"/>
      <c r="V246" s="318"/>
    </row>
    <row r="247" spans="1:22" s="305" customFormat="1" ht="15.75" hidden="1">
      <c r="A247" s="244"/>
      <c r="B247" s="244"/>
      <c r="C247" s="244"/>
      <c r="D247" s="244"/>
      <c r="E247" s="250">
        <f>E243-E242</f>
        <v>0</v>
      </c>
      <c r="F247" s="250">
        <f t="shared" ref="F247:S247" si="59">F243-F242</f>
        <v>0</v>
      </c>
      <c r="G247" s="250">
        <f t="shared" si="59"/>
        <v>0</v>
      </c>
      <c r="H247" s="250">
        <f t="shared" si="59"/>
        <v>0</v>
      </c>
      <c r="I247" s="250">
        <f t="shared" si="59"/>
        <v>0</v>
      </c>
      <c r="J247" s="250">
        <f t="shared" si="59"/>
        <v>0</v>
      </c>
      <c r="K247" s="250">
        <f t="shared" si="59"/>
        <v>0</v>
      </c>
      <c r="L247" s="250">
        <f t="shared" si="59"/>
        <v>0</v>
      </c>
      <c r="M247" s="250">
        <f t="shared" si="59"/>
        <v>0</v>
      </c>
      <c r="N247" s="250">
        <f t="shared" si="59"/>
        <v>0</v>
      </c>
      <c r="O247" s="250">
        <f t="shared" si="59"/>
        <v>0</v>
      </c>
      <c r="P247" s="250">
        <f t="shared" si="59"/>
        <v>0</v>
      </c>
      <c r="Q247" s="250">
        <f t="shared" si="59"/>
        <v>0</v>
      </c>
      <c r="R247" s="250">
        <f t="shared" si="59"/>
        <v>0</v>
      </c>
      <c r="S247" s="250">
        <f t="shared" si="59"/>
        <v>0</v>
      </c>
      <c r="T247" s="244"/>
      <c r="U247" s="244"/>
      <c r="V247" s="244"/>
    </row>
    <row r="248" spans="1:22" s="305" customFormat="1" ht="15.75" hidden="1">
      <c r="A248" s="318"/>
      <c r="B248" s="318"/>
      <c r="C248" s="318"/>
      <c r="D248" s="318"/>
      <c r="E248" s="328"/>
      <c r="F248" s="328">
        <f>F245/2</f>
        <v>0</v>
      </c>
      <c r="G248" s="328"/>
      <c r="H248" s="328">
        <f>H245/2</f>
        <v>0</v>
      </c>
      <c r="I248" s="318"/>
      <c r="J248" s="318"/>
      <c r="K248" s="318"/>
      <c r="L248" s="318"/>
      <c r="M248" s="318"/>
      <c r="N248" s="318"/>
      <c r="O248" s="318">
        <f>O245/2</f>
        <v>945</v>
      </c>
      <c r="P248" s="318"/>
      <c r="Q248" s="318"/>
      <c r="R248" s="318">
        <f>R245/2</f>
        <v>898.05</v>
      </c>
      <c r="S248" s="318"/>
      <c r="T248" s="318"/>
      <c r="U248" s="318"/>
      <c r="V248" s="318"/>
    </row>
    <row r="249" spans="1:22" s="305" customFormat="1" ht="15.75">
      <c r="A249" s="244"/>
      <c r="B249" s="244"/>
      <c r="C249" s="244"/>
      <c r="D249" s="244"/>
      <c r="E249" s="260"/>
      <c r="F249" s="260"/>
      <c r="G249" s="260"/>
      <c r="H249" s="260"/>
      <c r="I249" s="244"/>
      <c r="J249" s="244"/>
      <c r="K249" s="244"/>
      <c r="L249" s="24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</row>
    <row r="250" spans="1:22" s="305" customFormat="1" ht="15.75">
      <c r="A250" s="244"/>
      <c r="B250" s="244"/>
      <c r="C250" s="244"/>
      <c r="D250" s="244"/>
      <c r="E250" s="260"/>
      <c r="F250" s="260"/>
      <c r="G250" s="260"/>
      <c r="H250" s="260"/>
      <c r="I250" s="244"/>
      <c r="J250" s="244"/>
      <c r="K250" s="244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</row>
    <row r="251" spans="1:22" s="305" customFormat="1" ht="15">
      <c r="E251" s="360"/>
      <c r="F251" s="360"/>
      <c r="G251" s="360"/>
      <c r="H251" s="360"/>
      <c r="I251" s="360"/>
      <c r="J251" s="360"/>
      <c r="K251" s="360"/>
      <c r="L251" s="360"/>
      <c r="M251" s="360"/>
      <c r="N251" s="360"/>
      <c r="O251" s="360"/>
      <c r="P251" s="360"/>
      <c r="Q251" s="360"/>
      <c r="R251" s="360"/>
      <c r="S251" s="360"/>
      <c r="T251" s="360"/>
    </row>
    <row r="252" spans="1:22" s="305" customFormat="1" ht="15"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</row>
    <row r="253" spans="1:22" s="305" customFormat="1" ht="15">
      <c r="E253" s="360"/>
      <c r="F253" s="360"/>
      <c r="G253" s="360"/>
      <c r="H253" s="360"/>
      <c r="I253" s="360"/>
      <c r="J253" s="360"/>
      <c r="K253" s="360"/>
      <c r="L253" s="360"/>
      <c r="M253" s="360"/>
      <c r="N253" s="360"/>
      <c r="O253" s="360"/>
      <c r="P253" s="360"/>
      <c r="Q253" s="360"/>
      <c r="R253" s="360"/>
      <c r="S253" s="360"/>
      <c r="T253" s="360"/>
    </row>
    <row r="254" spans="1:22" s="305" customFormat="1" ht="15">
      <c r="E254" s="360"/>
      <c r="F254" s="360"/>
      <c r="G254" s="360"/>
      <c r="H254" s="360"/>
      <c r="I254" s="360"/>
      <c r="J254" s="360"/>
      <c r="K254" s="360"/>
      <c r="L254" s="360"/>
      <c r="M254" s="360"/>
      <c r="N254" s="360"/>
      <c r="O254" s="360"/>
      <c r="P254" s="360"/>
      <c r="Q254" s="360"/>
      <c r="R254" s="360"/>
      <c r="S254" s="360"/>
      <c r="T254" s="360"/>
    </row>
    <row r="255" spans="1:22" s="305" customFormat="1" ht="15"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0"/>
      <c r="P255" s="360"/>
      <c r="Q255" s="360"/>
      <c r="R255" s="360"/>
      <c r="S255" s="360"/>
      <c r="T255" s="360"/>
    </row>
    <row r="256" spans="1:22" s="318" customFormat="1" ht="14.25" hidden="1" customHeight="1">
      <c r="E256" s="372" t="e">
        <f>VLOOKUP(#REF!,'[3]KL mu TP to2'!$A$12:$K$26,11)</f>
        <v>#REF!</v>
      </c>
      <c r="F256" s="372" t="e">
        <f>VLOOKUP(#REF!,'[3]KL mu TP to2'!$A$12:$K$26,11)</f>
        <v>#REF!</v>
      </c>
      <c r="G256" s="372" t="e">
        <f>VLOOKUP(#REF!,'[3]KL mu TP to2'!$A$12:$K$26,11)</f>
        <v>#REF!</v>
      </c>
      <c r="H256" s="372" t="e">
        <f>VLOOKUP(#REF!,'[3]KL mu TP to2'!$A$12:$K$26,11)</f>
        <v>#REF!</v>
      </c>
      <c r="I256" s="372" t="e">
        <f>VLOOKUP(#REF!,'[3]KL mu TP to2'!$A$12:$K$26,11)</f>
        <v>#REF!</v>
      </c>
      <c r="J256" s="372" t="e">
        <f>VLOOKUP(#REF!,'[3]KL mu TP to2'!$A$12:$K$26,11)</f>
        <v>#REF!</v>
      </c>
      <c r="K256" s="372" t="e">
        <f>VLOOKUP(#REF!,'[3]KL mu TP to2'!$A$12:$K$26,11)</f>
        <v>#REF!</v>
      </c>
      <c r="L256" s="372" t="e">
        <f>VLOOKUP(#REF!,'[3]KL mu TP to2'!$A$12:$K$26,11)</f>
        <v>#REF!</v>
      </c>
      <c r="M256" s="372" t="e">
        <f>VLOOKUP(#REF!,'[3]KL mu TP to2'!$A$12:$K$26,11)</f>
        <v>#REF!</v>
      </c>
      <c r="N256" s="372" t="e">
        <f>VLOOKUP(#REF!,'[3]KL mu TP to2'!$A$12:$K$26,11)</f>
        <v>#REF!</v>
      </c>
      <c r="O256" s="372" t="e">
        <f>VLOOKUP(#REF!,'[3]KL mu TP to2'!$A$12:$K$26,11)</f>
        <v>#REF!</v>
      </c>
      <c r="P256" s="372" t="e">
        <f>VLOOKUP(#REF!,'[3]KL mu TP to2'!$A$12:$K$26,11)</f>
        <v>#REF!</v>
      </c>
      <c r="Q256" s="372" t="e">
        <f>VLOOKUP(#REF!,'[3]KL mu TP to2'!$A$12:$K$26,11)</f>
        <v>#REF!</v>
      </c>
      <c r="R256" s="372" t="e">
        <f>VLOOKUP(#REF!,'[3]KL mu TP to2'!$A$12:$K$26,11)</f>
        <v>#REF!</v>
      </c>
      <c r="S256" s="372" t="e">
        <f>VLOOKUP(#REF!,'[3]KL mu TP to2'!$A$12:$K$26,11)</f>
        <v>#REF!</v>
      </c>
      <c r="T256" s="373" t="e">
        <f>SUM(E256:S256)</f>
        <v>#REF!</v>
      </c>
    </row>
    <row r="257" spans="5:20" s="318" customFormat="1" ht="15.75" hidden="1">
      <c r="E257" s="328" t="e">
        <f>COUNTIF(#REF!,"X")+COUNTIF(#REF!,"/")*0.5</f>
        <v>#REF!</v>
      </c>
      <c r="F257" s="328" t="e">
        <f>COUNTIF(#REF!,"X")+COUNTIF(#REF!,"/")*0.5</f>
        <v>#REF!</v>
      </c>
      <c r="G257" s="328" t="e">
        <f>COUNTIF(#REF!,"X")+COUNTIF(#REF!,"/")*0.5</f>
        <v>#REF!</v>
      </c>
      <c r="H257" s="328" t="e">
        <f>COUNTIF(#REF!,"X")+COUNTIF(#REF!,"/")*0.5</f>
        <v>#REF!</v>
      </c>
      <c r="I257" s="328" t="e">
        <f>COUNTIF(#REF!,"X")+COUNTIF(#REF!,"/")*0.5</f>
        <v>#REF!</v>
      </c>
      <c r="J257" s="328" t="e">
        <f>COUNTIF(#REF!,"X")+COUNTIF(#REF!,"/")*0.5</f>
        <v>#REF!</v>
      </c>
      <c r="K257" s="328" t="e">
        <f>COUNTIF(#REF!,"X")+COUNTIF(#REF!,"/")*0.5</f>
        <v>#REF!</v>
      </c>
      <c r="L257" s="328" t="e">
        <f>COUNTIF(#REF!,"X")+COUNTIF(#REF!,"/")*0.5</f>
        <v>#REF!</v>
      </c>
      <c r="M257" s="328" t="e">
        <f>COUNTIF(#REF!,"X")+COUNTIF(#REF!,"/")*0.5</f>
        <v>#REF!</v>
      </c>
      <c r="N257" s="328" t="e">
        <f>COUNTIF(#REF!,"X")+COUNTIF(#REF!,"/")*0.5</f>
        <v>#REF!</v>
      </c>
      <c r="O257" s="328" t="e">
        <f>COUNTIF(#REF!,"X")+COUNTIF(#REF!,"/")*0.5</f>
        <v>#REF!</v>
      </c>
      <c r="P257" s="328" t="e">
        <f>COUNTIF(#REF!,"X")+COUNTIF(#REF!,"/")*0.5</f>
        <v>#REF!</v>
      </c>
      <c r="Q257" s="328" t="e">
        <f>COUNTIF(#REF!,"X")+COUNTIF(#REF!,"/")*0.5</f>
        <v>#REF!</v>
      </c>
      <c r="R257" s="328" t="e">
        <f>COUNTIF(#REF!,"X")+COUNTIF(#REF!,"/")*0.5</f>
        <v>#REF!</v>
      </c>
      <c r="S257" s="328" t="e">
        <f>COUNTIF(#REF!,"X")+COUNTIF(#REF!,"/")*0.5</f>
        <v>#REF!</v>
      </c>
      <c r="T257" s="328" t="e">
        <f>COUNTIF(#REF!,"X")</f>
        <v>#REF!</v>
      </c>
    </row>
    <row r="258" spans="5:20" s="318" customFormat="1" ht="15.75" hidden="1">
      <c r="E258"/>
      <c r="F258" s="328" t="e">
        <f t="shared" ref="F258:K258" si="60">F256/F259</f>
        <v>#REF!</v>
      </c>
      <c r="G258" s="328" t="e">
        <f t="shared" si="60"/>
        <v>#REF!</v>
      </c>
      <c r="H258" s="374" t="e">
        <f t="shared" si="60"/>
        <v>#REF!</v>
      </c>
      <c r="I258" s="374" t="e">
        <f t="shared" si="60"/>
        <v>#REF!</v>
      </c>
      <c r="J258" s="328" t="e">
        <f t="shared" si="60"/>
        <v>#REF!</v>
      </c>
      <c r="K258" s="328" t="e">
        <f t="shared" si="60"/>
        <v>#REF!</v>
      </c>
      <c r="L258" s="375" t="e">
        <f>ROUND(L256/L259,1)</f>
        <v>#REF!</v>
      </c>
      <c r="M258" s="375" t="e">
        <f t="shared" ref="M258:S258" si="61">ROUND(M256/M259,1)</f>
        <v>#REF!</v>
      </c>
      <c r="N258" s="375" t="e">
        <f t="shared" si="61"/>
        <v>#REF!</v>
      </c>
      <c r="O258" s="375" t="e">
        <f t="shared" si="61"/>
        <v>#REF!</v>
      </c>
      <c r="P258" s="375" t="e">
        <f t="shared" si="61"/>
        <v>#REF!</v>
      </c>
      <c r="Q258" s="375" t="e">
        <f t="shared" si="61"/>
        <v>#REF!</v>
      </c>
      <c r="R258" s="375" t="e">
        <f>ROUND(R256/R259,1)</f>
        <v>#REF!</v>
      </c>
      <c r="S258" s="375" t="e">
        <f t="shared" si="61"/>
        <v>#REF!</v>
      </c>
    </row>
    <row r="259" spans="5:20" s="318" customFormat="1" ht="15.75" hidden="1">
      <c r="E259" s="328">
        <v>21</v>
      </c>
      <c r="F259" s="328">
        <v>18</v>
      </c>
      <c r="G259" s="328">
        <v>21</v>
      </c>
      <c r="H259" s="328">
        <v>20</v>
      </c>
      <c r="I259" s="328">
        <v>0</v>
      </c>
      <c r="J259" s="318">
        <v>0</v>
      </c>
      <c r="K259" s="318">
        <v>0</v>
      </c>
      <c r="L259" s="318">
        <v>0</v>
      </c>
      <c r="M259" s="328">
        <v>0</v>
      </c>
      <c r="N259" s="328">
        <v>20</v>
      </c>
      <c r="O259" s="328">
        <v>21</v>
      </c>
      <c r="P259" s="328">
        <v>21</v>
      </c>
      <c r="Q259" s="328">
        <v>21</v>
      </c>
      <c r="R259" s="328">
        <v>20</v>
      </c>
      <c r="S259" s="328">
        <v>21</v>
      </c>
    </row>
    <row r="260" spans="5:20" ht="15.75" hidden="1">
      <c r="E260" s="250" t="e">
        <f>E256-#REF!</f>
        <v>#REF!</v>
      </c>
      <c r="F260" s="250" t="e">
        <f>F256-#REF!</f>
        <v>#REF!</v>
      </c>
      <c r="G260" s="250" t="e">
        <f>G256-#REF!</f>
        <v>#REF!</v>
      </c>
      <c r="H260" s="250" t="e">
        <f>H256-#REF!</f>
        <v>#REF!</v>
      </c>
      <c r="I260" s="250" t="e">
        <f>I256-#REF!</f>
        <v>#REF!</v>
      </c>
      <c r="J260" s="250" t="e">
        <f>J256-#REF!</f>
        <v>#REF!</v>
      </c>
      <c r="K260" s="250" t="e">
        <f>K256-#REF!</f>
        <v>#REF!</v>
      </c>
      <c r="L260" s="250" t="e">
        <f>L256-#REF!</f>
        <v>#REF!</v>
      </c>
      <c r="M260" s="250" t="e">
        <f>M256-#REF!</f>
        <v>#REF!</v>
      </c>
      <c r="N260" s="250" t="e">
        <f>N256-#REF!</f>
        <v>#REF!</v>
      </c>
      <c r="O260" s="250" t="e">
        <f>O256-#REF!</f>
        <v>#REF!</v>
      </c>
      <c r="P260" s="250" t="e">
        <f>P256-#REF!</f>
        <v>#REF!</v>
      </c>
      <c r="Q260" s="250" t="e">
        <f>Q256-#REF!</f>
        <v>#REF!</v>
      </c>
      <c r="R260" s="250" t="e">
        <f>R256-#REF!</f>
        <v>#REF!</v>
      </c>
      <c r="S260" s="250" t="e">
        <f>S256-#REF!</f>
        <v>#REF!</v>
      </c>
      <c r="T260" s="244"/>
    </row>
    <row r="261" spans="5:20" s="318" customFormat="1" ht="15.75" hidden="1">
      <c r="E261" s="328"/>
      <c r="F261" s="328" t="e">
        <f>F258/2</f>
        <v>#REF!</v>
      </c>
      <c r="G261" s="328"/>
      <c r="H261" s="328" t="e">
        <f>H258/2</f>
        <v>#REF!</v>
      </c>
      <c r="O261" s="318" t="e">
        <f>O258/2</f>
        <v>#REF!</v>
      </c>
      <c r="R261" s="318" t="e">
        <f>R258/2</f>
        <v>#REF!</v>
      </c>
    </row>
    <row r="262" spans="5:20" ht="15.75">
      <c r="E262" s="260"/>
      <c r="F262" s="260"/>
      <c r="G262" s="260"/>
      <c r="H262" s="260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4"/>
    </row>
  </sheetData>
  <mergeCells count="89">
    <mergeCell ref="B242:C242"/>
    <mergeCell ref="A216:V216"/>
    <mergeCell ref="A217:V217"/>
    <mergeCell ref="A218:V218"/>
    <mergeCell ref="A219:V219"/>
    <mergeCell ref="E220:S220"/>
    <mergeCell ref="B221:C221"/>
    <mergeCell ref="A213:E213"/>
    <mergeCell ref="T213:U213"/>
    <mergeCell ref="A214:E214"/>
    <mergeCell ref="T214:U214"/>
    <mergeCell ref="A215:E215"/>
    <mergeCell ref="T215:U215"/>
    <mergeCell ref="A212:E212"/>
    <mergeCell ref="T212:U212"/>
    <mergeCell ref="A171:E171"/>
    <mergeCell ref="T171:U171"/>
    <mergeCell ref="A172:E172"/>
    <mergeCell ref="T172:U172"/>
    <mergeCell ref="A173:V173"/>
    <mergeCell ref="A174:V174"/>
    <mergeCell ref="A175:V175"/>
    <mergeCell ref="A176:V176"/>
    <mergeCell ref="E177:S177"/>
    <mergeCell ref="B178:C178"/>
    <mergeCell ref="B201:C201"/>
    <mergeCell ref="A170:E170"/>
    <mergeCell ref="T170:U170"/>
    <mergeCell ref="A128:E128"/>
    <mergeCell ref="T128:U128"/>
    <mergeCell ref="A129:E129"/>
    <mergeCell ref="T129:U129"/>
    <mergeCell ref="A130:V130"/>
    <mergeCell ref="A131:V131"/>
    <mergeCell ref="A132:V132"/>
    <mergeCell ref="A133:V133"/>
    <mergeCell ref="E134:S134"/>
    <mergeCell ref="B135:C135"/>
    <mergeCell ref="B149:C149"/>
    <mergeCell ref="A127:E127"/>
    <mergeCell ref="T127:U127"/>
    <mergeCell ref="A93:E93"/>
    <mergeCell ref="T93:U93"/>
    <mergeCell ref="A94:V94"/>
    <mergeCell ref="A95:V95"/>
    <mergeCell ref="A96:V96"/>
    <mergeCell ref="A97:V97"/>
    <mergeCell ref="E98:S98"/>
    <mergeCell ref="B99:C99"/>
    <mergeCell ref="B111:C111"/>
    <mergeCell ref="A126:E126"/>
    <mergeCell ref="T126:U126"/>
    <mergeCell ref="B73:C73"/>
    <mergeCell ref="A90:E90"/>
    <mergeCell ref="A91:E91"/>
    <mergeCell ref="T91:U91"/>
    <mergeCell ref="A92:E92"/>
    <mergeCell ref="T92:U92"/>
    <mergeCell ref="B63:C63"/>
    <mergeCell ref="A53:E53"/>
    <mergeCell ref="T53:U53"/>
    <mergeCell ref="A54:E54"/>
    <mergeCell ref="T54:U54"/>
    <mergeCell ref="A55:E55"/>
    <mergeCell ref="T55:U55"/>
    <mergeCell ref="A58:V58"/>
    <mergeCell ref="A59:V59"/>
    <mergeCell ref="A60:V60"/>
    <mergeCell ref="A61:V61"/>
    <mergeCell ref="E62:S62"/>
    <mergeCell ref="A52:E52"/>
    <mergeCell ref="T52:U52"/>
    <mergeCell ref="A3:E3"/>
    <mergeCell ref="T3:U3"/>
    <mergeCell ref="A4:E4"/>
    <mergeCell ref="M4:V4"/>
    <mergeCell ref="A5:V5"/>
    <mergeCell ref="A6:V6"/>
    <mergeCell ref="A7:V7"/>
    <mergeCell ref="A8:V8"/>
    <mergeCell ref="E9:S9"/>
    <mergeCell ref="B10:C10"/>
    <mergeCell ref="B20:C20"/>
    <mergeCell ref="A1:E1"/>
    <mergeCell ref="L1:M1"/>
    <mergeCell ref="T1:U1"/>
    <mergeCell ref="A2:E2"/>
    <mergeCell ref="L2:M2"/>
    <mergeCell ref="T2:U2"/>
  </mergeCells>
  <printOptions horizontalCentered="1"/>
  <pageMargins left="0.11811023622047245" right="3.937007874015748E-2" top="0.43307086614173229" bottom="0.23622047244094491" header="0.23622047244094491" footer="0.23622047244094491"/>
  <pageSetup paperSize="9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Y97"/>
  <sheetViews>
    <sheetView view="pageBreakPreview" topLeftCell="C73" zoomScale="85" zoomScaleNormal="70" zoomScaleSheetLayoutView="85" zoomScalePageLayoutView="85" workbookViewId="0">
      <selection activeCell="D19" sqref="D19"/>
    </sheetView>
  </sheetViews>
  <sheetFormatPr defaultColWidth="9" defaultRowHeight="18.75"/>
  <cols>
    <col min="1" max="1" width="6.75" style="467" customWidth="1"/>
    <col min="2" max="2" width="14.625" style="467" customWidth="1"/>
    <col min="3" max="3" width="17.625" style="328" customWidth="1"/>
    <col min="4" max="4" width="8.5" style="631" customWidth="1"/>
    <col min="5" max="5" width="8.75" style="631" customWidth="1"/>
    <col min="6" max="9" width="7.625" style="631" customWidth="1"/>
    <col min="10" max="10" width="7.125" style="631" customWidth="1"/>
    <col min="11" max="11" width="7" style="631" customWidth="1"/>
    <col min="12" max="12" width="7.125" style="631" customWidth="1"/>
    <col min="13" max="13" width="6.875" style="631" customWidth="1"/>
    <col min="14" max="14" width="7.75" style="631" customWidth="1"/>
    <col min="15" max="15" width="7.125" style="631" customWidth="1"/>
    <col min="16" max="16" width="6.875" style="631" customWidth="1"/>
    <col min="17" max="17" width="7.375" style="631" customWidth="1"/>
    <col min="18" max="18" width="7.25" style="631" customWidth="1"/>
    <col min="19" max="19" width="7.625" style="631" customWidth="1"/>
    <col min="20" max="20" width="6.375" style="631" customWidth="1"/>
    <col min="21" max="21" width="6.5" style="630" bestFit="1" customWidth="1"/>
    <col min="22" max="22" width="7.125" style="630" customWidth="1"/>
    <col min="23" max="23" width="5.125" style="630" customWidth="1"/>
    <col min="24" max="24" width="8.375" style="630" hidden="1" customWidth="1"/>
    <col min="25" max="25" width="6.5" style="630" hidden="1" customWidth="1"/>
    <col min="26" max="26" width="8.875" style="467" customWidth="1"/>
    <col min="27" max="27" width="10.25" style="467" customWidth="1"/>
    <col min="28" max="28" width="8.375" style="467" customWidth="1"/>
    <col min="29" max="29" width="9.75" style="467" customWidth="1"/>
    <col min="30" max="30" width="18.625" style="467" customWidth="1"/>
    <col min="31" max="31" width="11" style="467" customWidth="1"/>
    <col min="32" max="32" width="11.25" style="467" customWidth="1"/>
    <col min="33" max="33" width="11.5" style="467" customWidth="1"/>
    <col min="34" max="16384" width="9" style="467"/>
  </cols>
  <sheetData>
    <row r="1" spans="1:233" s="320" customFormat="1" ht="27.95" customHeight="1">
      <c r="A1" s="847" t="s">
        <v>0</v>
      </c>
      <c r="B1" s="847"/>
      <c r="C1" s="847"/>
      <c r="D1" s="847"/>
      <c r="E1" s="847"/>
      <c r="F1" s="847"/>
      <c r="G1" s="847"/>
      <c r="H1" s="847"/>
      <c r="I1" s="682"/>
      <c r="J1" s="682"/>
      <c r="K1" s="682"/>
      <c r="L1" s="682"/>
      <c r="M1" s="848" t="s">
        <v>1</v>
      </c>
      <c r="N1" s="848"/>
      <c r="O1" s="848"/>
      <c r="P1" s="848"/>
      <c r="Q1" s="848"/>
      <c r="R1" s="848"/>
      <c r="S1" s="848"/>
      <c r="T1" s="848"/>
      <c r="U1" s="848"/>
      <c r="V1" s="848"/>
      <c r="W1" s="848"/>
      <c r="X1" s="848"/>
      <c r="Y1" s="848"/>
      <c r="Z1" s="848"/>
      <c r="AA1" s="848"/>
      <c r="AB1" s="681"/>
    </row>
    <row r="2" spans="1:233" s="463" customFormat="1" ht="23.45" customHeight="1">
      <c r="A2" s="791" t="s">
        <v>2</v>
      </c>
      <c r="B2" s="791"/>
      <c r="C2" s="791"/>
      <c r="D2" s="791"/>
      <c r="E2" s="791"/>
      <c r="F2" s="791"/>
      <c r="G2" s="791"/>
      <c r="H2" s="791"/>
      <c r="I2" s="683"/>
      <c r="J2" s="683"/>
      <c r="K2" s="680"/>
      <c r="L2" s="680"/>
      <c r="M2" s="803" t="s">
        <v>3</v>
      </c>
      <c r="N2" s="803"/>
      <c r="O2" s="803"/>
      <c r="P2" s="803"/>
      <c r="Q2" s="803"/>
      <c r="R2" s="803"/>
      <c r="S2" s="803"/>
      <c r="T2" s="803"/>
      <c r="U2" s="803"/>
      <c r="V2" s="803"/>
      <c r="W2" s="803"/>
      <c r="X2" s="803"/>
      <c r="Y2" s="803"/>
      <c r="Z2" s="803"/>
      <c r="AA2" s="803"/>
      <c r="AB2" s="261"/>
    </row>
    <row r="3" spans="1:233" s="320" customFormat="1" ht="27.95" customHeight="1">
      <c r="A3" s="847" t="s">
        <v>4</v>
      </c>
      <c r="B3" s="847"/>
      <c r="C3" s="847"/>
      <c r="D3" s="847"/>
      <c r="E3" s="847"/>
      <c r="F3" s="847"/>
      <c r="G3" s="847"/>
      <c r="H3" s="847"/>
      <c r="I3" s="683"/>
      <c r="J3" s="683"/>
      <c r="K3" s="682"/>
      <c r="L3" s="682"/>
      <c r="M3" s="848" t="s">
        <v>5</v>
      </c>
      <c r="N3" s="848"/>
      <c r="O3" s="848"/>
      <c r="P3" s="848"/>
      <c r="Q3" s="848"/>
      <c r="R3" s="848"/>
      <c r="S3" s="848"/>
      <c r="T3" s="848"/>
      <c r="U3" s="848"/>
      <c r="V3" s="848"/>
      <c r="W3" s="848"/>
      <c r="X3" s="848"/>
      <c r="Y3" s="848"/>
      <c r="Z3" s="848"/>
      <c r="AA3" s="848"/>
      <c r="AB3" s="681"/>
    </row>
    <row r="4" spans="1:233" s="463" customFormat="1" ht="21.6" customHeight="1">
      <c r="A4" s="791" t="s">
        <v>6</v>
      </c>
      <c r="B4" s="791"/>
      <c r="C4" s="791"/>
      <c r="D4" s="791"/>
      <c r="E4" s="791"/>
      <c r="F4" s="791"/>
      <c r="G4" s="791"/>
      <c r="H4" s="791"/>
      <c r="I4" s="680"/>
      <c r="J4" s="680"/>
      <c r="K4" s="680"/>
      <c r="L4" s="680"/>
      <c r="M4" s="805" t="s">
        <v>7</v>
      </c>
      <c r="N4" s="805"/>
      <c r="O4" s="805"/>
      <c r="P4" s="805"/>
      <c r="Q4" s="805"/>
      <c r="R4" s="805"/>
      <c r="S4" s="805"/>
      <c r="T4" s="805"/>
      <c r="U4" s="805"/>
      <c r="V4" s="805"/>
      <c r="W4" s="805"/>
      <c r="X4" s="805"/>
      <c r="Y4" s="805"/>
      <c r="Z4" s="805"/>
      <c r="AA4" s="805"/>
      <c r="AB4" s="244"/>
    </row>
    <row r="5" spans="1:233" s="465" customFormat="1" ht="12.75" customHeight="1">
      <c r="A5" s="624"/>
      <c r="B5" s="624"/>
      <c r="C5" s="624"/>
      <c r="D5" s="679"/>
      <c r="E5" s="679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276"/>
      <c r="S5" s="276"/>
      <c r="T5" s="276"/>
      <c r="U5" s="678"/>
      <c r="V5" s="678"/>
      <c r="W5" s="678"/>
      <c r="X5" s="678"/>
      <c r="Y5" s="678"/>
      <c r="Z5" s="244"/>
      <c r="AA5" s="244"/>
      <c r="AB5" s="244"/>
    </row>
    <row r="6" spans="1:233" s="675" customFormat="1" ht="33" customHeight="1">
      <c r="A6" s="846" t="s">
        <v>330</v>
      </c>
      <c r="B6" s="846"/>
      <c r="C6" s="846"/>
      <c r="D6" s="846"/>
      <c r="E6" s="846"/>
      <c r="F6" s="846"/>
      <c r="G6" s="846"/>
      <c r="H6" s="846"/>
      <c r="I6" s="846"/>
      <c r="J6" s="846"/>
      <c r="K6" s="846"/>
      <c r="L6" s="846"/>
      <c r="M6" s="846"/>
      <c r="N6" s="846"/>
      <c r="O6" s="846"/>
      <c r="P6" s="846"/>
      <c r="Q6" s="846"/>
      <c r="R6" s="846"/>
      <c r="S6" s="846"/>
      <c r="T6" s="846"/>
      <c r="U6" s="846"/>
      <c r="V6" s="846"/>
      <c r="W6" s="846"/>
      <c r="X6" s="846"/>
      <c r="Y6" s="846"/>
      <c r="Z6" s="846"/>
      <c r="AA6" s="846"/>
      <c r="AB6" s="123"/>
      <c r="AC6" s="123"/>
      <c r="AD6" s="123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4"/>
      <c r="CD6" s="124"/>
      <c r="CE6" s="124"/>
      <c r="CF6" s="124"/>
      <c r="CG6" s="124"/>
      <c r="CH6" s="124"/>
      <c r="CI6" s="124"/>
      <c r="CJ6" s="124"/>
      <c r="CK6" s="124"/>
      <c r="CL6" s="124"/>
      <c r="CM6" s="124"/>
      <c r="CN6" s="124"/>
      <c r="CO6" s="124"/>
      <c r="CP6" s="124"/>
      <c r="CQ6" s="124"/>
      <c r="CR6" s="124"/>
      <c r="CS6" s="124"/>
      <c r="CT6" s="124"/>
      <c r="CU6" s="124"/>
      <c r="CV6" s="124"/>
      <c r="CW6" s="124"/>
      <c r="CX6" s="124"/>
      <c r="CY6" s="124"/>
      <c r="CZ6" s="124"/>
      <c r="DA6" s="124"/>
      <c r="DB6" s="124"/>
      <c r="DC6" s="124"/>
      <c r="DD6" s="124"/>
      <c r="DE6" s="124"/>
      <c r="DF6" s="124"/>
      <c r="DG6" s="124"/>
      <c r="DH6" s="124"/>
      <c r="DI6" s="124"/>
      <c r="DJ6" s="124"/>
      <c r="DK6" s="124"/>
      <c r="DL6" s="124"/>
      <c r="DM6" s="124"/>
      <c r="DN6" s="124"/>
      <c r="DO6" s="124"/>
      <c r="DP6" s="124"/>
      <c r="DQ6" s="124"/>
      <c r="DR6" s="124"/>
      <c r="DS6" s="124"/>
      <c r="DT6" s="124"/>
      <c r="DU6" s="124"/>
      <c r="DV6" s="124"/>
      <c r="DW6" s="124"/>
      <c r="DX6" s="124"/>
      <c r="DY6" s="124"/>
      <c r="DZ6" s="124"/>
      <c r="EA6" s="124"/>
      <c r="EB6" s="124"/>
      <c r="EC6" s="124"/>
      <c r="ED6" s="124"/>
      <c r="EE6" s="124"/>
      <c r="EF6" s="124"/>
      <c r="EG6" s="124"/>
      <c r="EH6" s="124"/>
      <c r="EI6" s="124"/>
      <c r="EJ6" s="124"/>
      <c r="EK6" s="124"/>
      <c r="EL6" s="124"/>
      <c r="EM6" s="124"/>
      <c r="EN6" s="124"/>
      <c r="EO6" s="124"/>
      <c r="EP6" s="124"/>
      <c r="EQ6" s="124"/>
      <c r="ER6" s="124"/>
      <c r="ES6" s="124"/>
      <c r="ET6" s="124"/>
      <c r="EU6" s="124"/>
      <c r="EV6" s="124"/>
      <c r="EW6" s="124"/>
      <c r="EX6" s="124"/>
      <c r="EY6" s="124"/>
      <c r="EZ6" s="124"/>
      <c r="FA6" s="124"/>
      <c r="FB6" s="124"/>
      <c r="FC6" s="124"/>
      <c r="FD6" s="124"/>
      <c r="FE6" s="124"/>
      <c r="FF6" s="124"/>
      <c r="FG6" s="124"/>
      <c r="FH6" s="124"/>
      <c r="FI6" s="124"/>
      <c r="FJ6" s="124"/>
      <c r="FK6" s="124"/>
      <c r="FL6" s="124"/>
      <c r="FM6" s="124"/>
      <c r="FN6" s="124"/>
      <c r="FO6" s="124"/>
      <c r="FP6" s="124"/>
      <c r="FQ6" s="124"/>
      <c r="FR6" s="124"/>
      <c r="FS6" s="124"/>
      <c r="FT6" s="124"/>
      <c r="FU6" s="124"/>
      <c r="FV6" s="124"/>
      <c r="FW6" s="124"/>
      <c r="FX6" s="124"/>
      <c r="FY6" s="124"/>
      <c r="FZ6" s="124"/>
      <c r="GA6" s="124"/>
      <c r="GB6" s="124"/>
      <c r="GC6" s="124"/>
      <c r="GD6" s="124"/>
      <c r="GE6" s="124"/>
      <c r="GF6" s="124"/>
      <c r="GG6" s="124"/>
      <c r="GH6" s="124"/>
      <c r="GI6" s="124"/>
      <c r="GJ6" s="124"/>
      <c r="GK6" s="124"/>
      <c r="GL6" s="124"/>
      <c r="GM6" s="124"/>
      <c r="GN6" s="124"/>
      <c r="GO6" s="124"/>
      <c r="GP6" s="124"/>
      <c r="GQ6" s="124"/>
      <c r="GR6" s="124"/>
      <c r="GS6" s="124"/>
      <c r="GT6" s="124"/>
      <c r="GU6" s="124"/>
      <c r="GV6" s="124"/>
      <c r="GW6" s="124"/>
      <c r="GX6" s="124"/>
      <c r="GY6" s="124"/>
      <c r="GZ6" s="124"/>
      <c r="HA6" s="124"/>
      <c r="HB6" s="124"/>
      <c r="HC6" s="124"/>
      <c r="HD6" s="124"/>
      <c r="HE6" s="124"/>
      <c r="HF6" s="124"/>
      <c r="HG6" s="124"/>
      <c r="HH6" s="124"/>
      <c r="HI6" s="124"/>
      <c r="HJ6" s="124"/>
      <c r="HK6" s="124"/>
      <c r="HL6" s="124"/>
      <c r="HM6" s="124"/>
      <c r="HN6" s="124"/>
      <c r="HO6" s="124"/>
      <c r="HP6" s="124"/>
      <c r="HQ6" s="124"/>
      <c r="HR6" s="124"/>
      <c r="HS6" s="124"/>
      <c r="HT6" s="124"/>
      <c r="HU6" s="124"/>
      <c r="HV6" s="124"/>
      <c r="HW6" s="124"/>
      <c r="HX6" s="124"/>
      <c r="HY6" s="124"/>
    </row>
    <row r="7" spans="1:233" s="675" customFormat="1" ht="36.75" customHeight="1">
      <c r="A7" s="849" t="s">
        <v>331</v>
      </c>
      <c r="B7" s="850"/>
      <c r="C7" s="850"/>
      <c r="D7" s="850"/>
      <c r="E7" s="850"/>
      <c r="F7" s="850"/>
      <c r="G7" s="850"/>
      <c r="H7" s="850"/>
      <c r="I7" s="850"/>
      <c r="J7" s="850"/>
      <c r="K7" s="850"/>
      <c r="L7" s="850"/>
      <c r="M7" s="850"/>
      <c r="N7" s="850"/>
      <c r="O7" s="850"/>
      <c r="P7" s="850"/>
      <c r="Q7" s="850"/>
      <c r="R7" s="850"/>
      <c r="S7" s="850"/>
      <c r="T7" s="850"/>
      <c r="U7" s="850"/>
      <c r="V7" s="850"/>
      <c r="W7" s="850"/>
      <c r="X7" s="850"/>
      <c r="Y7" s="850"/>
      <c r="Z7" s="850"/>
      <c r="AA7" s="850"/>
      <c r="AB7" s="677"/>
      <c r="AC7" s="677"/>
      <c r="AD7" s="677"/>
      <c r="AE7" s="676"/>
      <c r="AF7" s="676"/>
      <c r="AG7" s="676"/>
      <c r="AH7" s="676"/>
      <c r="AI7" s="676"/>
      <c r="AJ7" s="676"/>
      <c r="AK7" s="676"/>
      <c r="AL7" s="676"/>
      <c r="AM7" s="676"/>
      <c r="AN7" s="676"/>
      <c r="AO7" s="676"/>
      <c r="AP7" s="676"/>
      <c r="AQ7" s="676"/>
      <c r="AR7" s="676"/>
      <c r="AS7" s="676"/>
      <c r="AT7" s="676"/>
      <c r="AU7" s="676"/>
      <c r="AV7" s="676"/>
      <c r="AW7" s="676"/>
      <c r="AX7" s="676"/>
      <c r="AY7" s="676"/>
      <c r="AZ7" s="676"/>
      <c r="BA7" s="676"/>
      <c r="BB7" s="676"/>
      <c r="BC7" s="676"/>
      <c r="BD7" s="676"/>
      <c r="BE7" s="676"/>
      <c r="BF7" s="676"/>
      <c r="BG7" s="676"/>
      <c r="BH7" s="676"/>
      <c r="BI7" s="676"/>
      <c r="BJ7" s="676"/>
      <c r="BK7" s="676"/>
      <c r="BL7" s="676"/>
      <c r="BM7" s="676"/>
      <c r="BN7" s="676"/>
      <c r="BO7" s="676"/>
      <c r="BP7" s="676"/>
      <c r="BQ7" s="676"/>
      <c r="BR7" s="676"/>
      <c r="BS7" s="676"/>
      <c r="BT7" s="676"/>
      <c r="BU7" s="676"/>
      <c r="BV7" s="676"/>
      <c r="BW7" s="676"/>
      <c r="BX7" s="676"/>
      <c r="BY7" s="676"/>
      <c r="BZ7" s="676"/>
      <c r="CA7" s="676"/>
      <c r="CB7" s="676"/>
      <c r="CC7" s="676"/>
      <c r="CD7" s="676"/>
      <c r="CE7" s="676"/>
      <c r="CF7" s="676"/>
      <c r="CG7" s="676"/>
      <c r="CH7" s="676"/>
      <c r="CI7" s="676"/>
      <c r="CJ7" s="676"/>
      <c r="CK7" s="676"/>
      <c r="CL7" s="676"/>
      <c r="CM7" s="676"/>
      <c r="CN7" s="676"/>
      <c r="CO7" s="676"/>
      <c r="CP7" s="676"/>
      <c r="CQ7" s="676"/>
      <c r="CR7" s="676"/>
      <c r="CS7" s="676"/>
      <c r="CT7" s="676"/>
      <c r="CU7" s="676"/>
      <c r="CV7" s="676"/>
      <c r="CW7" s="676"/>
      <c r="CX7" s="676"/>
      <c r="CY7" s="676"/>
      <c r="CZ7" s="676"/>
      <c r="DA7" s="676"/>
      <c r="DB7" s="676"/>
      <c r="DC7" s="676"/>
      <c r="DD7" s="676"/>
      <c r="DE7" s="676"/>
      <c r="DF7" s="676"/>
      <c r="DG7" s="676"/>
      <c r="DH7" s="676"/>
      <c r="DI7" s="676"/>
      <c r="DJ7" s="676"/>
      <c r="DK7" s="676"/>
      <c r="DL7" s="676"/>
      <c r="DM7" s="676"/>
      <c r="DN7" s="676"/>
      <c r="DO7" s="676"/>
      <c r="DP7" s="676"/>
      <c r="DQ7" s="676"/>
      <c r="DR7" s="676"/>
      <c r="DS7" s="676"/>
      <c r="DT7" s="676"/>
      <c r="DU7" s="676"/>
      <c r="DV7" s="676"/>
      <c r="DW7" s="676"/>
      <c r="DX7" s="676"/>
      <c r="DY7" s="676"/>
      <c r="DZ7" s="676"/>
      <c r="EA7" s="676"/>
      <c r="EB7" s="676"/>
      <c r="EC7" s="676"/>
      <c r="ED7" s="676"/>
      <c r="EE7" s="676"/>
      <c r="EF7" s="676"/>
      <c r="EG7" s="676"/>
      <c r="EH7" s="676"/>
      <c r="EI7" s="676"/>
      <c r="EJ7" s="676"/>
      <c r="EK7" s="676"/>
      <c r="EL7" s="676"/>
      <c r="EM7" s="676"/>
      <c r="EN7" s="676"/>
      <c r="EO7" s="676"/>
      <c r="EP7" s="676"/>
      <c r="EQ7" s="676"/>
      <c r="ER7" s="676"/>
      <c r="ES7" s="676"/>
      <c r="ET7" s="676"/>
      <c r="EU7" s="676"/>
      <c r="EV7" s="676"/>
      <c r="EW7" s="676"/>
      <c r="EX7" s="676"/>
      <c r="EY7" s="676"/>
      <c r="EZ7" s="676"/>
      <c r="FA7" s="676"/>
      <c r="FB7" s="676"/>
      <c r="FC7" s="676"/>
      <c r="FD7" s="676"/>
      <c r="FE7" s="676"/>
      <c r="FF7" s="676"/>
      <c r="FG7" s="676"/>
      <c r="FH7" s="676"/>
      <c r="FI7" s="676"/>
      <c r="FJ7" s="676"/>
      <c r="FK7" s="676"/>
      <c r="FL7" s="676"/>
      <c r="FM7" s="676"/>
      <c r="FN7" s="676"/>
      <c r="FO7" s="676"/>
      <c r="FP7" s="676"/>
      <c r="FQ7" s="676"/>
      <c r="FR7" s="676"/>
      <c r="FS7" s="676"/>
      <c r="FT7" s="676"/>
      <c r="FU7" s="676"/>
      <c r="FV7" s="676"/>
      <c r="FW7" s="676"/>
      <c r="FX7" s="676"/>
      <c r="FY7" s="676"/>
      <c r="FZ7" s="676"/>
      <c r="GA7" s="676"/>
      <c r="GB7" s="676"/>
      <c r="GC7" s="676"/>
      <c r="GD7" s="676"/>
      <c r="GE7" s="676"/>
      <c r="GF7" s="676"/>
      <c r="GG7" s="676"/>
      <c r="GH7" s="676"/>
      <c r="GI7" s="676"/>
      <c r="GJ7" s="676"/>
      <c r="GK7" s="676"/>
      <c r="GL7" s="676"/>
      <c r="GM7" s="676"/>
      <c r="GN7" s="676"/>
      <c r="GO7" s="676"/>
      <c r="GP7" s="676"/>
      <c r="GQ7" s="676"/>
      <c r="GR7" s="676"/>
      <c r="GS7" s="676"/>
      <c r="GT7" s="676"/>
      <c r="GU7" s="676"/>
      <c r="GV7" s="676"/>
      <c r="GW7" s="676"/>
      <c r="GX7" s="676"/>
      <c r="GY7" s="676"/>
      <c r="GZ7" s="676"/>
      <c r="HA7" s="676"/>
      <c r="HB7" s="676"/>
      <c r="HC7" s="676"/>
      <c r="HD7" s="676"/>
      <c r="HE7" s="676"/>
      <c r="HF7" s="676"/>
      <c r="HG7" s="676"/>
      <c r="HH7" s="676"/>
      <c r="HI7" s="676"/>
      <c r="HJ7" s="676"/>
      <c r="HK7" s="676"/>
      <c r="HL7" s="676"/>
      <c r="HM7" s="676"/>
      <c r="HN7" s="676"/>
      <c r="HO7" s="676"/>
      <c r="HP7" s="676"/>
      <c r="HQ7" s="676"/>
      <c r="HR7" s="676"/>
      <c r="HS7" s="676"/>
      <c r="HT7" s="676"/>
      <c r="HU7" s="676"/>
      <c r="HV7" s="676"/>
      <c r="HW7" s="676"/>
      <c r="HX7" s="676"/>
      <c r="HY7" s="676"/>
    </row>
    <row r="8" spans="1:233" s="675" customFormat="1" ht="24.6" customHeight="1">
      <c r="A8" s="851" t="s">
        <v>332</v>
      </c>
      <c r="B8" s="851"/>
      <c r="C8" s="851"/>
      <c r="D8" s="851"/>
      <c r="E8" s="851"/>
      <c r="F8" s="851"/>
      <c r="G8" s="851"/>
      <c r="H8" s="851"/>
      <c r="I8" s="851"/>
      <c r="J8" s="851"/>
      <c r="K8" s="851"/>
      <c r="L8" s="851"/>
      <c r="M8" s="851"/>
      <c r="N8" s="851"/>
      <c r="O8" s="851"/>
      <c r="P8" s="851"/>
      <c r="Q8" s="851"/>
      <c r="R8" s="851"/>
      <c r="S8" s="851"/>
      <c r="T8" s="851"/>
      <c r="U8" s="851"/>
      <c r="V8" s="851"/>
      <c r="W8" s="851"/>
      <c r="X8" s="851"/>
      <c r="Y8" s="851"/>
      <c r="Z8" s="851"/>
      <c r="AA8" s="851"/>
      <c r="AB8" s="125"/>
      <c r="AC8" s="125"/>
      <c r="AD8" s="125"/>
      <c r="AE8" s="126"/>
      <c r="AF8" s="125"/>
      <c r="AG8" s="125"/>
    </row>
    <row r="9" spans="1:233" s="675" customFormat="1" ht="27" customHeight="1">
      <c r="A9" s="856" t="s">
        <v>333</v>
      </c>
      <c r="B9" s="851"/>
      <c r="C9" s="851"/>
      <c r="D9" s="851"/>
      <c r="E9" s="851"/>
      <c r="F9" s="851"/>
      <c r="G9" s="851"/>
      <c r="H9" s="851"/>
      <c r="I9" s="851"/>
      <c r="J9" s="851"/>
      <c r="K9" s="851"/>
      <c r="L9" s="851"/>
      <c r="M9" s="851"/>
      <c r="N9" s="851"/>
      <c r="O9" s="851"/>
      <c r="P9" s="851"/>
      <c r="Q9" s="851"/>
      <c r="R9" s="851"/>
      <c r="S9" s="851"/>
      <c r="T9" s="851"/>
      <c r="U9" s="851"/>
      <c r="V9" s="851"/>
      <c r="W9" s="851"/>
      <c r="X9" s="851"/>
      <c r="Y9" s="851"/>
      <c r="Z9" s="851"/>
      <c r="AA9" s="851"/>
      <c r="AB9" s="125"/>
      <c r="AC9" s="125"/>
      <c r="AD9" s="125"/>
      <c r="AE9" s="125"/>
      <c r="AF9" s="125"/>
      <c r="AG9" s="125"/>
    </row>
    <row r="10" spans="1:233" s="675" customFormat="1" ht="11.25" customHeight="1">
      <c r="A10" s="121"/>
      <c r="B10" s="121"/>
      <c r="C10" s="259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399"/>
      <c r="V10" s="399"/>
      <c r="W10" s="399"/>
      <c r="X10" s="399"/>
      <c r="Y10" s="399"/>
      <c r="Z10" s="121"/>
      <c r="AA10" s="121"/>
      <c r="AB10" s="121"/>
      <c r="AC10" s="121"/>
      <c r="AD10" s="127"/>
      <c r="AE10" s="121"/>
      <c r="AF10" s="121"/>
      <c r="AG10" s="121"/>
    </row>
    <row r="11" spans="1:233" s="244" customFormat="1" ht="120.75" customHeight="1">
      <c r="A11" s="861" t="s">
        <v>241</v>
      </c>
      <c r="B11" s="863" t="s">
        <v>242</v>
      </c>
      <c r="C11" s="863"/>
      <c r="D11" s="863" t="s">
        <v>245</v>
      </c>
      <c r="E11" s="863"/>
      <c r="F11" s="864" t="s">
        <v>248</v>
      </c>
      <c r="G11" s="864"/>
      <c r="H11" s="853" t="s">
        <v>249</v>
      </c>
      <c r="I11" s="853"/>
      <c r="J11" s="853" t="s">
        <v>250</v>
      </c>
      <c r="K11" s="853"/>
      <c r="L11" s="853" t="s">
        <v>251</v>
      </c>
      <c r="M11" s="853"/>
      <c r="N11" s="853" t="s">
        <v>252</v>
      </c>
      <c r="O11" s="853"/>
      <c r="P11" s="853" t="s">
        <v>253</v>
      </c>
      <c r="Q11" s="853"/>
      <c r="R11" s="853" t="s">
        <v>254</v>
      </c>
      <c r="S11" s="853"/>
      <c r="T11" s="853" t="s">
        <v>272</v>
      </c>
      <c r="U11" s="853"/>
      <c r="V11" s="854" t="s">
        <v>359</v>
      </c>
      <c r="W11" s="855"/>
      <c r="X11" s="854" t="s">
        <v>53</v>
      </c>
      <c r="Y11" s="855"/>
      <c r="Z11" s="861" t="s">
        <v>255</v>
      </c>
      <c r="AA11" s="861" t="s">
        <v>324</v>
      </c>
      <c r="AB11" s="857"/>
    </row>
    <row r="12" spans="1:233" s="244" customFormat="1" ht="76.5" customHeight="1">
      <c r="A12" s="862"/>
      <c r="B12" s="674" t="s">
        <v>243</v>
      </c>
      <c r="C12" s="673" t="s">
        <v>244</v>
      </c>
      <c r="D12" s="628" t="s">
        <v>246</v>
      </c>
      <c r="E12" s="628" t="s">
        <v>247</v>
      </c>
      <c r="F12" s="628" t="s">
        <v>246</v>
      </c>
      <c r="G12" s="628" t="s">
        <v>247</v>
      </c>
      <c r="H12" s="628" t="s">
        <v>246</v>
      </c>
      <c r="I12" s="628" t="s">
        <v>247</v>
      </c>
      <c r="J12" s="628" t="s">
        <v>246</v>
      </c>
      <c r="K12" s="628" t="s">
        <v>247</v>
      </c>
      <c r="L12" s="628" t="s">
        <v>246</v>
      </c>
      <c r="M12" s="628" t="s">
        <v>247</v>
      </c>
      <c r="N12" s="628" t="s">
        <v>246</v>
      </c>
      <c r="O12" s="628" t="s">
        <v>247</v>
      </c>
      <c r="P12" s="628" t="s">
        <v>246</v>
      </c>
      <c r="Q12" s="628" t="s">
        <v>247</v>
      </c>
      <c r="R12" s="628" t="s">
        <v>246</v>
      </c>
      <c r="S12" s="628" t="s">
        <v>247</v>
      </c>
      <c r="T12" s="628" t="s">
        <v>246</v>
      </c>
      <c r="U12" s="628" t="s">
        <v>247</v>
      </c>
      <c r="V12" s="628" t="s">
        <v>246</v>
      </c>
      <c r="W12" s="628" t="s">
        <v>247</v>
      </c>
      <c r="X12" s="628" t="s">
        <v>246</v>
      </c>
      <c r="Y12" s="628" t="s">
        <v>247</v>
      </c>
      <c r="Z12" s="861"/>
      <c r="AA12" s="861"/>
      <c r="AB12" s="857"/>
      <c r="AD12" s="672"/>
    </row>
    <row r="13" spans="1:233" s="244" customFormat="1" ht="27.95" customHeight="1">
      <c r="A13" s="669">
        <v>1</v>
      </c>
      <c r="B13" s="703" t="s">
        <v>55</v>
      </c>
      <c r="C13" s="434" t="s">
        <v>56</v>
      </c>
      <c r="D13" s="666"/>
      <c r="E13" s="666"/>
      <c r="F13" s="666"/>
      <c r="G13" s="666"/>
      <c r="H13" s="450">
        <f>'BCC D1(26)'!V12</f>
        <v>10.5</v>
      </c>
      <c r="I13" s="450">
        <f>ROUND(H13*1.2486,2)</f>
        <v>13.11</v>
      </c>
      <c r="J13" s="451"/>
      <c r="K13" s="451"/>
      <c r="L13" s="451"/>
      <c r="M13" s="451"/>
      <c r="N13" s="451"/>
      <c r="O13" s="451"/>
      <c r="P13" s="451"/>
      <c r="Q13" s="451"/>
      <c r="R13" s="451"/>
      <c r="S13" s="451"/>
      <c r="T13" s="451"/>
      <c r="U13" s="451"/>
      <c r="V13" s="452"/>
      <c r="W13" s="438"/>
      <c r="X13" s="445"/>
      <c r="Y13" s="445"/>
      <c r="Z13" s="435">
        <f t="shared" ref="Z13:Z44" si="0">SUM(G13,E13,S13,Q13,O13,M13,K13,I13,U13,W13,Y13)</f>
        <v>13.11</v>
      </c>
      <c r="AA13" s="454"/>
      <c r="AB13" s="629"/>
    </row>
    <row r="14" spans="1:233" s="244" customFormat="1" ht="27.95" customHeight="1">
      <c r="A14" s="669">
        <f t="shared" ref="A14:A45" si="1">+A13+1</f>
        <v>2</v>
      </c>
      <c r="B14" s="434" t="s">
        <v>57</v>
      </c>
      <c r="C14" s="704" t="s">
        <v>58</v>
      </c>
      <c r="D14" s="666"/>
      <c r="E14" s="666"/>
      <c r="F14" s="666"/>
      <c r="G14" s="666"/>
      <c r="H14" s="451"/>
      <c r="I14" s="451"/>
      <c r="J14" s="671">
        <f>'BCC D1(26)'!V13+'BCC D1(26)'!V14</f>
        <v>16</v>
      </c>
      <c r="K14" s="437">
        <f>ROUND(J14*1.0563,2)</f>
        <v>16.899999999999999</v>
      </c>
      <c r="L14" s="451"/>
      <c r="M14" s="451"/>
      <c r="N14" s="451"/>
      <c r="O14" s="451"/>
      <c r="P14" s="451"/>
      <c r="Q14" s="451"/>
      <c r="R14" s="438">
        <f>'BCC D1(26)'!V93</f>
        <v>3.5</v>
      </c>
      <c r="S14" s="438">
        <f>ROUND(R14*0.9391,2)</f>
        <v>3.29</v>
      </c>
      <c r="T14" s="438"/>
      <c r="U14" s="438"/>
      <c r="V14" s="452"/>
      <c r="W14" s="438"/>
      <c r="X14" s="452"/>
      <c r="Y14" s="452"/>
      <c r="Z14" s="435">
        <f t="shared" si="0"/>
        <v>20.189999999999998</v>
      </c>
      <c r="AA14" s="454"/>
      <c r="AB14" s="629"/>
      <c r="AD14" s="662" t="s">
        <v>59</v>
      </c>
    </row>
    <row r="15" spans="1:233" s="244" customFormat="1" ht="27.95" customHeight="1">
      <c r="A15" s="669">
        <f t="shared" si="1"/>
        <v>3</v>
      </c>
      <c r="B15" s="703" t="s">
        <v>60</v>
      </c>
      <c r="C15" s="434" t="s">
        <v>61</v>
      </c>
      <c r="D15" s="666"/>
      <c r="E15" s="666"/>
      <c r="F15" s="666"/>
      <c r="G15" s="666"/>
      <c r="H15" s="451"/>
      <c r="I15" s="451"/>
      <c r="J15" s="671"/>
      <c r="K15" s="437"/>
      <c r="L15" s="451"/>
      <c r="M15" s="451"/>
      <c r="N15" s="452">
        <f>'BCC D1(26)'!V15</f>
        <v>12.5</v>
      </c>
      <c r="O15" s="437">
        <f>ROUND(N15*0.9776,2)</f>
        <v>12.22</v>
      </c>
      <c r="P15" s="451"/>
      <c r="Q15" s="451"/>
      <c r="R15" s="438"/>
      <c r="S15" s="438"/>
      <c r="T15" s="438"/>
      <c r="U15" s="438"/>
      <c r="V15" s="452"/>
      <c r="W15" s="438"/>
      <c r="X15" s="452"/>
      <c r="Y15" s="452"/>
      <c r="Z15" s="435">
        <f t="shared" si="0"/>
        <v>12.22</v>
      </c>
      <c r="AA15" s="454"/>
      <c r="AB15" s="629"/>
      <c r="AD15" s="662"/>
    </row>
    <row r="16" spans="1:233" s="244" customFormat="1" ht="27.95" customHeight="1">
      <c r="A16" s="669">
        <f t="shared" si="1"/>
        <v>4</v>
      </c>
      <c r="B16" s="705" t="s">
        <v>62</v>
      </c>
      <c r="C16" s="706" t="s">
        <v>63</v>
      </c>
      <c r="D16" s="670"/>
      <c r="E16" s="670"/>
      <c r="F16" s="670"/>
      <c r="G16" s="670"/>
      <c r="H16" s="451"/>
      <c r="I16" s="451"/>
      <c r="J16" s="451"/>
      <c r="K16" s="451"/>
      <c r="L16" s="438">
        <f>SUM('BCC D1(26)'!V16:V17)</f>
        <v>17.5</v>
      </c>
      <c r="M16" s="440">
        <f>ROUND(L16*1.4667,2)-0.01</f>
        <v>25.66</v>
      </c>
      <c r="N16" s="451"/>
      <c r="O16" s="451"/>
      <c r="P16" s="451"/>
      <c r="Q16" s="451"/>
      <c r="R16" s="452"/>
      <c r="S16" s="452"/>
      <c r="T16" s="452"/>
      <c r="U16" s="452"/>
      <c r="V16" s="452"/>
      <c r="W16" s="438"/>
      <c r="X16" s="452"/>
      <c r="Y16" s="452"/>
      <c r="Z16" s="435">
        <f t="shared" si="0"/>
        <v>25.66</v>
      </c>
      <c r="AA16" s="454"/>
      <c r="AB16" s="629"/>
      <c r="AD16" s="662"/>
    </row>
    <row r="17" spans="1:30" s="244" customFormat="1" ht="27.95" customHeight="1">
      <c r="A17" s="669">
        <f t="shared" si="1"/>
        <v>5</v>
      </c>
      <c r="B17" s="703" t="s">
        <v>64</v>
      </c>
      <c r="C17" s="434" t="s">
        <v>65</v>
      </c>
      <c r="D17" s="666"/>
      <c r="E17" s="666"/>
      <c r="F17" s="666"/>
      <c r="G17" s="666"/>
      <c r="H17" s="451"/>
      <c r="I17" s="451"/>
      <c r="J17" s="451"/>
      <c r="K17" s="451"/>
      <c r="L17" s="438">
        <f>SUM('BCC D1(26)'!V18:V19)</f>
        <v>11</v>
      </c>
      <c r="M17" s="440">
        <f>ROUND(L17*1.4779,2)</f>
        <v>16.260000000000002</v>
      </c>
      <c r="N17" s="451"/>
      <c r="O17" s="451"/>
      <c r="P17" s="452"/>
      <c r="Q17" s="452"/>
      <c r="R17" s="452"/>
      <c r="S17" s="452"/>
      <c r="T17" s="452"/>
      <c r="U17" s="452"/>
      <c r="V17" s="452"/>
      <c r="W17" s="438"/>
      <c r="X17" s="452"/>
      <c r="Y17" s="452"/>
      <c r="Z17" s="435">
        <f t="shared" si="0"/>
        <v>16.260000000000002</v>
      </c>
      <c r="AA17" s="454"/>
      <c r="AB17" s="629"/>
      <c r="AD17" s="662"/>
    </row>
    <row r="18" spans="1:30" s="244" customFormat="1" ht="27.95" customHeight="1">
      <c r="A18" s="669">
        <f t="shared" si="1"/>
        <v>6</v>
      </c>
      <c r="B18" s="707" t="s">
        <v>66</v>
      </c>
      <c r="C18" s="708" t="s">
        <v>67</v>
      </c>
      <c r="D18" s="666"/>
      <c r="E18" s="666"/>
      <c r="F18" s="666"/>
      <c r="G18" s="666"/>
      <c r="H18" s="435"/>
      <c r="I18" s="435"/>
      <c r="J18" s="666"/>
      <c r="K18" s="666"/>
      <c r="L18" s="666"/>
      <c r="M18" s="666"/>
      <c r="N18" s="666"/>
      <c r="O18" s="666"/>
      <c r="P18" s="438">
        <f>SUM('BCC D1(26)'!V20:V21)</f>
        <v>17.5</v>
      </c>
      <c r="Q18" s="438">
        <f>ROUND(P18*1.4608,2)</f>
        <v>25.56</v>
      </c>
      <c r="R18" s="452"/>
      <c r="S18" s="452"/>
      <c r="T18" s="452"/>
      <c r="U18" s="452"/>
      <c r="V18" s="452"/>
      <c r="W18" s="438"/>
      <c r="X18" s="452"/>
      <c r="Y18" s="452"/>
      <c r="Z18" s="435">
        <f t="shared" si="0"/>
        <v>25.56</v>
      </c>
      <c r="AA18" s="454"/>
      <c r="AB18" s="629"/>
      <c r="AD18" s="662"/>
    </row>
    <row r="19" spans="1:30" s="244" customFormat="1" ht="27.95" customHeight="1">
      <c r="A19" s="669">
        <f t="shared" si="1"/>
        <v>7</v>
      </c>
      <c r="B19" s="589" t="s">
        <v>68</v>
      </c>
      <c r="C19" s="709" t="s">
        <v>69</v>
      </c>
      <c r="D19" s="664">
        <f>ROUND(VLOOKUP(B19,'BPHAN CHIA '!$B$100:$T$110,19,0)*1.1,2)</f>
        <v>9.82</v>
      </c>
      <c r="E19" s="664">
        <f t="shared" ref="E19:E20" si="2">ROUND(0.7199*D19,2)</f>
        <v>7.07</v>
      </c>
      <c r="F19" s="666">
        <f>ROUND(1.15*VLOOKUP(B19,'BPHAN CHIA '!$B$179:$T$200,19,0),2)</f>
        <v>13.75</v>
      </c>
      <c r="G19" s="666">
        <f t="shared" ref="G19:G40" si="3">ROUND(F19*1.0956,2)</f>
        <v>15.06</v>
      </c>
      <c r="H19" s="435"/>
      <c r="I19" s="435"/>
      <c r="J19" s="666"/>
      <c r="K19" s="666"/>
      <c r="L19" s="666"/>
      <c r="M19" s="666"/>
      <c r="N19" s="666"/>
      <c r="O19" s="666"/>
      <c r="P19" s="438"/>
      <c r="Q19" s="438"/>
      <c r="R19" s="452"/>
      <c r="S19" s="452"/>
      <c r="T19" s="452"/>
      <c r="U19" s="440">
        <f>ROUND(T19*0.9391,2)</f>
        <v>0</v>
      </c>
      <c r="V19" s="452"/>
      <c r="W19" s="438"/>
      <c r="X19" s="452"/>
      <c r="Y19" s="452"/>
      <c r="Z19" s="435">
        <f t="shared" si="0"/>
        <v>22.130000000000003</v>
      </c>
      <c r="AA19" s="454"/>
      <c r="AB19" s="629"/>
      <c r="AD19" s="662"/>
    </row>
    <row r="20" spans="1:30" s="244" customFormat="1" ht="27.95" customHeight="1">
      <c r="A20" s="669">
        <f t="shared" si="1"/>
        <v>8</v>
      </c>
      <c r="B20" s="710" t="s">
        <v>70</v>
      </c>
      <c r="C20" s="591" t="s">
        <v>71</v>
      </c>
      <c r="D20" s="664">
        <f>ROUND(VLOOKUP(B20,'BPHAN CHIA '!$B$100:$T$110,19,0),2)</f>
        <v>12.55</v>
      </c>
      <c r="E20" s="664">
        <f t="shared" si="2"/>
        <v>9.0299999999999994</v>
      </c>
      <c r="F20" s="666">
        <f>ROUND(VLOOKUP(B20,'BPHAN CHIA '!$B$179:$T$200,19,0),2)</f>
        <v>10.35</v>
      </c>
      <c r="G20" s="666">
        <f t="shared" si="3"/>
        <v>11.34</v>
      </c>
      <c r="H20" s="435"/>
      <c r="I20" s="435"/>
      <c r="J20" s="666"/>
      <c r="K20" s="666"/>
      <c r="L20" s="666"/>
      <c r="M20" s="666"/>
      <c r="N20" s="666"/>
      <c r="O20" s="666"/>
      <c r="P20" s="438"/>
      <c r="Q20" s="438"/>
      <c r="R20" s="452"/>
      <c r="S20" s="452"/>
      <c r="T20" s="452"/>
      <c r="U20" s="452"/>
      <c r="V20" s="452"/>
      <c r="W20" s="438"/>
      <c r="X20" s="452"/>
      <c r="Y20" s="452"/>
      <c r="Z20" s="435">
        <f t="shared" si="0"/>
        <v>20.369999999999997</v>
      </c>
      <c r="AA20" s="454"/>
      <c r="AB20" s="629"/>
      <c r="AD20" s="662"/>
    </row>
    <row r="21" spans="1:30" s="244" customFormat="1" ht="27.95" customHeight="1">
      <c r="A21" s="669">
        <f t="shared" si="1"/>
        <v>9</v>
      </c>
      <c r="B21" s="710" t="s">
        <v>74</v>
      </c>
      <c r="C21" s="711" t="s">
        <v>75</v>
      </c>
      <c r="D21" s="664"/>
      <c r="E21" s="668"/>
      <c r="F21" s="666">
        <f>ROUND(VLOOKUP(B21,'BPHAN CHIA '!$B$179:$T$200,19,0),2)</f>
        <v>11.95</v>
      </c>
      <c r="G21" s="666">
        <f t="shared" si="3"/>
        <v>13.09</v>
      </c>
      <c r="H21" s="435"/>
      <c r="I21" s="435"/>
      <c r="J21" s="666"/>
      <c r="K21" s="666"/>
      <c r="L21" s="666"/>
      <c r="M21" s="666"/>
      <c r="N21" s="666"/>
      <c r="O21" s="666"/>
      <c r="P21" s="438"/>
      <c r="Q21" s="438"/>
      <c r="R21" s="452"/>
      <c r="S21" s="452"/>
      <c r="T21" s="452"/>
      <c r="U21" s="452"/>
      <c r="V21" s="452"/>
      <c r="W21" s="438"/>
      <c r="X21" s="445"/>
      <c r="Y21" s="445"/>
      <c r="Z21" s="435">
        <f t="shared" si="0"/>
        <v>13.09</v>
      </c>
      <c r="AA21" s="454"/>
      <c r="AB21" s="629"/>
      <c r="AD21" s="662"/>
    </row>
    <row r="22" spans="1:30" s="244" customFormat="1" ht="27.95" customHeight="1">
      <c r="A22" s="669">
        <f t="shared" si="1"/>
        <v>10</v>
      </c>
      <c r="B22" s="710" t="s">
        <v>76</v>
      </c>
      <c r="C22" s="712" t="s">
        <v>77</v>
      </c>
      <c r="D22" s="664"/>
      <c r="E22" s="668"/>
      <c r="F22" s="666">
        <f>ROUND(VLOOKUP(B22,'BPHAN CHIA '!$B$179:$T$200,19,0),2)</f>
        <v>9.9600000000000009</v>
      </c>
      <c r="G22" s="666">
        <f t="shared" si="3"/>
        <v>10.91</v>
      </c>
      <c r="H22" s="435"/>
      <c r="I22" s="435"/>
      <c r="J22" s="666"/>
      <c r="K22" s="666"/>
      <c r="L22" s="666"/>
      <c r="M22" s="666"/>
      <c r="N22" s="666"/>
      <c r="O22" s="666"/>
      <c r="P22" s="438"/>
      <c r="Q22" s="438"/>
      <c r="R22" s="452"/>
      <c r="S22" s="452"/>
      <c r="T22" s="452"/>
      <c r="U22" s="452"/>
      <c r="V22" s="452"/>
      <c r="W22" s="438"/>
      <c r="X22" s="452"/>
      <c r="Y22" s="452"/>
      <c r="Z22" s="435">
        <f t="shared" si="0"/>
        <v>10.91</v>
      </c>
      <c r="AA22" s="454"/>
      <c r="AB22" s="629"/>
      <c r="AD22" s="662"/>
    </row>
    <row r="23" spans="1:30" s="244" customFormat="1" ht="27.95" customHeight="1">
      <c r="A23" s="669">
        <f t="shared" si="1"/>
        <v>11</v>
      </c>
      <c r="B23" s="710" t="s">
        <v>78</v>
      </c>
      <c r="C23" s="713" t="s">
        <v>79</v>
      </c>
      <c r="D23" s="664">
        <f>ROUND(VLOOKUP(B23,'BPHAN CHIA '!$B$100:$T$110,19,0),2)</f>
        <v>12.55</v>
      </c>
      <c r="E23" s="664">
        <f t="shared" ref="E23:E24" si="4">ROUND(0.7199*D23,2)</f>
        <v>9.0299999999999994</v>
      </c>
      <c r="F23" s="666">
        <f>ROUND(VLOOKUP(B23,'BPHAN CHIA '!$B$179:$T$200,19,0),2)</f>
        <v>11.95</v>
      </c>
      <c r="G23" s="666">
        <f t="shared" si="3"/>
        <v>13.09</v>
      </c>
      <c r="H23" s="435"/>
      <c r="I23" s="435"/>
      <c r="J23" s="666"/>
      <c r="K23" s="666"/>
      <c r="L23" s="666"/>
      <c r="M23" s="666"/>
      <c r="N23" s="666"/>
      <c r="O23" s="666"/>
      <c r="P23" s="438"/>
      <c r="Q23" s="438"/>
      <c r="R23" s="452"/>
      <c r="S23" s="452"/>
      <c r="T23" s="452"/>
      <c r="U23" s="452"/>
      <c r="V23" s="452"/>
      <c r="W23" s="438"/>
      <c r="X23" s="445"/>
      <c r="Y23" s="445"/>
      <c r="Z23" s="435">
        <f t="shared" si="0"/>
        <v>22.119999999999997</v>
      </c>
      <c r="AA23" s="454"/>
      <c r="AB23" s="629"/>
      <c r="AD23" s="662"/>
    </row>
    <row r="24" spans="1:30" s="244" customFormat="1" ht="27.95" customHeight="1">
      <c r="A24" s="669">
        <f t="shared" si="1"/>
        <v>12</v>
      </c>
      <c r="B24" s="710" t="s">
        <v>80</v>
      </c>
      <c r="C24" s="713" t="s">
        <v>81</v>
      </c>
      <c r="D24" s="664">
        <f>ROUND(VLOOKUP(B24,'BPHAN CHIA '!$B$100:$T$110,19,0),2)</f>
        <v>3.62</v>
      </c>
      <c r="E24" s="664">
        <f t="shared" si="4"/>
        <v>2.61</v>
      </c>
      <c r="F24" s="666">
        <f>ROUND(VLOOKUP(B24,'BPHAN CHIA '!$B$179:$T$200,19,0),2)</f>
        <v>11.95</v>
      </c>
      <c r="G24" s="666">
        <f t="shared" si="3"/>
        <v>13.09</v>
      </c>
      <c r="H24" s="435"/>
      <c r="I24" s="435"/>
      <c r="J24" s="666"/>
      <c r="K24" s="666"/>
      <c r="L24" s="666"/>
      <c r="M24" s="666"/>
      <c r="N24" s="666"/>
      <c r="O24" s="666"/>
      <c r="P24" s="438"/>
      <c r="Q24" s="438"/>
      <c r="R24" s="452"/>
      <c r="S24" s="452"/>
      <c r="T24" s="452"/>
      <c r="U24" s="452"/>
      <c r="V24" s="452"/>
      <c r="W24" s="438"/>
      <c r="X24" s="452"/>
      <c r="Y24" s="452"/>
      <c r="Z24" s="435">
        <f t="shared" si="0"/>
        <v>15.7</v>
      </c>
      <c r="AA24" s="454"/>
      <c r="AB24" s="629"/>
      <c r="AD24" s="662"/>
    </row>
    <row r="25" spans="1:30" s="244" customFormat="1" ht="27.95" customHeight="1">
      <c r="A25" s="669">
        <f t="shared" si="1"/>
        <v>13</v>
      </c>
      <c r="B25" s="710" t="s">
        <v>82</v>
      </c>
      <c r="C25" s="713" t="s">
        <v>83</v>
      </c>
      <c r="D25" s="664"/>
      <c r="E25" s="666"/>
      <c r="F25" s="666">
        <f>ROUND(VLOOKUP(B25,'BPHAN CHIA '!$B$179:$T$200,19,0),2)</f>
        <v>11.95</v>
      </c>
      <c r="G25" s="666">
        <f t="shared" si="3"/>
        <v>13.09</v>
      </c>
      <c r="H25" s="435"/>
      <c r="I25" s="435"/>
      <c r="J25" s="666"/>
      <c r="K25" s="666"/>
      <c r="L25" s="666"/>
      <c r="M25" s="666"/>
      <c r="N25" s="666"/>
      <c r="O25" s="666"/>
      <c r="P25" s="438"/>
      <c r="Q25" s="438"/>
      <c r="R25" s="452"/>
      <c r="S25" s="452"/>
      <c r="T25" s="452"/>
      <c r="U25" s="452"/>
      <c r="V25" s="452"/>
      <c r="W25" s="438"/>
      <c r="X25" s="452"/>
      <c r="Y25" s="452"/>
      <c r="Z25" s="435">
        <f t="shared" si="0"/>
        <v>13.09</v>
      </c>
      <c r="AA25" s="454"/>
      <c r="AB25" s="629"/>
      <c r="AD25" s="662"/>
    </row>
    <row r="26" spans="1:30" s="244" customFormat="1" ht="27.95" customHeight="1">
      <c r="A26" s="669">
        <f t="shared" si="1"/>
        <v>14</v>
      </c>
      <c r="B26" s="714" t="s">
        <v>84</v>
      </c>
      <c r="C26" s="715" t="s">
        <v>85</v>
      </c>
      <c r="D26" s="664"/>
      <c r="E26" s="668"/>
      <c r="F26" s="666">
        <f>ROUND(VLOOKUP(B26,'BPHAN CHIA '!$B$179:$T$200,19,0),2)</f>
        <v>8.99</v>
      </c>
      <c r="G26" s="666">
        <f t="shared" si="3"/>
        <v>9.85</v>
      </c>
      <c r="H26" s="435"/>
      <c r="I26" s="435"/>
      <c r="J26" s="666"/>
      <c r="K26" s="666"/>
      <c r="L26" s="666"/>
      <c r="M26" s="666"/>
      <c r="N26" s="666"/>
      <c r="O26" s="666"/>
      <c r="P26" s="438"/>
      <c r="Q26" s="438"/>
      <c r="R26" s="452"/>
      <c r="S26" s="452"/>
      <c r="T26" s="452"/>
      <c r="U26" s="452"/>
      <c r="V26" s="452"/>
      <c r="W26" s="438"/>
      <c r="X26" s="452"/>
      <c r="Y26" s="452"/>
      <c r="Z26" s="435">
        <f t="shared" si="0"/>
        <v>9.85</v>
      </c>
      <c r="AA26" s="454"/>
      <c r="AB26" s="629"/>
      <c r="AD26" s="662"/>
    </row>
    <row r="27" spans="1:30" s="244" customFormat="1" ht="27.95" customHeight="1">
      <c r="A27" s="669">
        <f t="shared" si="1"/>
        <v>15</v>
      </c>
      <c r="B27" s="716" t="s">
        <v>86</v>
      </c>
      <c r="C27" s="717" t="s">
        <v>87</v>
      </c>
      <c r="D27" s="664"/>
      <c r="E27" s="666"/>
      <c r="F27" s="666">
        <f>ROUND(VLOOKUP(B27,'BPHAN CHIA '!$B$179:$T$200,19,0),2)</f>
        <v>10.35</v>
      </c>
      <c r="G27" s="666">
        <f t="shared" si="3"/>
        <v>11.34</v>
      </c>
      <c r="H27" s="435"/>
      <c r="I27" s="435"/>
      <c r="J27" s="666"/>
      <c r="K27" s="666"/>
      <c r="L27" s="666"/>
      <c r="M27" s="666"/>
      <c r="N27" s="666"/>
      <c r="O27" s="666"/>
      <c r="P27" s="438"/>
      <c r="Q27" s="438"/>
      <c r="R27" s="452"/>
      <c r="S27" s="452"/>
      <c r="T27" s="452"/>
      <c r="U27" s="452"/>
      <c r="V27" s="452"/>
      <c r="W27" s="438"/>
      <c r="X27" s="445"/>
      <c r="Y27" s="445"/>
      <c r="Z27" s="435">
        <f t="shared" si="0"/>
        <v>11.34</v>
      </c>
      <c r="AA27" s="454"/>
      <c r="AB27" s="629"/>
      <c r="AD27" s="662"/>
    </row>
    <row r="28" spans="1:30" s="244" customFormat="1" ht="27.95" customHeight="1">
      <c r="A28" s="669">
        <f t="shared" si="1"/>
        <v>16</v>
      </c>
      <c r="B28" s="716" t="s">
        <v>88</v>
      </c>
      <c r="C28" s="717" t="s">
        <v>89</v>
      </c>
      <c r="D28" s="664">
        <f>ROUND(VLOOKUP(B28,'BPHAN CHIA '!$B$100:$T$110,19,0),2)</f>
        <v>12.55</v>
      </c>
      <c r="E28" s="664">
        <f t="shared" ref="E28" si="5">ROUND(0.7199*D28,2)</f>
        <v>9.0299999999999994</v>
      </c>
      <c r="F28" s="666">
        <f>ROUND(VLOOKUP(B28,'BPHAN CHIA '!$B$179:$T$200,19,0),2)</f>
        <v>10.58</v>
      </c>
      <c r="G28" s="666">
        <f t="shared" si="3"/>
        <v>11.59</v>
      </c>
      <c r="H28" s="435"/>
      <c r="I28" s="435"/>
      <c r="J28" s="666"/>
      <c r="K28" s="666"/>
      <c r="L28" s="666"/>
      <c r="M28" s="666"/>
      <c r="N28" s="666"/>
      <c r="O28" s="666"/>
      <c r="P28" s="438"/>
      <c r="Q28" s="438"/>
      <c r="R28" s="452"/>
      <c r="S28" s="452"/>
      <c r="T28" s="452"/>
      <c r="U28" s="452"/>
      <c r="V28" s="452"/>
      <c r="W28" s="438"/>
      <c r="X28" s="452"/>
      <c r="Y28" s="452"/>
      <c r="Z28" s="435">
        <f t="shared" si="0"/>
        <v>20.619999999999997</v>
      </c>
      <c r="AA28" s="454"/>
      <c r="AB28" s="629"/>
      <c r="AD28" s="662"/>
    </row>
    <row r="29" spans="1:30" s="368" customFormat="1" ht="27.95" customHeight="1">
      <c r="A29" s="669">
        <f t="shared" si="1"/>
        <v>17</v>
      </c>
      <c r="B29" s="592" t="s">
        <v>90</v>
      </c>
      <c r="C29" s="591" t="s">
        <v>91</v>
      </c>
      <c r="D29" s="664"/>
      <c r="E29" s="668"/>
      <c r="F29" s="666">
        <f>ROUND(VLOOKUP(B29,'BPHAN CHIA '!$B$179:$T$200,19,0),2)</f>
        <v>6.65</v>
      </c>
      <c r="G29" s="666">
        <f t="shared" si="3"/>
        <v>7.29</v>
      </c>
      <c r="H29" s="435"/>
      <c r="I29" s="435"/>
      <c r="J29" s="666"/>
      <c r="K29" s="666"/>
      <c r="L29" s="666"/>
      <c r="M29" s="666"/>
      <c r="N29" s="666"/>
      <c r="O29" s="666"/>
      <c r="P29" s="438"/>
      <c r="Q29" s="438"/>
      <c r="R29" s="452"/>
      <c r="S29" s="452"/>
      <c r="T29" s="452"/>
      <c r="U29" s="452"/>
      <c r="V29" s="452"/>
      <c r="W29" s="438"/>
      <c r="X29" s="452"/>
      <c r="Y29" s="452"/>
      <c r="Z29" s="435">
        <f t="shared" si="0"/>
        <v>7.29</v>
      </c>
      <c r="AA29" s="454"/>
      <c r="AB29" s="446"/>
      <c r="AD29" s="667"/>
    </row>
    <row r="30" spans="1:30" s="244" customFormat="1" ht="27.95" customHeight="1">
      <c r="A30" s="665">
        <f t="shared" si="1"/>
        <v>18</v>
      </c>
      <c r="B30" s="718" t="s">
        <v>92</v>
      </c>
      <c r="C30" s="719" t="s">
        <v>93</v>
      </c>
      <c r="D30" s="664"/>
      <c r="E30" s="663"/>
      <c r="F30" s="666">
        <f>ROUND(VLOOKUP(B30,'BPHAN CHIA '!$B$179:$T$200,19,0),2)</f>
        <v>11.95</v>
      </c>
      <c r="G30" s="666">
        <f t="shared" si="3"/>
        <v>13.09</v>
      </c>
      <c r="H30" s="435"/>
      <c r="I30" s="435"/>
      <c r="J30" s="663"/>
      <c r="K30" s="663"/>
      <c r="L30" s="663"/>
      <c r="M30" s="663"/>
      <c r="N30" s="663"/>
      <c r="O30" s="663"/>
      <c r="P30" s="440"/>
      <c r="Q30" s="440"/>
      <c r="R30" s="439"/>
      <c r="S30" s="439"/>
      <c r="T30" s="439"/>
      <c r="U30" s="439"/>
      <c r="V30" s="452"/>
      <c r="W30" s="438"/>
      <c r="X30" s="445"/>
      <c r="Y30" s="445"/>
      <c r="Z30" s="435">
        <f t="shared" si="0"/>
        <v>13.09</v>
      </c>
      <c r="AA30" s="436"/>
      <c r="AB30" s="629"/>
      <c r="AD30" s="662"/>
    </row>
    <row r="31" spans="1:30" s="244" customFormat="1" ht="27.95" customHeight="1">
      <c r="A31" s="665">
        <f t="shared" si="1"/>
        <v>19</v>
      </c>
      <c r="B31" s="718" t="s">
        <v>94</v>
      </c>
      <c r="C31" s="720" t="s">
        <v>95</v>
      </c>
      <c r="D31" s="664">
        <f>ROUND(VLOOKUP(B31,'BPHAN CHIA '!$B$100:$T$110,19,0),2)</f>
        <v>12.55</v>
      </c>
      <c r="E31" s="664">
        <f t="shared" ref="E31:E33" si="6">ROUND(0.7199*D31,2)</f>
        <v>9.0299999999999994</v>
      </c>
      <c r="F31" s="666">
        <f>ROUND(VLOOKUP(B31,'BPHAN CHIA '!$B$179:$T$200,19,0),2)</f>
        <v>10.01</v>
      </c>
      <c r="G31" s="666">
        <f t="shared" si="3"/>
        <v>10.97</v>
      </c>
      <c r="H31" s="435"/>
      <c r="I31" s="435"/>
      <c r="J31" s="663"/>
      <c r="K31" s="663"/>
      <c r="L31" s="663"/>
      <c r="M31" s="663"/>
      <c r="N31" s="663"/>
      <c r="O31" s="663"/>
      <c r="P31" s="440"/>
      <c r="Q31" s="440"/>
      <c r="R31" s="439"/>
      <c r="S31" s="439"/>
      <c r="T31" s="452">
        <f>'BCC D1(26)'!V95</f>
        <v>4</v>
      </c>
      <c r="U31" s="440">
        <f>ROUND(T31*0.9391,2)</f>
        <v>3.76</v>
      </c>
      <c r="V31" s="452"/>
      <c r="W31" s="438"/>
      <c r="X31" s="452"/>
      <c r="Y31" s="452"/>
      <c r="Z31" s="435">
        <f t="shared" si="0"/>
        <v>23.759999999999998</v>
      </c>
      <c r="AA31" s="436"/>
      <c r="AB31" s="629"/>
      <c r="AD31" s="662"/>
    </row>
    <row r="32" spans="1:30" s="244" customFormat="1" ht="27.95" customHeight="1">
      <c r="A32" s="665">
        <f t="shared" si="1"/>
        <v>20</v>
      </c>
      <c r="B32" s="718" t="s">
        <v>96</v>
      </c>
      <c r="C32" s="720" t="s">
        <v>97</v>
      </c>
      <c r="D32" s="664">
        <f>ROUND(VLOOKUP(B32,'BPHAN CHIA '!$B$100:$T$110,19,0),2)</f>
        <v>12.55</v>
      </c>
      <c r="E32" s="664">
        <f t="shared" si="6"/>
        <v>9.0299999999999994</v>
      </c>
      <c r="F32" s="666">
        <f>ROUND(VLOOKUP(B32,'BPHAN CHIA '!$B$179:$T$200,19,0),2)</f>
        <v>8.39</v>
      </c>
      <c r="G32" s="666">
        <f t="shared" si="3"/>
        <v>9.19</v>
      </c>
      <c r="H32" s="435"/>
      <c r="I32" s="435"/>
      <c r="J32" s="663"/>
      <c r="K32" s="663"/>
      <c r="L32" s="663"/>
      <c r="M32" s="663"/>
      <c r="N32" s="663"/>
      <c r="O32" s="663"/>
      <c r="P32" s="440"/>
      <c r="Q32" s="440"/>
      <c r="R32" s="439"/>
      <c r="S32" s="439"/>
      <c r="T32" s="439"/>
      <c r="U32" s="439"/>
      <c r="V32" s="452"/>
      <c r="W32" s="438"/>
      <c r="X32" s="445"/>
      <c r="Y32" s="445"/>
      <c r="Z32" s="435">
        <f t="shared" si="0"/>
        <v>18.22</v>
      </c>
      <c r="AA32" s="436"/>
      <c r="AB32" s="629"/>
      <c r="AD32" s="662"/>
    </row>
    <row r="33" spans="1:30" s="244" customFormat="1" ht="27.95" customHeight="1">
      <c r="A33" s="665">
        <f t="shared" si="1"/>
        <v>21</v>
      </c>
      <c r="B33" s="718" t="s">
        <v>98</v>
      </c>
      <c r="C33" s="594" t="s">
        <v>99</v>
      </c>
      <c r="D33" s="664">
        <f>ROUND(VLOOKUP(B33,'BPHAN CHIA '!$B$100:$T$110,19,0),2)</f>
        <v>6.33</v>
      </c>
      <c r="E33" s="664">
        <f t="shared" si="6"/>
        <v>4.5599999999999996</v>
      </c>
      <c r="F33" s="666">
        <f>ROUND(VLOOKUP(B33,'BPHAN CHIA '!$B$179:$T$200,19,0),2)</f>
        <v>9.9600000000000009</v>
      </c>
      <c r="G33" s="666">
        <f t="shared" si="3"/>
        <v>10.91</v>
      </c>
      <c r="H33" s="435"/>
      <c r="I33" s="435"/>
      <c r="J33" s="663"/>
      <c r="K33" s="663"/>
      <c r="L33" s="663"/>
      <c r="M33" s="663"/>
      <c r="N33" s="663"/>
      <c r="O33" s="663"/>
      <c r="P33" s="440"/>
      <c r="Q33" s="440"/>
      <c r="R33" s="439"/>
      <c r="S33" s="439"/>
      <c r="T33" s="452"/>
      <c r="U33" s="440">
        <f>ROUND(T33*0.9391,2)</f>
        <v>0</v>
      </c>
      <c r="V33" s="452"/>
      <c r="W33" s="438"/>
      <c r="X33" s="452"/>
      <c r="Y33" s="452"/>
      <c r="Z33" s="435">
        <f t="shared" si="0"/>
        <v>15.469999999999999</v>
      </c>
      <c r="AA33" s="436"/>
      <c r="AB33" s="629"/>
      <c r="AD33" s="662"/>
    </row>
    <row r="34" spans="1:30" s="244" customFormat="1" ht="27.95" customHeight="1">
      <c r="A34" s="665">
        <f t="shared" si="1"/>
        <v>22</v>
      </c>
      <c r="B34" s="718" t="s">
        <v>100</v>
      </c>
      <c r="C34" s="594" t="s">
        <v>101</v>
      </c>
      <c r="D34" s="664"/>
      <c r="E34" s="663"/>
      <c r="F34" s="666">
        <f>ROUND(VLOOKUP(B34,'BPHAN CHIA '!$B$179:$T$200,19,0),2)</f>
        <v>11.95</v>
      </c>
      <c r="G34" s="666">
        <f t="shared" si="3"/>
        <v>13.09</v>
      </c>
      <c r="H34" s="435"/>
      <c r="I34" s="435"/>
      <c r="J34" s="663"/>
      <c r="K34" s="663"/>
      <c r="L34" s="663"/>
      <c r="M34" s="663"/>
      <c r="N34" s="663"/>
      <c r="O34" s="663"/>
      <c r="P34" s="440"/>
      <c r="Q34" s="440"/>
      <c r="R34" s="439"/>
      <c r="S34" s="439"/>
      <c r="T34" s="439"/>
      <c r="U34" s="439"/>
      <c r="V34" s="452"/>
      <c r="W34" s="438"/>
      <c r="X34" s="452"/>
      <c r="Y34" s="452"/>
      <c r="Z34" s="435">
        <f t="shared" si="0"/>
        <v>13.09</v>
      </c>
      <c r="AA34" s="436"/>
      <c r="AB34" s="629"/>
      <c r="AD34" s="662"/>
    </row>
    <row r="35" spans="1:30" s="244" customFormat="1" ht="27.95" customHeight="1">
      <c r="A35" s="665">
        <f t="shared" si="1"/>
        <v>23</v>
      </c>
      <c r="B35" s="718" t="s">
        <v>102</v>
      </c>
      <c r="C35" s="594" t="s">
        <v>103</v>
      </c>
      <c r="D35" s="664"/>
      <c r="E35" s="664"/>
      <c r="F35" s="666">
        <f>ROUND(VLOOKUP(B35,'BPHAN CHIA '!$B$179:$T$200,19,0),2)</f>
        <v>11.95</v>
      </c>
      <c r="G35" s="666">
        <f t="shared" si="3"/>
        <v>13.09</v>
      </c>
      <c r="H35" s="435"/>
      <c r="I35" s="435"/>
      <c r="J35" s="663"/>
      <c r="K35" s="663"/>
      <c r="L35" s="663"/>
      <c r="M35" s="663"/>
      <c r="N35" s="663"/>
      <c r="O35" s="663"/>
      <c r="P35" s="440"/>
      <c r="Q35" s="440"/>
      <c r="R35" s="439"/>
      <c r="S35" s="439"/>
      <c r="T35" s="439"/>
      <c r="U35" s="439"/>
      <c r="V35" s="452"/>
      <c r="W35" s="438"/>
      <c r="X35" s="445"/>
      <c r="Y35" s="445"/>
      <c r="Z35" s="435">
        <f t="shared" si="0"/>
        <v>13.09</v>
      </c>
      <c r="AA35" s="436"/>
      <c r="AB35" s="629"/>
      <c r="AD35" s="662"/>
    </row>
    <row r="36" spans="1:30" s="244" customFormat="1" ht="27.95" customHeight="1">
      <c r="A36" s="665">
        <f t="shared" si="1"/>
        <v>24</v>
      </c>
      <c r="B36" s="718" t="s">
        <v>104</v>
      </c>
      <c r="C36" s="721" t="s">
        <v>105</v>
      </c>
      <c r="D36" s="664"/>
      <c r="E36" s="664"/>
      <c r="F36" s="666">
        <f>ROUND(VLOOKUP(B36,'BPHAN CHIA '!$B$179:$T$200,19,0),2)</f>
        <v>11.95</v>
      </c>
      <c r="G36" s="666">
        <f t="shared" si="3"/>
        <v>13.09</v>
      </c>
      <c r="H36" s="435"/>
      <c r="I36" s="435"/>
      <c r="J36" s="663"/>
      <c r="K36" s="663"/>
      <c r="L36" s="663"/>
      <c r="M36" s="663"/>
      <c r="N36" s="663"/>
      <c r="O36" s="663"/>
      <c r="P36" s="440"/>
      <c r="Q36" s="440"/>
      <c r="R36" s="439"/>
      <c r="S36" s="439"/>
      <c r="T36" s="439"/>
      <c r="U36" s="439"/>
      <c r="V36" s="452"/>
      <c r="W36" s="438"/>
      <c r="X36" s="445"/>
      <c r="Y36" s="445"/>
      <c r="Z36" s="435">
        <f t="shared" si="0"/>
        <v>13.09</v>
      </c>
      <c r="AA36" s="436"/>
      <c r="AB36" s="629"/>
      <c r="AD36" s="662"/>
    </row>
    <row r="37" spans="1:30" s="244" customFormat="1" ht="27.95" customHeight="1">
      <c r="A37" s="665">
        <f t="shared" si="1"/>
        <v>25</v>
      </c>
      <c r="B37" s="716" t="s">
        <v>219</v>
      </c>
      <c r="C37" s="721" t="s">
        <v>220</v>
      </c>
      <c r="D37" s="664"/>
      <c r="E37" s="663"/>
      <c r="F37" s="666">
        <f>ROUND(VLOOKUP(B37,'BPHAN CHIA '!$B$179:$T$200,19,0),2)</f>
        <v>11.95</v>
      </c>
      <c r="G37" s="666">
        <f t="shared" si="3"/>
        <v>13.09</v>
      </c>
      <c r="H37" s="435"/>
      <c r="I37" s="435"/>
      <c r="J37" s="663"/>
      <c r="K37" s="663"/>
      <c r="L37" s="663"/>
      <c r="M37" s="663"/>
      <c r="N37" s="663"/>
      <c r="O37" s="663"/>
      <c r="P37" s="440"/>
      <c r="Q37" s="440"/>
      <c r="R37" s="439"/>
      <c r="S37" s="439"/>
      <c r="T37" s="439"/>
      <c r="U37" s="439"/>
      <c r="V37" s="452"/>
      <c r="W37" s="438"/>
      <c r="X37" s="452"/>
      <c r="Y37" s="452"/>
      <c r="Z37" s="435">
        <f t="shared" si="0"/>
        <v>13.09</v>
      </c>
      <c r="AA37" s="436"/>
      <c r="AB37" s="629"/>
      <c r="AD37" s="662"/>
    </row>
    <row r="38" spans="1:30" s="244" customFormat="1" ht="27.95" customHeight="1">
      <c r="A38" s="665">
        <f t="shared" si="1"/>
        <v>26</v>
      </c>
      <c r="B38" s="722" t="s">
        <v>278</v>
      </c>
      <c r="C38" s="721" t="s">
        <v>279</v>
      </c>
      <c r="D38" s="664">
        <f>ROUND(VLOOKUP(B38,'BPHAN CHIA '!$B$100:$T$110,19,0),2)</f>
        <v>12.54</v>
      </c>
      <c r="E38" s="664">
        <f t="shared" ref="E38:E40" si="7">ROUND(0.7199*D38,2)</f>
        <v>9.0299999999999994</v>
      </c>
      <c r="F38" s="666">
        <f>ROUND(VLOOKUP(B38,'BPHAN CHIA '!$B$179:$T$200,19,0),2)</f>
        <v>5.22</v>
      </c>
      <c r="G38" s="666">
        <f t="shared" si="3"/>
        <v>5.72</v>
      </c>
      <c r="H38" s="435"/>
      <c r="I38" s="435"/>
      <c r="J38" s="663"/>
      <c r="K38" s="663"/>
      <c r="L38" s="663"/>
      <c r="M38" s="663"/>
      <c r="N38" s="663"/>
      <c r="O38" s="663"/>
      <c r="P38" s="440"/>
      <c r="Q38" s="440"/>
      <c r="R38" s="439"/>
      <c r="S38" s="439"/>
      <c r="T38" s="452">
        <f>'BCC D1(26)'!V96</f>
        <v>4</v>
      </c>
      <c r="U38" s="440">
        <f>ROUND(T38*0.9391,2)</f>
        <v>3.76</v>
      </c>
      <c r="V38" s="452"/>
      <c r="W38" s="438"/>
      <c r="X38" s="452"/>
      <c r="Y38" s="452"/>
      <c r="Z38" s="435">
        <f t="shared" si="0"/>
        <v>18.509999999999998</v>
      </c>
      <c r="AA38" s="436"/>
      <c r="AB38" s="629"/>
      <c r="AD38" s="662"/>
    </row>
    <row r="39" spans="1:30" s="244" customFormat="1" ht="27.95" customHeight="1">
      <c r="A39" s="665">
        <f t="shared" si="1"/>
        <v>27</v>
      </c>
      <c r="B39" s="716" t="s">
        <v>280</v>
      </c>
      <c r="C39" s="721" t="s">
        <v>281</v>
      </c>
      <c r="D39" s="664">
        <f>ROUND(VLOOKUP(B39,'BPHAN CHIA '!$B$100:$T$110,19,0),2)</f>
        <v>1.63</v>
      </c>
      <c r="E39" s="664">
        <f t="shared" si="7"/>
        <v>1.17</v>
      </c>
      <c r="F39" s="666">
        <f>ROUND(VLOOKUP(B39,'BPHAN CHIA '!$B$179:$T$200,19,0),2)</f>
        <v>8.5299999999999994</v>
      </c>
      <c r="G39" s="666">
        <f t="shared" si="3"/>
        <v>9.35</v>
      </c>
      <c r="H39" s="435"/>
      <c r="I39" s="435"/>
      <c r="J39" s="663"/>
      <c r="K39" s="663"/>
      <c r="L39" s="663"/>
      <c r="M39" s="663"/>
      <c r="N39" s="663"/>
      <c r="O39" s="663"/>
      <c r="P39" s="440"/>
      <c r="Q39" s="440"/>
      <c r="R39" s="439"/>
      <c r="S39" s="439"/>
      <c r="T39" s="439"/>
      <c r="U39" s="439"/>
      <c r="V39" s="452"/>
      <c r="W39" s="438"/>
      <c r="X39" s="445"/>
      <c r="Y39" s="445"/>
      <c r="Z39" s="435">
        <f t="shared" si="0"/>
        <v>10.52</v>
      </c>
      <c r="AA39" s="436"/>
      <c r="AB39" s="629"/>
      <c r="AD39" s="662"/>
    </row>
    <row r="40" spans="1:30" s="244" customFormat="1" ht="27.95" customHeight="1">
      <c r="A40" s="665">
        <f t="shared" si="1"/>
        <v>28</v>
      </c>
      <c r="B40" s="589" t="s">
        <v>135</v>
      </c>
      <c r="C40" s="590" t="s">
        <v>136</v>
      </c>
      <c r="D40" s="664">
        <f>ROUND(VLOOKUP(B40,'BPHAN CHIA '!$B$100:$T$110,19,0),2)</f>
        <v>5.67</v>
      </c>
      <c r="E40" s="664">
        <f t="shared" si="7"/>
        <v>4.08</v>
      </c>
      <c r="F40" s="666">
        <f>ROUND(VLOOKUP(B40,'BPHAN CHIA '!$B$179:$T$200,19,0),2)</f>
        <v>11.95</v>
      </c>
      <c r="G40" s="666">
        <f t="shared" si="3"/>
        <v>13.09</v>
      </c>
      <c r="H40" s="435"/>
      <c r="I40" s="435"/>
      <c r="J40" s="663"/>
      <c r="K40" s="663"/>
      <c r="L40" s="663"/>
      <c r="M40" s="663"/>
      <c r="N40" s="663"/>
      <c r="O40" s="663"/>
      <c r="P40" s="440"/>
      <c r="Q40" s="440"/>
      <c r="R40" s="439"/>
      <c r="S40" s="439"/>
      <c r="T40" s="439"/>
      <c r="U40" s="439"/>
      <c r="V40" s="452"/>
      <c r="W40" s="438"/>
      <c r="X40" s="445"/>
      <c r="Y40" s="445"/>
      <c r="Z40" s="435">
        <f t="shared" si="0"/>
        <v>17.170000000000002</v>
      </c>
      <c r="AA40" s="436"/>
      <c r="AB40" s="629"/>
      <c r="AD40" s="662"/>
    </row>
    <row r="41" spans="1:30" s="244" customFormat="1" ht="27" customHeight="1">
      <c r="A41" s="665">
        <f t="shared" si="1"/>
        <v>29</v>
      </c>
      <c r="B41" s="253" t="s">
        <v>106</v>
      </c>
      <c r="C41" s="610" t="s">
        <v>107</v>
      </c>
      <c r="D41" s="664">
        <f>ROUND(VLOOKUP(B41,'BPHAN CHIA '!$B$11:$T$19,19,0)*1.1,2)</f>
        <v>52.34</v>
      </c>
      <c r="E41" s="664">
        <f t="shared" ref="E41:E49" si="8">ROUND(0.7199*D41,2)</f>
        <v>37.68</v>
      </c>
      <c r="F41" s="663"/>
      <c r="G41" s="663"/>
      <c r="H41" s="435"/>
      <c r="I41" s="435"/>
      <c r="J41" s="663"/>
      <c r="K41" s="663"/>
      <c r="L41" s="663"/>
      <c r="M41" s="663"/>
      <c r="N41" s="663"/>
      <c r="O41" s="663"/>
      <c r="P41" s="440"/>
      <c r="Q41" s="440"/>
      <c r="R41" s="439"/>
      <c r="S41" s="439"/>
      <c r="T41" s="439"/>
      <c r="U41" s="439"/>
      <c r="V41" s="452"/>
      <c r="W41" s="438"/>
      <c r="X41" s="452"/>
      <c r="Y41" s="452"/>
      <c r="Z41" s="435">
        <f t="shared" si="0"/>
        <v>37.68</v>
      </c>
      <c r="AA41" s="436"/>
      <c r="AB41" s="629"/>
      <c r="AD41" s="662"/>
    </row>
    <row r="42" spans="1:30" s="244" customFormat="1" ht="27" customHeight="1">
      <c r="A42" s="665">
        <f t="shared" si="1"/>
        <v>30</v>
      </c>
      <c r="B42" s="253" t="s">
        <v>108</v>
      </c>
      <c r="C42" s="612" t="s">
        <v>109</v>
      </c>
      <c r="D42" s="664">
        <f>ROUND(VLOOKUP(B42,'BPHAN CHIA '!$B$11:$T$19,19,0),2)</f>
        <v>47.58</v>
      </c>
      <c r="E42" s="664">
        <f t="shared" si="8"/>
        <v>34.25</v>
      </c>
      <c r="F42" s="663"/>
      <c r="G42" s="663"/>
      <c r="H42" s="435"/>
      <c r="I42" s="435"/>
      <c r="J42" s="663"/>
      <c r="K42" s="663"/>
      <c r="L42" s="663"/>
      <c r="M42" s="663"/>
      <c r="N42" s="663"/>
      <c r="O42" s="663"/>
      <c r="P42" s="440"/>
      <c r="Q42" s="440"/>
      <c r="R42" s="439"/>
      <c r="S42" s="439"/>
      <c r="T42" s="439"/>
      <c r="U42" s="439"/>
      <c r="V42" s="452"/>
      <c r="W42" s="438"/>
      <c r="X42" s="452"/>
      <c r="Y42" s="452"/>
      <c r="Z42" s="435">
        <f t="shared" si="0"/>
        <v>34.25</v>
      </c>
      <c r="AA42" s="436"/>
      <c r="AB42" s="629"/>
      <c r="AD42" s="662"/>
    </row>
    <row r="43" spans="1:30" s="244" customFormat="1" ht="27" customHeight="1">
      <c r="A43" s="665">
        <f t="shared" si="1"/>
        <v>31</v>
      </c>
      <c r="B43" s="710" t="s">
        <v>110</v>
      </c>
      <c r="C43" s="713" t="s">
        <v>111</v>
      </c>
      <c r="D43" s="664">
        <f>ROUND(VLOOKUP(B43,'BPHAN CHIA '!$B$11:$T$19,19,0),2)</f>
        <v>47.58</v>
      </c>
      <c r="E43" s="664">
        <f t="shared" si="8"/>
        <v>34.25</v>
      </c>
      <c r="F43" s="663"/>
      <c r="G43" s="663"/>
      <c r="H43" s="435"/>
      <c r="I43" s="435"/>
      <c r="J43" s="663"/>
      <c r="K43" s="663"/>
      <c r="L43" s="663"/>
      <c r="M43" s="663"/>
      <c r="N43" s="663"/>
      <c r="O43" s="663"/>
      <c r="P43" s="440"/>
      <c r="Q43" s="440"/>
      <c r="R43" s="439"/>
      <c r="S43" s="439"/>
      <c r="T43" s="439"/>
      <c r="U43" s="439"/>
      <c r="V43" s="452"/>
      <c r="W43" s="438"/>
      <c r="X43" s="452"/>
      <c r="Y43" s="452"/>
      <c r="Z43" s="435">
        <f t="shared" si="0"/>
        <v>34.25</v>
      </c>
      <c r="AA43" s="436"/>
      <c r="AB43" s="629"/>
      <c r="AD43" s="662"/>
    </row>
    <row r="44" spans="1:30" s="244" customFormat="1" ht="27" customHeight="1">
      <c r="A44" s="665">
        <f t="shared" si="1"/>
        <v>32</v>
      </c>
      <c r="B44" s="253" t="s">
        <v>112</v>
      </c>
      <c r="C44" s="610" t="s">
        <v>113</v>
      </c>
      <c r="D44" s="664">
        <f>ROUND(VLOOKUP(B44,'BPHAN CHIA '!$B$11:$T$19,19,0),2)</f>
        <v>47.58</v>
      </c>
      <c r="E44" s="664">
        <f t="shared" si="8"/>
        <v>34.25</v>
      </c>
      <c r="F44" s="663"/>
      <c r="G44" s="663"/>
      <c r="H44" s="435"/>
      <c r="I44" s="435"/>
      <c r="J44" s="663"/>
      <c r="K44" s="663"/>
      <c r="L44" s="663"/>
      <c r="M44" s="663"/>
      <c r="N44" s="663"/>
      <c r="O44" s="663"/>
      <c r="P44" s="440"/>
      <c r="Q44" s="440"/>
      <c r="R44" s="439"/>
      <c r="S44" s="439"/>
      <c r="T44" s="439"/>
      <c r="U44" s="439"/>
      <c r="V44" s="452"/>
      <c r="W44" s="438"/>
      <c r="X44" s="452"/>
      <c r="Y44" s="452"/>
      <c r="Z44" s="435">
        <f t="shared" si="0"/>
        <v>34.25</v>
      </c>
      <c r="AA44" s="436"/>
      <c r="AB44" s="629"/>
      <c r="AD44" s="662"/>
    </row>
    <row r="45" spans="1:30" s="244" customFormat="1" ht="27" customHeight="1">
      <c r="A45" s="665">
        <f t="shared" si="1"/>
        <v>33</v>
      </c>
      <c r="B45" s="253" t="s">
        <v>114</v>
      </c>
      <c r="C45" s="614" t="s">
        <v>115</v>
      </c>
      <c r="D45" s="664">
        <f>ROUND(VLOOKUP(B45,'BPHAN CHIA '!$B$11:$T$19,19,0),2)</f>
        <v>47.58</v>
      </c>
      <c r="E45" s="664">
        <f t="shared" si="8"/>
        <v>34.25</v>
      </c>
      <c r="F45" s="663"/>
      <c r="G45" s="663"/>
      <c r="H45" s="435"/>
      <c r="I45" s="435"/>
      <c r="J45" s="663"/>
      <c r="K45" s="663"/>
      <c r="L45" s="663"/>
      <c r="M45" s="663"/>
      <c r="N45" s="663"/>
      <c r="O45" s="663"/>
      <c r="P45" s="440"/>
      <c r="Q45" s="440"/>
      <c r="R45" s="439"/>
      <c r="S45" s="439"/>
      <c r="T45" s="439"/>
      <c r="U45" s="439"/>
      <c r="V45" s="452"/>
      <c r="W45" s="438"/>
      <c r="X45" s="452"/>
      <c r="Y45" s="452"/>
      <c r="Z45" s="435">
        <f t="shared" ref="Z45:Z76" si="9">SUM(G45,E45,S45,Q45,O45,M45,K45,I45,U45,W45,Y45)</f>
        <v>34.25</v>
      </c>
      <c r="AA45" s="436"/>
      <c r="AB45" s="629"/>
      <c r="AD45" s="662"/>
    </row>
    <row r="46" spans="1:30" s="244" customFormat="1" ht="27" customHeight="1">
      <c r="A46" s="665">
        <f t="shared" ref="A46:A77" si="10">+A45+1</f>
        <v>34</v>
      </c>
      <c r="B46" s="253" t="s">
        <v>116</v>
      </c>
      <c r="C46" s="615" t="s">
        <v>117</v>
      </c>
      <c r="D46" s="664">
        <f>ROUND(VLOOKUP(B46,'BPHAN CHIA '!$B$11:$T$19,19,0),2)</f>
        <v>43.55</v>
      </c>
      <c r="E46" s="664">
        <f t="shared" si="8"/>
        <v>31.35</v>
      </c>
      <c r="F46" s="663"/>
      <c r="G46" s="663"/>
      <c r="H46" s="435"/>
      <c r="I46" s="435"/>
      <c r="J46" s="663"/>
      <c r="K46" s="663"/>
      <c r="L46" s="663"/>
      <c r="M46" s="663"/>
      <c r="N46" s="663"/>
      <c r="O46" s="663"/>
      <c r="P46" s="440"/>
      <c r="Q46" s="440"/>
      <c r="R46" s="439"/>
      <c r="S46" s="439"/>
      <c r="T46" s="439"/>
      <c r="U46" s="439"/>
      <c r="V46" s="452"/>
      <c r="W46" s="438"/>
      <c r="X46" s="452"/>
      <c r="Y46" s="452"/>
      <c r="Z46" s="435">
        <f t="shared" si="9"/>
        <v>31.35</v>
      </c>
      <c r="AA46" s="436"/>
      <c r="AB46" s="629"/>
      <c r="AD46" s="662"/>
    </row>
    <row r="47" spans="1:30" s="244" customFormat="1" ht="27" customHeight="1">
      <c r="A47" s="665">
        <f t="shared" si="10"/>
        <v>35</v>
      </c>
      <c r="B47" s="253" t="s">
        <v>118</v>
      </c>
      <c r="C47" s="615" t="s">
        <v>119</v>
      </c>
      <c r="D47" s="664">
        <f>ROUND(VLOOKUP(B47,'BPHAN CHIA '!$B$11:$T$19,19,0),2)</f>
        <v>47.58</v>
      </c>
      <c r="E47" s="664">
        <f t="shared" si="8"/>
        <v>34.25</v>
      </c>
      <c r="F47" s="663"/>
      <c r="G47" s="663"/>
      <c r="H47" s="435"/>
      <c r="I47" s="435"/>
      <c r="J47" s="663"/>
      <c r="K47" s="663"/>
      <c r="L47" s="663"/>
      <c r="M47" s="663"/>
      <c r="N47" s="663"/>
      <c r="O47" s="663"/>
      <c r="P47" s="440"/>
      <c r="Q47" s="440"/>
      <c r="R47" s="439"/>
      <c r="S47" s="439"/>
      <c r="T47" s="439"/>
      <c r="U47" s="439"/>
      <c r="V47" s="452"/>
      <c r="W47" s="438"/>
      <c r="X47" s="452"/>
      <c r="Y47" s="452"/>
      <c r="Z47" s="435">
        <f t="shared" si="9"/>
        <v>34.25</v>
      </c>
      <c r="AA47" s="436"/>
      <c r="AB47" s="629"/>
      <c r="AD47" s="662"/>
    </row>
    <row r="48" spans="1:30" s="244" customFormat="1" ht="27" customHeight="1">
      <c r="A48" s="665">
        <f t="shared" si="10"/>
        <v>36</v>
      </c>
      <c r="B48" s="253" t="s">
        <v>120</v>
      </c>
      <c r="C48" s="615" t="s">
        <v>121</v>
      </c>
      <c r="D48" s="664">
        <f>ROUND(VLOOKUP(B48,'BPHAN CHIA '!$B$11:$T$19,19,0),2)</f>
        <v>47.58</v>
      </c>
      <c r="E48" s="664">
        <f t="shared" si="8"/>
        <v>34.25</v>
      </c>
      <c r="F48" s="663"/>
      <c r="G48" s="663"/>
      <c r="H48" s="435"/>
      <c r="I48" s="435"/>
      <c r="J48" s="663"/>
      <c r="K48" s="663"/>
      <c r="L48" s="663"/>
      <c r="M48" s="663"/>
      <c r="N48" s="663"/>
      <c r="O48" s="663"/>
      <c r="P48" s="440"/>
      <c r="Q48" s="440"/>
      <c r="R48" s="439"/>
      <c r="S48" s="439"/>
      <c r="T48" s="439"/>
      <c r="U48" s="439"/>
      <c r="V48" s="452"/>
      <c r="W48" s="438"/>
      <c r="X48" s="452"/>
      <c r="Y48" s="452"/>
      <c r="Z48" s="435">
        <f t="shared" si="9"/>
        <v>34.25</v>
      </c>
      <c r="AA48" s="436"/>
      <c r="AB48" s="629"/>
      <c r="AD48" s="662"/>
    </row>
    <row r="49" spans="1:30" s="244" customFormat="1" ht="27" customHeight="1">
      <c r="A49" s="665">
        <f t="shared" si="10"/>
        <v>37</v>
      </c>
      <c r="B49" s="253" t="s">
        <v>122</v>
      </c>
      <c r="C49" s="614" t="s">
        <v>123</v>
      </c>
      <c r="D49" s="664">
        <f>ROUND(VLOOKUP(B49,'BPHAN CHIA '!$B$11:$T$19,19,0),2)</f>
        <v>47.58</v>
      </c>
      <c r="E49" s="664">
        <f t="shared" si="8"/>
        <v>34.25</v>
      </c>
      <c r="F49" s="663"/>
      <c r="G49" s="663"/>
      <c r="H49" s="435"/>
      <c r="I49" s="435"/>
      <c r="J49" s="663"/>
      <c r="K49" s="663"/>
      <c r="L49" s="663"/>
      <c r="M49" s="663"/>
      <c r="N49" s="663"/>
      <c r="O49" s="663"/>
      <c r="P49" s="440"/>
      <c r="Q49" s="440"/>
      <c r="R49" s="439"/>
      <c r="S49" s="439"/>
      <c r="T49" s="439"/>
      <c r="U49" s="439"/>
      <c r="V49" s="452"/>
      <c r="W49" s="438"/>
      <c r="X49" s="452"/>
      <c r="Y49" s="452"/>
      <c r="Z49" s="435">
        <f t="shared" si="9"/>
        <v>34.25</v>
      </c>
      <c r="AA49" s="436"/>
      <c r="AB49" s="629"/>
      <c r="AD49" s="662"/>
    </row>
    <row r="50" spans="1:30" s="244" customFormat="1" ht="27" customHeight="1">
      <c r="A50" s="665">
        <f t="shared" si="10"/>
        <v>38</v>
      </c>
      <c r="B50" s="253" t="s">
        <v>338</v>
      </c>
      <c r="C50" s="614" t="s">
        <v>337</v>
      </c>
      <c r="D50" s="663"/>
      <c r="E50" s="663"/>
      <c r="F50" s="663"/>
      <c r="G50" s="663"/>
      <c r="H50" s="435"/>
      <c r="I50" s="435"/>
      <c r="J50" s="663">
        <f>'BCC D1(26)'!V53</f>
        <v>10</v>
      </c>
      <c r="K50" s="437">
        <f>ROUND(J50*1.014,2)</f>
        <v>10.14</v>
      </c>
      <c r="L50" s="663"/>
      <c r="M50" s="663"/>
      <c r="N50" s="663"/>
      <c r="O50" s="663"/>
      <c r="P50" s="440"/>
      <c r="Q50" s="440"/>
      <c r="R50" s="439">
        <f>'[4]BCC D1 (26)'!X93</f>
        <v>2</v>
      </c>
      <c r="S50" s="438">
        <f>ROUND(R50*0.9391,2)</f>
        <v>1.88</v>
      </c>
      <c r="T50" s="438"/>
      <c r="U50" s="438"/>
      <c r="V50" s="452"/>
      <c r="W50" s="438"/>
      <c r="X50" s="452"/>
      <c r="Y50" s="452"/>
      <c r="Z50" s="435">
        <f t="shared" si="9"/>
        <v>12.02</v>
      </c>
      <c r="AA50" s="436"/>
      <c r="AB50" s="629"/>
      <c r="AD50" s="662"/>
    </row>
    <row r="51" spans="1:30" s="244" customFormat="1" ht="27" customHeight="1">
      <c r="A51" s="665">
        <f t="shared" si="10"/>
        <v>39</v>
      </c>
      <c r="B51" s="253" t="s">
        <v>124</v>
      </c>
      <c r="C51" s="614" t="s">
        <v>125</v>
      </c>
      <c r="D51" s="663"/>
      <c r="E51" s="663"/>
      <c r="F51" s="663"/>
      <c r="G51" s="663"/>
      <c r="H51" s="435"/>
      <c r="I51" s="435"/>
      <c r="J51" s="663"/>
      <c r="K51" s="663"/>
      <c r="L51" s="663"/>
      <c r="M51" s="663"/>
      <c r="N51" s="439">
        <f>'BCC D1(26)'!V55</f>
        <v>13</v>
      </c>
      <c r="O51" s="437">
        <f>ROUND(N51*0.9776,2)</f>
        <v>12.71</v>
      </c>
      <c r="P51" s="440"/>
      <c r="Q51" s="440"/>
      <c r="R51" s="439"/>
      <c r="S51" s="439"/>
      <c r="T51" s="439"/>
      <c r="U51" s="439"/>
      <c r="V51" s="452"/>
      <c r="W51" s="438"/>
      <c r="X51" s="452"/>
      <c r="Y51" s="452"/>
      <c r="Z51" s="435">
        <f t="shared" si="9"/>
        <v>12.71</v>
      </c>
      <c r="AA51" s="436"/>
      <c r="AB51" s="629"/>
      <c r="AD51" s="662"/>
    </row>
    <row r="52" spans="1:30" s="244" customFormat="1" ht="27" customHeight="1">
      <c r="A52" s="665">
        <f t="shared" si="10"/>
        <v>40</v>
      </c>
      <c r="B52" s="253" t="s">
        <v>126</v>
      </c>
      <c r="C52" s="614" t="s">
        <v>127</v>
      </c>
      <c r="D52" s="663"/>
      <c r="E52" s="663"/>
      <c r="F52" s="663"/>
      <c r="G52" s="663"/>
      <c r="H52" s="435"/>
      <c r="I52" s="435"/>
      <c r="J52" s="663"/>
      <c r="K52" s="663"/>
      <c r="L52" s="438">
        <f>SUM('BCC D1(26)'!V56:V57)</f>
        <v>18.5</v>
      </c>
      <c r="M52" s="440">
        <f>ROUND(L52*1.4889,2)</f>
        <v>27.54</v>
      </c>
      <c r="N52" s="663"/>
      <c r="O52" s="663"/>
      <c r="P52" s="440"/>
      <c r="Q52" s="440"/>
      <c r="R52" s="439"/>
      <c r="S52" s="439"/>
      <c r="T52" s="439"/>
      <c r="U52" s="439"/>
      <c r="V52" s="452"/>
      <c r="W52" s="438"/>
      <c r="X52" s="452"/>
      <c r="Y52" s="452"/>
      <c r="Z52" s="435">
        <f t="shared" si="9"/>
        <v>27.54</v>
      </c>
      <c r="AA52" s="436"/>
      <c r="AB52" s="629"/>
      <c r="AD52" s="662"/>
    </row>
    <row r="53" spans="1:30" s="244" customFormat="1" ht="27" customHeight="1">
      <c r="A53" s="665">
        <f t="shared" si="10"/>
        <v>41</v>
      </c>
      <c r="B53" s="253" t="s">
        <v>128</v>
      </c>
      <c r="C53" s="614" t="s">
        <v>129</v>
      </c>
      <c r="D53" s="663"/>
      <c r="E53" s="663"/>
      <c r="F53" s="663"/>
      <c r="G53" s="663"/>
      <c r="H53" s="435"/>
      <c r="I53" s="435"/>
      <c r="J53" s="663"/>
      <c r="K53" s="663"/>
      <c r="L53" s="438">
        <f>SUM('BCC D1(26)'!V58:V59)</f>
        <v>14</v>
      </c>
      <c r="M53" s="440">
        <f t="shared" ref="M53" si="11">ROUND(L53*1.4779,2)</f>
        <v>20.69</v>
      </c>
      <c r="N53" s="663"/>
      <c r="O53" s="663"/>
      <c r="P53" s="440"/>
      <c r="Q53" s="440"/>
      <c r="R53" s="439"/>
      <c r="S53" s="439"/>
      <c r="T53" s="439"/>
      <c r="U53" s="439"/>
      <c r="V53" s="452"/>
      <c r="W53" s="438"/>
      <c r="X53" s="452"/>
      <c r="Y53" s="452"/>
      <c r="Z53" s="435">
        <f t="shared" si="9"/>
        <v>20.69</v>
      </c>
      <c r="AA53" s="436"/>
      <c r="AB53" s="629"/>
      <c r="AD53" s="662"/>
    </row>
    <row r="54" spans="1:30" s="244" customFormat="1" ht="27" customHeight="1">
      <c r="A54" s="665">
        <f t="shared" si="10"/>
        <v>42</v>
      </c>
      <c r="B54" s="253" t="s">
        <v>188</v>
      </c>
      <c r="C54" s="614" t="s">
        <v>130</v>
      </c>
      <c r="D54" s="663"/>
      <c r="E54" s="663"/>
      <c r="F54" s="663"/>
      <c r="G54" s="663"/>
      <c r="H54" s="435"/>
      <c r="I54" s="435"/>
      <c r="J54" s="663"/>
      <c r="K54" s="663"/>
      <c r="L54" s="663"/>
      <c r="M54" s="663"/>
      <c r="N54" s="663"/>
      <c r="O54" s="663"/>
      <c r="P54" s="438">
        <f>SUM('BCC D1(26)'!V60:V61)</f>
        <v>18.5</v>
      </c>
      <c r="Q54" s="440">
        <f>ROUND(P54*1.4608,2)+0.01</f>
        <v>27.03</v>
      </c>
      <c r="R54" s="439"/>
      <c r="S54" s="439"/>
      <c r="T54" s="439"/>
      <c r="U54" s="439"/>
      <c r="V54" s="452"/>
      <c r="W54" s="438"/>
      <c r="X54" s="452"/>
      <c r="Y54" s="452"/>
      <c r="Z54" s="435">
        <f t="shared" si="9"/>
        <v>27.03</v>
      </c>
      <c r="AA54" s="436"/>
      <c r="AB54" s="629"/>
      <c r="AD54" s="662"/>
    </row>
    <row r="55" spans="1:30" s="244" customFormat="1" ht="27" customHeight="1">
      <c r="A55" s="665">
        <f t="shared" si="10"/>
        <v>43</v>
      </c>
      <c r="B55" s="589" t="s">
        <v>131</v>
      </c>
      <c r="C55" s="723" t="s">
        <v>132</v>
      </c>
      <c r="D55" s="664">
        <f>ROUND(VLOOKUP(B55,'BPHAN CHIA '!$B$136:$T$148,19,0)*1.1,2)</f>
        <v>11.94</v>
      </c>
      <c r="E55" s="664">
        <f t="shared" ref="E55:E73" si="12">ROUND(0.7199*D55,2)</f>
        <v>8.6</v>
      </c>
      <c r="F55" s="666">
        <f>ROUND(1.15*VLOOKUP(B55,'BPHAN CHIA '!$B$222:$T$241,19,0),2)</f>
        <v>12.37</v>
      </c>
      <c r="G55" s="663">
        <f t="shared" ref="G55:G69" si="13">ROUND(F55*1.0956,2)</f>
        <v>13.55</v>
      </c>
      <c r="H55" s="435"/>
      <c r="I55" s="435"/>
      <c r="J55" s="663"/>
      <c r="K55" s="663"/>
      <c r="L55" s="663"/>
      <c r="M55" s="663"/>
      <c r="N55" s="663"/>
      <c r="O55" s="663"/>
      <c r="P55" s="440"/>
      <c r="Q55" s="440"/>
      <c r="R55" s="439"/>
      <c r="S55" s="439"/>
      <c r="T55" s="439"/>
      <c r="U55" s="440">
        <f>ROUND(T55*0.9391,2)</f>
        <v>0</v>
      </c>
      <c r="V55" s="452">
        <f>VLOOKUP(B55,'BCC D1(26)'!$B$98:$V$101,21,0)</f>
        <v>1.5</v>
      </c>
      <c r="W55" s="440">
        <f>ROUND(V55*1.2521,2)</f>
        <v>1.88</v>
      </c>
      <c r="X55" s="452"/>
      <c r="Y55" s="452"/>
      <c r="Z55" s="435">
        <f t="shared" si="9"/>
        <v>24.029999999999998</v>
      </c>
      <c r="AA55" s="436"/>
      <c r="AB55" s="629"/>
      <c r="AD55" s="662"/>
    </row>
    <row r="56" spans="1:30" s="244" customFormat="1" ht="27" customHeight="1">
      <c r="A56" s="665">
        <f t="shared" si="10"/>
        <v>44</v>
      </c>
      <c r="B56" s="589" t="s">
        <v>133</v>
      </c>
      <c r="C56" s="590" t="s">
        <v>134</v>
      </c>
      <c r="D56" s="664"/>
      <c r="E56" s="664"/>
      <c r="F56" s="666">
        <f>ROUND(VLOOKUP(B56,'BPHAN CHIA '!$B$222:$T$241,19,0),2)</f>
        <v>10.76</v>
      </c>
      <c r="G56" s="663">
        <f t="shared" si="13"/>
        <v>11.79</v>
      </c>
      <c r="H56" s="435"/>
      <c r="I56" s="435"/>
      <c r="J56" s="663"/>
      <c r="K56" s="663"/>
      <c r="L56" s="663"/>
      <c r="M56" s="663"/>
      <c r="N56" s="663"/>
      <c r="O56" s="663"/>
      <c r="P56" s="440"/>
      <c r="Q56" s="440"/>
      <c r="R56" s="439"/>
      <c r="S56" s="439"/>
      <c r="T56" s="439"/>
      <c r="U56" s="439"/>
      <c r="V56" s="452"/>
      <c r="W56" s="438"/>
      <c r="X56" s="452"/>
      <c r="Y56" s="452"/>
      <c r="Z56" s="435">
        <f t="shared" si="9"/>
        <v>11.79</v>
      </c>
      <c r="AA56" s="436"/>
      <c r="AB56" s="629"/>
      <c r="AD56" s="662"/>
    </row>
    <row r="57" spans="1:30" s="244" customFormat="1" ht="27" customHeight="1">
      <c r="A57" s="665">
        <f t="shared" si="10"/>
        <v>45</v>
      </c>
      <c r="B57" s="589" t="s">
        <v>137</v>
      </c>
      <c r="C57" s="590" t="s">
        <v>138</v>
      </c>
      <c r="D57" s="664">
        <f>ROUND(VLOOKUP(B57,'BPHAN CHIA '!$B$136:$T$148,19,0),2)</f>
        <v>3.07</v>
      </c>
      <c r="E57" s="664">
        <f t="shared" si="12"/>
        <v>2.21</v>
      </c>
      <c r="F57" s="666">
        <f>ROUND(VLOOKUP(B57,'BPHAN CHIA '!$B$222:$T$241,19,0),2)</f>
        <v>10.76</v>
      </c>
      <c r="G57" s="663">
        <f t="shared" si="13"/>
        <v>11.79</v>
      </c>
      <c r="H57" s="435"/>
      <c r="I57" s="435"/>
      <c r="J57" s="663"/>
      <c r="K57" s="663"/>
      <c r="L57" s="663"/>
      <c r="M57" s="663"/>
      <c r="N57" s="663"/>
      <c r="O57" s="663"/>
      <c r="P57" s="440"/>
      <c r="Q57" s="440"/>
      <c r="R57" s="439"/>
      <c r="S57" s="439"/>
      <c r="T57" s="439"/>
      <c r="U57" s="439"/>
      <c r="V57" s="452"/>
      <c r="W57" s="438"/>
      <c r="X57" s="452"/>
      <c r="Y57" s="452"/>
      <c r="Z57" s="435">
        <f t="shared" si="9"/>
        <v>14</v>
      </c>
      <c r="AA57" s="436"/>
      <c r="AB57" s="629"/>
      <c r="AD57" s="662"/>
    </row>
    <row r="58" spans="1:30" s="244" customFormat="1" ht="27" customHeight="1">
      <c r="A58" s="665">
        <f t="shared" si="10"/>
        <v>46</v>
      </c>
      <c r="B58" s="589" t="s">
        <v>139</v>
      </c>
      <c r="C58" s="590" t="s">
        <v>140</v>
      </c>
      <c r="D58" s="664"/>
      <c r="E58" s="664"/>
      <c r="F58" s="666">
        <f>ROUND(VLOOKUP(B58,'BPHAN CHIA '!$B$222:$T$241,19,0),2)-0.01</f>
        <v>8.86</v>
      </c>
      <c r="G58" s="663">
        <f t="shared" si="13"/>
        <v>9.7100000000000009</v>
      </c>
      <c r="H58" s="435"/>
      <c r="I58" s="435"/>
      <c r="J58" s="663"/>
      <c r="K58" s="663"/>
      <c r="L58" s="663"/>
      <c r="M58" s="663"/>
      <c r="N58" s="663"/>
      <c r="O58" s="663"/>
      <c r="P58" s="440"/>
      <c r="Q58" s="440"/>
      <c r="R58" s="439"/>
      <c r="S58" s="439"/>
      <c r="T58" s="439"/>
      <c r="U58" s="439"/>
      <c r="V58" s="452"/>
      <c r="W58" s="438"/>
      <c r="X58" s="445"/>
      <c r="Y58" s="445"/>
      <c r="Z58" s="435">
        <f t="shared" si="9"/>
        <v>9.7100000000000009</v>
      </c>
      <c r="AA58" s="436"/>
      <c r="AB58" s="629"/>
      <c r="AD58" s="662"/>
    </row>
    <row r="59" spans="1:30" s="244" customFormat="1" ht="27" customHeight="1">
      <c r="A59" s="665">
        <f t="shared" si="10"/>
        <v>47</v>
      </c>
      <c r="B59" s="589" t="s">
        <v>141</v>
      </c>
      <c r="C59" s="590" t="s">
        <v>142</v>
      </c>
      <c r="D59" s="664">
        <f>ROUND(VLOOKUP(B59,'BPHAN CHIA '!$B$136:$T$148,19,0),2)</f>
        <v>6.82</v>
      </c>
      <c r="E59" s="664">
        <f t="shared" si="12"/>
        <v>4.91</v>
      </c>
      <c r="F59" s="666">
        <f>ROUND(VLOOKUP(B59,'BPHAN CHIA '!$B$222:$T$241,19,0),2)</f>
        <v>10.76</v>
      </c>
      <c r="G59" s="663">
        <f t="shared" si="13"/>
        <v>11.79</v>
      </c>
      <c r="H59" s="435"/>
      <c r="I59" s="435"/>
      <c r="J59" s="663"/>
      <c r="K59" s="663"/>
      <c r="L59" s="663"/>
      <c r="M59" s="663"/>
      <c r="N59" s="663"/>
      <c r="O59" s="663"/>
      <c r="P59" s="440"/>
      <c r="Q59" s="440"/>
      <c r="R59" s="439"/>
      <c r="S59" s="439"/>
      <c r="T59" s="439"/>
      <c r="U59" s="439"/>
      <c r="V59" s="452"/>
      <c r="W59" s="438"/>
      <c r="X59" s="452"/>
      <c r="Y59" s="452"/>
      <c r="Z59" s="435">
        <f t="shared" si="9"/>
        <v>16.7</v>
      </c>
      <c r="AA59" s="436"/>
      <c r="AB59" s="629"/>
      <c r="AD59" s="662"/>
    </row>
    <row r="60" spans="1:30" s="244" customFormat="1" ht="27" customHeight="1">
      <c r="A60" s="665">
        <f t="shared" si="10"/>
        <v>48</v>
      </c>
      <c r="B60" s="589" t="s">
        <v>143</v>
      </c>
      <c r="C60" s="590" t="s">
        <v>144</v>
      </c>
      <c r="D60" s="664">
        <f>ROUND(VLOOKUP(B60,'BPHAN CHIA '!$B$136:$T$148,19,0),2)</f>
        <v>10.86</v>
      </c>
      <c r="E60" s="664">
        <f t="shared" si="12"/>
        <v>7.82</v>
      </c>
      <c r="F60" s="666">
        <f>ROUND(VLOOKUP(B60,'BPHAN CHIA '!$B$222:$T$241,19,0),2)</f>
        <v>10.76</v>
      </c>
      <c r="G60" s="663">
        <f t="shared" si="13"/>
        <v>11.79</v>
      </c>
      <c r="H60" s="435"/>
      <c r="I60" s="435"/>
      <c r="J60" s="663"/>
      <c r="K60" s="663"/>
      <c r="L60" s="663"/>
      <c r="M60" s="663"/>
      <c r="N60" s="663"/>
      <c r="O60" s="663"/>
      <c r="P60" s="440"/>
      <c r="Q60" s="440"/>
      <c r="R60" s="439"/>
      <c r="S60" s="439"/>
      <c r="T60" s="439"/>
      <c r="U60" s="440">
        <f>ROUND(T60*0.9391,2)</f>
        <v>0</v>
      </c>
      <c r="V60" s="452"/>
      <c r="W60" s="438"/>
      <c r="X60" s="445"/>
      <c r="Y60" s="452"/>
      <c r="Z60" s="435">
        <f t="shared" si="9"/>
        <v>19.61</v>
      </c>
      <c r="AA60" s="436"/>
      <c r="AB60" s="629"/>
      <c r="AD60" s="662"/>
    </row>
    <row r="61" spans="1:30" s="244" customFormat="1" ht="27" customHeight="1">
      <c r="A61" s="665">
        <f t="shared" si="10"/>
        <v>49</v>
      </c>
      <c r="B61" s="589" t="s">
        <v>145</v>
      </c>
      <c r="C61" s="590" t="s">
        <v>146</v>
      </c>
      <c r="D61" s="664">
        <f>ROUND(VLOOKUP(B61,'BPHAN CHIA '!$B$136:$T$148,19,0),2)</f>
        <v>6.82</v>
      </c>
      <c r="E61" s="664">
        <f t="shared" si="12"/>
        <v>4.91</v>
      </c>
      <c r="F61" s="666">
        <f>ROUND(VLOOKUP(B61,'BPHAN CHIA '!$B$222:$T$241,19,0),2)</f>
        <v>10.76</v>
      </c>
      <c r="G61" s="663">
        <f t="shared" si="13"/>
        <v>11.79</v>
      </c>
      <c r="H61" s="435"/>
      <c r="I61" s="435"/>
      <c r="J61" s="663"/>
      <c r="K61" s="663"/>
      <c r="L61" s="663"/>
      <c r="M61" s="663"/>
      <c r="N61" s="663"/>
      <c r="O61" s="663"/>
      <c r="P61" s="440"/>
      <c r="Q61" s="440"/>
      <c r="R61" s="439"/>
      <c r="S61" s="439"/>
      <c r="T61" s="439"/>
      <c r="U61" s="440"/>
      <c r="V61" s="452"/>
      <c r="W61" s="438"/>
      <c r="X61" s="452"/>
      <c r="Y61" s="452"/>
      <c r="Z61" s="435">
        <f t="shared" si="9"/>
        <v>16.7</v>
      </c>
      <c r="AA61" s="436"/>
      <c r="AB61" s="629"/>
      <c r="AD61" s="662"/>
    </row>
    <row r="62" spans="1:30" s="244" customFormat="1" ht="27" customHeight="1">
      <c r="A62" s="665">
        <f t="shared" si="10"/>
        <v>50</v>
      </c>
      <c r="B62" s="592" t="s">
        <v>147</v>
      </c>
      <c r="C62" s="724" t="s">
        <v>148</v>
      </c>
      <c r="D62" s="664">
        <f>ROUND(VLOOKUP(B62,'BPHAN CHIA '!$B$136:$T$148,19,0),2)</f>
        <v>10.86</v>
      </c>
      <c r="E62" s="664">
        <f t="shared" si="12"/>
        <v>7.82</v>
      </c>
      <c r="F62" s="666">
        <f>ROUND(VLOOKUP(B62,'BPHAN CHIA '!$B$222:$T$241,19,0),2)</f>
        <v>10.76</v>
      </c>
      <c r="G62" s="663">
        <f t="shared" si="13"/>
        <v>11.79</v>
      </c>
      <c r="H62" s="435"/>
      <c r="I62" s="435"/>
      <c r="J62" s="663"/>
      <c r="K62" s="663"/>
      <c r="L62" s="663"/>
      <c r="M62" s="663"/>
      <c r="N62" s="663"/>
      <c r="O62" s="663"/>
      <c r="P62" s="440"/>
      <c r="Q62" s="440"/>
      <c r="R62" s="439"/>
      <c r="S62" s="439"/>
      <c r="T62" s="439"/>
      <c r="U62" s="440">
        <f>ROUND(T62*0.9391,2)</f>
        <v>0</v>
      </c>
      <c r="V62" s="452">
        <f>VLOOKUP(B62,'BCC D1(26)'!$B$98:$V$101,21,0)</f>
        <v>1.5</v>
      </c>
      <c r="W62" s="440">
        <f>ROUND(V62*1.2521,2)</f>
        <v>1.88</v>
      </c>
      <c r="X62" s="445"/>
      <c r="Y62" s="452"/>
      <c r="Z62" s="435">
        <f t="shared" si="9"/>
        <v>21.49</v>
      </c>
      <c r="AA62" s="436"/>
      <c r="AB62" s="629"/>
      <c r="AD62" s="662"/>
    </row>
    <row r="63" spans="1:30" s="244" customFormat="1" ht="27" customHeight="1">
      <c r="A63" s="665">
        <f t="shared" si="10"/>
        <v>51</v>
      </c>
      <c r="B63" s="589" t="s">
        <v>149</v>
      </c>
      <c r="C63" s="590" t="s">
        <v>150</v>
      </c>
      <c r="D63" s="664">
        <f>ROUND(VLOOKUP(B63,'BPHAN CHIA '!$B$136:$T$148,19,0),2)</f>
        <v>4.04</v>
      </c>
      <c r="E63" s="664">
        <f t="shared" si="12"/>
        <v>2.91</v>
      </c>
      <c r="F63" s="666">
        <f>ROUND(VLOOKUP(B63,'BPHAN CHIA '!$B$222:$T$241,19,0),2)</f>
        <v>10.76</v>
      </c>
      <c r="G63" s="663">
        <f t="shared" si="13"/>
        <v>11.79</v>
      </c>
      <c r="H63" s="435"/>
      <c r="I63" s="435"/>
      <c r="J63" s="663"/>
      <c r="K63" s="663"/>
      <c r="L63" s="663"/>
      <c r="M63" s="663"/>
      <c r="N63" s="663"/>
      <c r="O63" s="663"/>
      <c r="P63" s="440"/>
      <c r="Q63" s="440"/>
      <c r="R63" s="439"/>
      <c r="S63" s="439"/>
      <c r="T63" s="439"/>
      <c r="U63" s="440">
        <f>ROUND(T63*0.9391,2)</f>
        <v>0</v>
      </c>
      <c r="V63" s="452"/>
      <c r="W63" s="438"/>
      <c r="X63" s="452"/>
      <c r="Y63" s="452"/>
      <c r="Z63" s="435">
        <f t="shared" si="9"/>
        <v>14.7</v>
      </c>
      <c r="AA63" s="436"/>
      <c r="AB63" s="629"/>
      <c r="AD63" s="662"/>
    </row>
    <row r="64" spans="1:30" s="244" customFormat="1" ht="27" customHeight="1">
      <c r="A64" s="665">
        <f t="shared" si="10"/>
        <v>52</v>
      </c>
      <c r="B64" s="593" t="s">
        <v>151</v>
      </c>
      <c r="C64" s="594" t="s">
        <v>152</v>
      </c>
      <c r="D64" s="664"/>
      <c r="E64" s="664"/>
      <c r="F64" s="666">
        <f>ROUND(VLOOKUP(B64,'BPHAN CHIA '!$B$222:$T$241,19,0),2)</f>
        <v>10.76</v>
      </c>
      <c r="G64" s="663">
        <f t="shared" si="13"/>
        <v>11.79</v>
      </c>
      <c r="H64" s="435"/>
      <c r="I64" s="435"/>
      <c r="J64" s="663"/>
      <c r="K64" s="663"/>
      <c r="L64" s="663"/>
      <c r="M64" s="663"/>
      <c r="N64" s="663"/>
      <c r="O64" s="663"/>
      <c r="P64" s="440"/>
      <c r="Q64" s="440"/>
      <c r="R64" s="439"/>
      <c r="S64" s="439"/>
      <c r="T64" s="439"/>
      <c r="U64" s="440"/>
      <c r="V64" s="452"/>
      <c r="W64" s="438"/>
      <c r="X64" s="452"/>
      <c r="Y64" s="452"/>
      <c r="Z64" s="435">
        <f t="shared" si="9"/>
        <v>11.79</v>
      </c>
      <c r="AA64" s="436"/>
      <c r="AB64" s="629"/>
      <c r="AD64" s="662"/>
    </row>
    <row r="65" spans="1:30" s="244" customFormat="1" ht="27" customHeight="1">
      <c r="A65" s="665">
        <f t="shared" si="10"/>
        <v>53</v>
      </c>
      <c r="B65" s="593" t="s">
        <v>153</v>
      </c>
      <c r="C65" s="594" t="s">
        <v>154</v>
      </c>
      <c r="D65" s="664">
        <f>ROUND(VLOOKUP(B65,'BPHAN CHIA '!$B$136:$T$148,19,0),2)</f>
        <v>4.04</v>
      </c>
      <c r="E65" s="664">
        <f t="shared" si="12"/>
        <v>2.91</v>
      </c>
      <c r="F65" s="666">
        <f>ROUND(VLOOKUP(B65,'BPHAN CHIA '!$B$222:$T$241,19,0),2)</f>
        <v>10.76</v>
      </c>
      <c r="G65" s="663">
        <f t="shared" si="13"/>
        <v>11.79</v>
      </c>
      <c r="H65" s="435"/>
      <c r="I65" s="435"/>
      <c r="J65" s="663"/>
      <c r="K65" s="663"/>
      <c r="L65" s="663"/>
      <c r="M65" s="663"/>
      <c r="N65" s="663"/>
      <c r="O65" s="663"/>
      <c r="P65" s="440"/>
      <c r="Q65" s="440"/>
      <c r="R65" s="439"/>
      <c r="S65" s="439"/>
      <c r="T65" s="439"/>
      <c r="U65" s="438"/>
      <c r="V65" s="452"/>
      <c r="W65" s="438"/>
      <c r="X65" s="452"/>
      <c r="Y65" s="452"/>
      <c r="Z65" s="435">
        <f t="shared" si="9"/>
        <v>14.7</v>
      </c>
      <c r="AA65" s="436"/>
      <c r="AB65" s="629"/>
      <c r="AD65" s="662"/>
    </row>
    <row r="66" spans="1:30" s="244" customFormat="1" ht="27" customHeight="1">
      <c r="A66" s="665">
        <f t="shared" si="10"/>
        <v>54</v>
      </c>
      <c r="B66" s="593" t="s">
        <v>155</v>
      </c>
      <c r="C66" s="594" t="s">
        <v>156</v>
      </c>
      <c r="D66" s="664">
        <f>ROUND(VLOOKUP(B66,'BPHAN CHIA '!$B$136:$T$148,19,0),2)</f>
        <v>4.04</v>
      </c>
      <c r="E66" s="664">
        <f t="shared" si="12"/>
        <v>2.91</v>
      </c>
      <c r="F66" s="666">
        <f>ROUND(VLOOKUP(B66,'BPHAN CHIA '!$B$222:$T$241,19,0),2)</f>
        <v>10.76</v>
      </c>
      <c r="G66" s="663">
        <f t="shared" si="13"/>
        <v>11.79</v>
      </c>
      <c r="H66" s="435"/>
      <c r="I66" s="435"/>
      <c r="J66" s="663"/>
      <c r="K66" s="663"/>
      <c r="L66" s="663"/>
      <c r="M66" s="663"/>
      <c r="N66" s="663"/>
      <c r="O66" s="663"/>
      <c r="P66" s="440"/>
      <c r="Q66" s="440"/>
      <c r="R66" s="439"/>
      <c r="S66" s="439"/>
      <c r="T66" s="439"/>
      <c r="U66" s="439"/>
      <c r="V66" s="452"/>
      <c r="W66" s="438"/>
      <c r="X66" s="445"/>
      <c r="Y66" s="452"/>
      <c r="Z66" s="435">
        <f t="shared" si="9"/>
        <v>14.7</v>
      </c>
      <c r="AA66" s="436"/>
      <c r="AB66" s="629"/>
      <c r="AD66" s="662"/>
    </row>
    <row r="67" spans="1:30" s="244" customFormat="1" ht="27" customHeight="1">
      <c r="A67" s="665">
        <f t="shared" si="10"/>
        <v>55</v>
      </c>
      <c r="B67" s="593" t="s">
        <v>157</v>
      </c>
      <c r="C67" s="594" t="s">
        <v>158</v>
      </c>
      <c r="D67" s="664">
        <f>ROUND(VLOOKUP(B67,'BPHAN CHIA '!$B$136:$T$148,19,0),2)</f>
        <v>6.82</v>
      </c>
      <c r="E67" s="664">
        <f t="shared" si="12"/>
        <v>4.91</v>
      </c>
      <c r="F67" s="666">
        <f>ROUND(VLOOKUP(B67,'BPHAN CHIA '!$B$222:$T$241,19,0),2)</f>
        <v>10.76</v>
      </c>
      <c r="G67" s="663">
        <f t="shared" si="13"/>
        <v>11.79</v>
      </c>
      <c r="H67" s="435"/>
      <c r="I67" s="435"/>
      <c r="J67" s="663"/>
      <c r="K67" s="663"/>
      <c r="L67" s="663"/>
      <c r="M67" s="663"/>
      <c r="N67" s="663"/>
      <c r="O67" s="663"/>
      <c r="P67" s="440"/>
      <c r="Q67" s="440"/>
      <c r="R67" s="439"/>
      <c r="S67" s="439"/>
      <c r="T67" s="439"/>
      <c r="U67" s="438"/>
      <c r="V67" s="452"/>
      <c r="W67" s="438"/>
      <c r="X67" s="452"/>
      <c r="Y67" s="452"/>
      <c r="Z67" s="435">
        <f t="shared" si="9"/>
        <v>16.7</v>
      </c>
      <c r="AA67" s="436"/>
      <c r="AB67" s="629"/>
      <c r="AD67" s="662"/>
    </row>
    <row r="68" spans="1:30" s="244" customFormat="1" ht="27" customHeight="1">
      <c r="A68" s="665">
        <f t="shared" si="10"/>
        <v>56</v>
      </c>
      <c r="B68" s="593" t="s">
        <v>221</v>
      </c>
      <c r="C68" s="594" t="s">
        <v>222</v>
      </c>
      <c r="D68" s="664"/>
      <c r="E68" s="664"/>
      <c r="F68" s="666">
        <f>ROUND(VLOOKUP(B68,'BPHAN CHIA '!$B$222:$T$241,19,0),2)</f>
        <v>10.76</v>
      </c>
      <c r="G68" s="663">
        <f t="shared" si="13"/>
        <v>11.79</v>
      </c>
      <c r="H68" s="435"/>
      <c r="I68" s="435"/>
      <c r="J68" s="663"/>
      <c r="K68" s="663"/>
      <c r="L68" s="663"/>
      <c r="M68" s="663"/>
      <c r="N68" s="663"/>
      <c r="O68" s="663"/>
      <c r="P68" s="440"/>
      <c r="Q68" s="440"/>
      <c r="R68" s="439"/>
      <c r="S68" s="439"/>
      <c r="T68" s="439"/>
      <c r="U68" s="439"/>
      <c r="V68" s="452"/>
      <c r="W68" s="438"/>
      <c r="X68" s="452"/>
      <c r="Y68" s="452"/>
      <c r="Z68" s="435">
        <f t="shared" si="9"/>
        <v>11.79</v>
      </c>
      <c r="AA68" s="436"/>
      <c r="AB68" s="629"/>
      <c r="AD68" s="662"/>
    </row>
    <row r="69" spans="1:30" s="244" customFormat="1" ht="27" customHeight="1">
      <c r="A69" s="665">
        <f t="shared" si="10"/>
        <v>57</v>
      </c>
      <c r="B69" s="593" t="s">
        <v>265</v>
      </c>
      <c r="C69" s="594" t="s">
        <v>266</v>
      </c>
      <c r="D69" s="664"/>
      <c r="E69" s="664"/>
      <c r="F69" s="666">
        <f>ROUND(VLOOKUP(B69,'BPHAN CHIA '!$B$222:$T$241,19,0),2)</f>
        <v>10.76</v>
      </c>
      <c r="G69" s="663">
        <f t="shared" si="13"/>
        <v>11.79</v>
      </c>
      <c r="H69" s="435"/>
      <c r="I69" s="435"/>
      <c r="J69" s="663"/>
      <c r="K69" s="663"/>
      <c r="L69" s="663"/>
      <c r="M69" s="663"/>
      <c r="N69" s="663"/>
      <c r="O69" s="663"/>
      <c r="P69" s="440"/>
      <c r="Q69" s="440"/>
      <c r="R69" s="439"/>
      <c r="S69" s="439"/>
      <c r="T69" s="439"/>
      <c r="U69" s="440">
        <f>ROUND(T69*0.9391,2)</f>
        <v>0</v>
      </c>
      <c r="V69" s="452"/>
      <c r="W69" s="438"/>
      <c r="X69" s="452"/>
      <c r="Y69" s="452"/>
      <c r="Z69" s="435">
        <f t="shared" si="9"/>
        <v>11.79</v>
      </c>
      <c r="AA69" s="436"/>
      <c r="AB69" s="629"/>
      <c r="AD69" s="662"/>
    </row>
    <row r="70" spans="1:30" s="244" customFormat="1" ht="27" customHeight="1">
      <c r="A70" s="665">
        <f t="shared" si="10"/>
        <v>58</v>
      </c>
      <c r="B70" s="593" t="s">
        <v>282</v>
      </c>
      <c r="C70" s="725" t="s">
        <v>283</v>
      </c>
      <c r="D70" s="664">
        <f>ROUND(VLOOKUP(B70,'BPHAN CHIA '!$B$136:$T$148,19,0),2)</f>
        <v>6.82</v>
      </c>
      <c r="E70" s="664">
        <f t="shared" si="12"/>
        <v>4.91</v>
      </c>
      <c r="F70" s="666">
        <f>ROUND(VLOOKUP(B70,'BPHAN CHIA '!$B$222:$T$241,19,0),2)</f>
        <v>10.76</v>
      </c>
      <c r="G70" s="663">
        <f>ROUND(F70*1.0956,2)-0.01</f>
        <v>11.78</v>
      </c>
      <c r="H70" s="435"/>
      <c r="I70" s="435"/>
      <c r="J70" s="663"/>
      <c r="K70" s="663"/>
      <c r="L70" s="663"/>
      <c r="M70" s="663"/>
      <c r="N70" s="663"/>
      <c r="O70" s="663"/>
      <c r="P70" s="440"/>
      <c r="Q70" s="440"/>
      <c r="R70" s="439"/>
      <c r="S70" s="439"/>
      <c r="T70" s="439"/>
      <c r="U70" s="438"/>
      <c r="V70" s="452">
        <f>VLOOKUP(B70,'BCC D1(26)'!$B$98:$V$101,21,0)</f>
        <v>1.5</v>
      </c>
      <c r="W70" s="440">
        <f>ROUND(V70*1.2521,2)</f>
        <v>1.88</v>
      </c>
      <c r="X70" s="452"/>
      <c r="Y70" s="452"/>
      <c r="Z70" s="435">
        <f t="shared" si="9"/>
        <v>18.569999999999997</v>
      </c>
      <c r="AA70" s="436"/>
      <c r="AB70" s="629"/>
      <c r="AD70" s="662"/>
    </row>
    <row r="71" spans="1:30" s="244" customFormat="1" ht="27" customHeight="1">
      <c r="A71" s="665">
        <f t="shared" si="10"/>
        <v>59</v>
      </c>
      <c r="B71" s="593" t="s">
        <v>284</v>
      </c>
      <c r="C71" s="595" t="s">
        <v>285</v>
      </c>
      <c r="D71" s="664">
        <f>ROUND(VLOOKUP(B71,'BPHAN CHIA '!$B$136:$T$148,19,0),2)</f>
        <v>10.86</v>
      </c>
      <c r="E71" s="664">
        <f t="shared" si="12"/>
        <v>7.82</v>
      </c>
      <c r="F71" s="666">
        <f>ROUND(VLOOKUP(B71,'BPHAN CHIA '!$B$222:$T$241,19,0),2)-0.01</f>
        <v>8.8800000000000008</v>
      </c>
      <c r="G71" s="663">
        <f>ROUND(F71*1.0956,2)</f>
        <v>9.73</v>
      </c>
      <c r="H71" s="435"/>
      <c r="I71" s="435"/>
      <c r="J71" s="663"/>
      <c r="K71" s="663"/>
      <c r="L71" s="663"/>
      <c r="M71" s="663"/>
      <c r="N71" s="663"/>
      <c r="O71" s="663"/>
      <c r="P71" s="440"/>
      <c r="Q71" s="440"/>
      <c r="R71" s="439"/>
      <c r="S71" s="439"/>
      <c r="T71" s="439"/>
      <c r="U71" s="439"/>
      <c r="V71" s="452"/>
      <c r="W71" s="438"/>
      <c r="X71" s="452"/>
      <c r="Y71" s="452"/>
      <c r="Z71" s="435">
        <f t="shared" si="9"/>
        <v>17.55</v>
      </c>
      <c r="AA71" s="436"/>
      <c r="AB71" s="629"/>
      <c r="AD71" s="662"/>
    </row>
    <row r="72" spans="1:30" s="244" customFormat="1" ht="27" customHeight="1">
      <c r="A72" s="665">
        <f t="shared" si="10"/>
        <v>60</v>
      </c>
      <c r="B72" s="593" t="s">
        <v>286</v>
      </c>
      <c r="C72" s="595" t="s">
        <v>287</v>
      </c>
      <c r="D72" s="664"/>
      <c r="E72" s="664"/>
      <c r="F72" s="666">
        <f>ROUND(VLOOKUP(B72,'BPHAN CHIA '!$B$222:$T$241,19,0),2)-0.01</f>
        <v>8.8800000000000008</v>
      </c>
      <c r="G72" s="663">
        <f>ROUND(F72*1.0956,2)-0.01</f>
        <v>9.7200000000000006</v>
      </c>
      <c r="H72" s="435"/>
      <c r="I72" s="435"/>
      <c r="J72" s="663"/>
      <c r="K72" s="663"/>
      <c r="L72" s="663"/>
      <c r="M72" s="663"/>
      <c r="N72" s="663"/>
      <c r="O72" s="663"/>
      <c r="P72" s="440"/>
      <c r="Q72" s="440"/>
      <c r="R72" s="439"/>
      <c r="S72" s="439"/>
      <c r="T72" s="439"/>
      <c r="U72" s="439"/>
      <c r="V72" s="452"/>
      <c r="W72" s="438"/>
      <c r="X72" s="452"/>
      <c r="Y72" s="452"/>
      <c r="Z72" s="435">
        <f t="shared" si="9"/>
        <v>9.7200000000000006</v>
      </c>
      <c r="AA72" s="436"/>
      <c r="AB72" s="629"/>
      <c r="AD72" s="662"/>
    </row>
    <row r="73" spans="1:30" s="244" customFormat="1" ht="23.1" customHeight="1">
      <c r="A73" s="665">
        <f t="shared" si="10"/>
        <v>61</v>
      </c>
      <c r="B73" s="593" t="s">
        <v>325</v>
      </c>
      <c r="C73" s="725" t="s">
        <v>326</v>
      </c>
      <c r="D73" s="664">
        <f>ROUND(VLOOKUP(B73,'BPHAN CHIA '!$B$136:$T$148,19,0),2)</f>
        <v>4.03</v>
      </c>
      <c r="E73" s="664">
        <f t="shared" si="12"/>
        <v>2.9</v>
      </c>
      <c r="F73" s="666">
        <f>ROUND(VLOOKUP(B73,'BPHAN CHIA '!$B$222:$T$241,19,0),2)-0.01</f>
        <v>8.86</v>
      </c>
      <c r="G73" s="663">
        <f>ROUND(F73*1.0956,2)+0.01</f>
        <v>9.7200000000000006</v>
      </c>
      <c r="H73" s="435"/>
      <c r="I73" s="435"/>
      <c r="J73" s="663"/>
      <c r="K73" s="663"/>
      <c r="L73" s="663"/>
      <c r="M73" s="663"/>
      <c r="N73" s="663"/>
      <c r="O73" s="663"/>
      <c r="P73" s="440"/>
      <c r="Q73" s="440"/>
      <c r="R73" s="439"/>
      <c r="S73" s="439"/>
      <c r="T73" s="439"/>
      <c r="U73" s="440">
        <f>ROUND(T73*0.9391,2)</f>
        <v>0</v>
      </c>
      <c r="V73" s="452">
        <f>VLOOKUP(B73,'BCC D1(26)'!$B$98:$V$101,21,0)</f>
        <v>1.5</v>
      </c>
      <c r="W73" s="440">
        <f>ROUND(V73*1.2521,2)</f>
        <v>1.88</v>
      </c>
      <c r="X73" s="445"/>
      <c r="Y73" s="452"/>
      <c r="Z73" s="435">
        <f t="shared" si="9"/>
        <v>14.5</v>
      </c>
      <c r="AA73" s="436"/>
      <c r="AB73" s="629"/>
      <c r="AD73" s="662"/>
    </row>
    <row r="74" spans="1:30" s="244" customFormat="1" ht="23.1" customHeight="1">
      <c r="A74" s="665">
        <f t="shared" si="10"/>
        <v>62</v>
      </c>
      <c r="B74" s="593" t="s">
        <v>346</v>
      </c>
      <c r="C74" s="595" t="s">
        <v>347</v>
      </c>
      <c r="D74" s="664"/>
      <c r="E74" s="664"/>
      <c r="F74" s="666">
        <f>ROUND(VLOOKUP(B74,'BPHAN CHIA '!$B$222:$T$241,19,0),2)</f>
        <v>7.2</v>
      </c>
      <c r="G74" s="663">
        <f>ROUND(F74*1.0956,2)+0.01</f>
        <v>7.8999999999999995</v>
      </c>
      <c r="H74" s="435"/>
      <c r="I74" s="435"/>
      <c r="J74" s="663"/>
      <c r="K74" s="663"/>
      <c r="L74" s="663"/>
      <c r="M74" s="663"/>
      <c r="N74" s="663"/>
      <c r="O74" s="663"/>
      <c r="P74" s="440"/>
      <c r="Q74" s="440"/>
      <c r="R74" s="439"/>
      <c r="S74" s="439"/>
      <c r="T74" s="439"/>
      <c r="U74" s="439"/>
      <c r="V74" s="452"/>
      <c r="W74" s="438"/>
      <c r="X74" s="452"/>
      <c r="Y74" s="452"/>
      <c r="Z74" s="435">
        <f t="shared" si="9"/>
        <v>7.8999999999999995</v>
      </c>
      <c r="AA74" s="436"/>
      <c r="AB74" s="629"/>
      <c r="AD74" s="662"/>
    </row>
    <row r="75" spans="1:30" s="244" customFormat="1" ht="23.1" customHeight="1">
      <c r="A75" s="665">
        <f t="shared" si="10"/>
        <v>63</v>
      </c>
      <c r="B75" s="253" t="s">
        <v>159</v>
      </c>
      <c r="C75" s="615" t="s">
        <v>160</v>
      </c>
      <c r="D75" s="664">
        <f>ROUND(VLOOKUP(B75,'BPHAN CHIA '!$B$64:$T$72,19,0)*1.1,2)</f>
        <v>48.43</v>
      </c>
      <c r="E75" s="664">
        <f t="shared" ref="E75:E83" si="14">ROUND(0.7199*D75,2)</f>
        <v>34.86</v>
      </c>
      <c r="F75" s="666"/>
      <c r="G75" s="663"/>
      <c r="H75" s="435"/>
      <c r="I75" s="435"/>
      <c r="J75" s="663"/>
      <c r="K75" s="663"/>
      <c r="L75" s="663"/>
      <c r="M75" s="663"/>
      <c r="N75" s="663"/>
      <c r="O75" s="663"/>
      <c r="P75" s="440"/>
      <c r="Q75" s="440"/>
      <c r="R75" s="439"/>
      <c r="S75" s="439"/>
      <c r="T75" s="439"/>
      <c r="U75" s="439"/>
      <c r="V75" s="452"/>
      <c r="W75" s="438"/>
      <c r="X75" s="452"/>
      <c r="Y75" s="452"/>
      <c r="Z75" s="435">
        <f t="shared" si="9"/>
        <v>34.86</v>
      </c>
      <c r="AA75" s="436"/>
      <c r="AB75" s="629"/>
      <c r="AD75" s="662"/>
    </row>
    <row r="76" spans="1:30" s="244" customFormat="1" ht="24" customHeight="1">
      <c r="A76" s="665">
        <f t="shared" si="10"/>
        <v>64</v>
      </c>
      <c r="B76" s="253" t="s">
        <v>161</v>
      </c>
      <c r="C76" s="612" t="s">
        <v>162</v>
      </c>
      <c r="D76" s="664">
        <f>ROUND(VLOOKUP(B76,'BPHAN CHIA '!$B$64:$T$72,19,0),2)</f>
        <v>44.03</v>
      </c>
      <c r="E76" s="664">
        <f t="shared" si="14"/>
        <v>31.7</v>
      </c>
      <c r="F76" s="666"/>
      <c r="G76" s="663"/>
      <c r="H76" s="435"/>
      <c r="I76" s="435"/>
      <c r="J76" s="663"/>
      <c r="K76" s="663"/>
      <c r="L76" s="663"/>
      <c r="M76" s="663"/>
      <c r="N76" s="663"/>
      <c r="O76" s="663"/>
      <c r="P76" s="440"/>
      <c r="Q76" s="440"/>
      <c r="R76" s="439"/>
      <c r="S76" s="439"/>
      <c r="T76" s="439"/>
      <c r="U76" s="439"/>
      <c r="V76" s="452"/>
      <c r="W76" s="438"/>
      <c r="X76" s="452"/>
      <c r="Y76" s="452"/>
      <c r="Z76" s="435">
        <f t="shared" si="9"/>
        <v>31.7</v>
      </c>
      <c r="AA76" s="436"/>
      <c r="AB76" s="629"/>
      <c r="AD76" s="662"/>
    </row>
    <row r="77" spans="1:30" s="244" customFormat="1" ht="24" customHeight="1">
      <c r="A77" s="665">
        <f t="shared" si="10"/>
        <v>65</v>
      </c>
      <c r="B77" s="619" t="s">
        <v>163</v>
      </c>
      <c r="C77" s="615" t="s">
        <v>164</v>
      </c>
      <c r="D77" s="664">
        <f>ROUND(VLOOKUP(B77,'BPHAN CHIA '!$B$64:$T$72,19,0),2)</f>
        <v>44.03</v>
      </c>
      <c r="E77" s="664">
        <f t="shared" si="14"/>
        <v>31.7</v>
      </c>
      <c r="F77" s="666"/>
      <c r="G77" s="663"/>
      <c r="H77" s="435"/>
      <c r="I77" s="435"/>
      <c r="J77" s="663"/>
      <c r="K77" s="663"/>
      <c r="L77" s="663"/>
      <c r="M77" s="663"/>
      <c r="N77" s="663"/>
      <c r="O77" s="663"/>
      <c r="P77" s="440"/>
      <c r="Q77" s="440"/>
      <c r="R77" s="439"/>
      <c r="S77" s="439"/>
      <c r="T77" s="439"/>
      <c r="U77" s="439"/>
      <c r="V77" s="452"/>
      <c r="W77" s="438"/>
      <c r="X77" s="445"/>
      <c r="Y77" s="445"/>
      <c r="Z77" s="435">
        <f t="shared" ref="Z77:Z83" si="15">SUM(G77,E77,S77,Q77,O77,M77,K77,I77,U77,W77,Y77)</f>
        <v>31.7</v>
      </c>
      <c r="AA77" s="436"/>
      <c r="AB77" s="629"/>
      <c r="AD77" s="662"/>
    </row>
    <row r="78" spans="1:30" s="244" customFormat="1" ht="24" customHeight="1">
      <c r="A78" s="665">
        <f t="shared" ref="A78:A83" si="16">+A77+1</f>
        <v>66</v>
      </c>
      <c r="B78" s="619" t="s">
        <v>217</v>
      </c>
      <c r="C78" s="726" t="s">
        <v>218</v>
      </c>
      <c r="D78" s="664">
        <f>ROUND(VLOOKUP(B78,'BPHAN CHIA '!$B$64:$T$72,19,0),2)-0.01</f>
        <v>32.200000000000003</v>
      </c>
      <c r="E78" s="664">
        <f>ROUND(0.7199*D78,2)+0.01</f>
        <v>23.19</v>
      </c>
      <c r="F78" s="666"/>
      <c r="G78" s="663"/>
      <c r="H78" s="435"/>
      <c r="I78" s="435"/>
      <c r="J78" s="663"/>
      <c r="K78" s="663"/>
      <c r="L78" s="663"/>
      <c r="M78" s="663"/>
      <c r="N78" s="663"/>
      <c r="O78" s="663"/>
      <c r="P78" s="440"/>
      <c r="Q78" s="440"/>
      <c r="R78" s="439"/>
      <c r="S78" s="439"/>
      <c r="T78" s="439"/>
      <c r="U78" s="439"/>
      <c r="V78" s="452"/>
      <c r="W78" s="438"/>
      <c r="X78" s="445"/>
      <c r="Y78" s="445"/>
      <c r="Z78" s="435">
        <f t="shared" si="15"/>
        <v>23.19</v>
      </c>
      <c r="AA78" s="436"/>
      <c r="AB78" s="629"/>
      <c r="AD78" s="662"/>
    </row>
    <row r="79" spans="1:30" s="244" customFormat="1" ht="24" customHeight="1">
      <c r="A79" s="665">
        <f t="shared" si="16"/>
        <v>67</v>
      </c>
      <c r="B79" s="253" t="s">
        <v>165</v>
      </c>
      <c r="C79" s="610" t="s">
        <v>191</v>
      </c>
      <c r="D79" s="664">
        <f>ROUND(VLOOKUP(B79,'BPHAN CHIA '!$B$64:$T$72,19,0),2)</f>
        <v>44.03</v>
      </c>
      <c r="E79" s="664">
        <f t="shared" si="14"/>
        <v>31.7</v>
      </c>
      <c r="F79" s="666"/>
      <c r="G79" s="663"/>
      <c r="H79" s="435"/>
      <c r="I79" s="435"/>
      <c r="J79" s="663"/>
      <c r="K79" s="663"/>
      <c r="L79" s="663"/>
      <c r="M79" s="663"/>
      <c r="N79" s="663"/>
      <c r="O79" s="663"/>
      <c r="P79" s="440"/>
      <c r="Q79" s="440"/>
      <c r="R79" s="439"/>
      <c r="S79" s="439"/>
      <c r="T79" s="439"/>
      <c r="U79" s="439"/>
      <c r="V79" s="452"/>
      <c r="W79" s="438"/>
      <c r="X79" s="445"/>
      <c r="Y79" s="445"/>
      <c r="Z79" s="435">
        <f t="shared" si="15"/>
        <v>31.7</v>
      </c>
      <c r="AA79" s="436"/>
      <c r="AB79" s="629"/>
      <c r="AD79" s="662"/>
    </row>
    <row r="80" spans="1:30" s="244" customFormat="1" ht="24" customHeight="1">
      <c r="A80" s="665">
        <f t="shared" si="16"/>
        <v>68</v>
      </c>
      <c r="B80" s="253" t="s">
        <v>166</v>
      </c>
      <c r="C80" s="610" t="s">
        <v>167</v>
      </c>
      <c r="D80" s="664">
        <f>ROUND(VLOOKUP(B80,'BPHAN CHIA '!$B$64:$T$72,19,0),2)</f>
        <v>44.03</v>
      </c>
      <c r="E80" s="664">
        <f t="shared" si="14"/>
        <v>31.7</v>
      </c>
      <c r="F80" s="666"/>
      <c r="G80" s="663"/>
      <c r="H80" s="435"/>
      <c r="I80" s="435"/>
      <c r="J80" s="663"/>
      <c r="K80" s="663"/>
      <c r="L80" s="663"/>
      <c r="M80" s="663"/>
      <c r="N80" s="663"/>
      <c r="O80" s="663"/>
      <c r="P80" s="440"/>
      <c r="Q80" s="440"/>
      <c r="R80" s="439"/>
      <c r="S80" s="439"/>
      <c r="T80" s="439"/>
      <c r="U80" s="439"/>
      <c r="V80" s="452"/>
      <c r="W80" s="438"/>
      <c r="X80" s="452"/>
      <c r="Y80" s="452"/>
      <c r="Z80" s="435">
        <f t="shared" si="15"/>
        <v>31.7</v>
      </c>
      <c r="AA80" s="436"/>
      <c r="AB80" s="629"/>
      <c r="AD80" s="662"/>
    </row>
    <row r="81" spans="1:38" s="244" customFormat="1" ht="24" customHeight="1">
      <c r="A81" s="665">
        <f t="shared" si="16"/>
        <v>69</v>
      </c>
      <c r="B81" s="620" t="s">
        <v>168</v>
      </c>
      <c r="C81" s="621" t="s">
        <v>169</v>
      </c>
      <c r="D81" s="664">
        <f>ROUND(VLOOKUP(B81,'BPHAN CHIA '!$B$64:$T$72,19,0),2)-0.01</f>
        <v>39.980000000000004</v>
      </c>
      <c r="E81" s="664">
        <f>ROUND(0.7199*D81,2)+0.01</f>
        <v>28.790000000000003</v>
      </c>
      <c r="F81" s="666"/>
      <c r="G81" s="663"/>
      <c r="H81" s="435"/>
      <c r="I81" s="435"/>
      <c r="J81" s="663"/>
      <c r="K81" s="663"/>
      <c r="L81" s="663"/>
      <c r="M81" s="663"/>
      <c r="N81" s="663"/>
      <c r="O81" s="663"/>
      <c r="P81" s="440"/>
      <c r="Q81" s="440"/>
      <c r="R81" s="439"/>
      <c r="S81" s="439"/>
      <c r="T81" s="439"/>
      <c r="U81" s="439"/>
      <c r="V81" s="452"/>
      <c r="W81" s="438"/>
      <c r="X81" s="452"/>
      <c r="Y81" s="452"/>
      <c r="Z81" s="435">
        <f t="shared" si="15"/>
        <v>28.790000000000003</v>
      </c>
      <c r="AA81" s="436"/>
      <c r="AB81" s="629"/>
      <c r="AD81" s="662"/>
    </row>
    <row r="82" spans="1:38" s="244" customFormat="1" ht="24" customHeight="1">
      <c r="A82" s="665">
        <f t="shared" si="16"/>
        <v>70</v>
      </c>
      <c r="B82" s="710" t="s">
        <v>72</v>
      </c>
      <c r="C82" s="713" t="s">
        <v>73</v>
      </c>
      <c r="D82" s="664">
        <f>ROUND(VLOOKUP(B82,'BPHAN CHIA '!$B$64:$T$72,19,0),2)</f>
        <v>44.03</v>
      </c>
      <c r="E82" s="664">
        <f t="shared" si="14"/>
        <v>31.7</v>
      </c>
      <c r="F82" s="666"/>
      <c r="G82" s="663"/>
      <c r="H82" s="435"/>
      <c r="I82" s="435"/>
      <c r="J82" s="663"/>
      <c r="K82" s="663"/>
      <c r="L82" s="663"/>
      <c r="M82" s="663"/>
      <c r="N82" s="663"/>
      <c r="O82" s="663"/>
      <c r="P82" s="440"/>
      <c r="Q82" s="440"/>
      <c r="R82" s="439"/>
      <c r="S82" s="439"/>
      <c r="T82" s="439"/>
      <c r="U82" s="439"/>
      <c r="V82" s="452"/>
      <c r="W82" s="438"/>
      <c r="X82" s="445"/>
      <c r="Y82" s="445"/>
      <c r="Z82" s="435">
        <f t="shared" si="15"/>
        <v>31.7</v>
      </c>
      <c r="AA82" s="436"/>
      <c r="AB82" s="629"/>
      <c r="AD82" s="662"/>
    </row>
    <row r="83" spans="1:38" s="244" customFormat="1" ht="24" customHeight="1">
      <c r="A83" s="665">
        <f t="shared" si="16"/>
        <v>71</v>
      </c>
      <c r="B83" s="253" t="s">
        <v>170</v>
      </c>
      <c r="C83" s="610" t="s">
        <v>171</v>
      </c>
      <c r="D83" s="664">
        <f>ROUND(VLOOKUP(B83,'BPHAN CHIA '!$B$64:$T$72,19,0),2)</f>
        <v>44.03</v>
      </c>
      <c r="E83" s="664">
        <f t="shared" si="14"/>
        <v>31.7</v>
      </c>
      <c r="F83" s="663"/>
      <c r="G83" s="663"/>
      <c r="H83" s="435"/>
      <c r="I83" s="435"/>
      <c r="J83" s="663"/>
      <c r="K83" s="663"/>
      <c r="L83" s="663"/>
      <c r="M83" s="663"/>
      <c r="N83" s="663"/>
      <c r="O83" s="663"/>
      <c r="P83" s="440"/>
      <c r="Q83" s="440"/>
      <c r="R83" s="439"/>
      <c r="S83" s="439"/>
      <c r="T83" s="439"/>
      <c r="U83" s="439"/>
      <c r="V83" s="452"/>
      <c r="W83" s="438"/>
      <c r="X83" s="445"/>
      <c r="Y83" s="445"/>
      <c r="Z83" s="435">
        <f t="shared" si="15"/>
        <v>31.7</v>
      </c>
      <c r="AA83" s="436"/>
      <c r="AB83" s="629"/>
      <c r="AD83" s="662"/>
    </row>
    <row r="84" spans="1:38" s="298" customFormat="1" ht="24" customHeight="1">
      <c r="A84" s="391"/>
      <c r="B84" s="858" t="s">
        <v>172</v>
      </c>
      <c r="C84" s="859"/>
      <c r="D84" s="745">
        <f t="shared" ref="D84:Z84" si="17">SUM(D13:D83)</f>
        <v>1007.12</v>
      </c>
      <c r="E84" s="746">
        <f t="shared" si="17"/>
        <v>725.03000000000043</v>
      </c>
      <c r="F84" s="745">
        <f t="shared" si="17"/>
        <v>437.92999999999984</v>
      </c>
      <c r="G84" s="746">
        <f t="shared" si="17"/>
        <v>479.8000000000003</v>
      </c>
      <c r="H84" s="745">
        <f t="shared" si="17"/>
        <v>10.5</v>
      </c>
      <c r="I84" s="746">
        <f t="shared" si="17"/>
        <v>13.11</v>
      </c>
      <c r="J84" s="745">
        <f t="shared" si="17"/>
        <v>26</v>
      </c>
      <c r="K84" s="746">
        <f t="shared" si="17"/>
        <v>27.04</v>
      </c>
      <c r="L84" s="745">
        <f t="shared" si="17"/>
        <v>61</v>
      </c>
      <c r="M84" s="746">
        <f t="shared" si="17"/>
        <v>90.15</v>
      </c>
      <c r="N84" s="745">
        <f t="shared" si="17"/>
        <v>25.5</v>
      </c>
      <c r="O84" s="746">
        <f t="shared" si="17"/>
        <v>24.93</v>
      </c>
      <c r="P84" s="745">
        <f t="shared" si="17"/>
        <v>36</v>
      </c>
      <c r="Q84" s="746">
        <f t="shared" si="17"/>
        <v>52.59</v>
      </c>
      <c r="R84" s="745">
        <f t="shared" si="17"/>
        <v>5.5</v>
      </c>
      <c r="S84" s="746">
        <f t="shared" si="17"/>
        <v>5.17</v>
      </c>
      <c r="T84" s="745">
        <f t="shared" si="17"/>
        <v>8</v>
      </c>
      <c r="U84" s="745">
        <f t="shared" si="17"/>
        <v>7.52</v>
      </c>
      <c r="V84" s="745">
        <f t="shared" si="17"/>
        <v>6</v>
      </c>
      <c r="W84" s="745">
        <f t="shared" si="17"/>
        <v>7.52</v>
      </c>
      <c r="X84" s="745">
        <f t="shared" si="17"/>
        <v>0</v>
      </c>
      <c r="Y84" s="745">
        <f t="shared" si="17"/>
        <v>0</v>
      </c>
      <c r="Z84" s="745">
        <f t="shared" si="17"/>
        <v>1432.8600000000001</v>
      </c>
      <c r="AA84" s="661"/>
      <c r="AB84" s="660"/>
      <c r="AC84" s="660"/>
      <c r="AD84" s="660" t="e">
        <f>#REF!+#REF!+#REF!+I84+K84+M84+O84+Q84+#REF!+S84</f>
        <v>#REF!</v>
      </c>
      <c r="AE84" s="659"/>
      <c r="AG84" s="658"/>
    </row>
    <row r="85" spans="1:38" s="632" customFormat="1" ht="18" customHeight="1">
      <c r="A85" s="465"/>
      <c r="B85" s="465"/>
      <c r="C85" s="657"/>
      <c r="D85" s="656"/>
      <c r="E85" s="656"/>
      <c r="F85" s="656"/>
      <c r="G85" s="656"/>
      <c r="H85" s="655"/>
      <c r="I85" s="655"/>
      <c r="J85" s="655"/>
      <c r="K85" s="655"/>
      <c r="L85" s="655"/>
      <c r="M85" s="631"/>
      <c r="N85" s="631"/>
      <c r="O85" s="631"/>
      <c r="P85" s="631"/>
      <c r="Q85" s="631"/>
      <c r="R85" s="631"/>
      <c r="S85" s="631"/>
      <c r="T85" s="631"/>
      <c r="U85" s="630"/>
      <c r="V85" s="630"/>
      <c r="W85" s="630"/>
      <c r="X85" s="630"/>
      <c r="Y85" s="630"/>
      <c r="Z85" s="653"/>
      <c r="AA85" s="465"/>
      <c r="AB85" s="654"/>
      <c r="AC85" s="653"/>
      <c r="AD85" s="465"/>
      <c r="AE85" s="465"/>
      <c r="AF85" s="648"/>
      <c r="AG85" s="648"/>
      <c r="AH85" s="652"/>
      <c r="AI85" s="652"/>
      <c r="AJ85" s="652"/>
      <c r="AK85" s="652"/>
      <c r="AL85" s="652"/>
    </row>
    <row r="86" spans="1:38" s="632" customFormat="1" ht="29.25">
      <c r="A86" s="852" t="s">
        <v>173</v>
      </c>
      <c r="B86" s="852"/>
      <c r="C86" s="852"/>
      <c r="D86" s="852"/>
      <c r="E86" s="852"/>
      <c r="F86" s="852"/>
      <c r="G86" s="852"/>
      <c r="H86" s="852"/>
      <c r="I86" s="852"/>
      <c r="J86" s="651"/>
      <c r="K86" s="651"/>
      <c r="L86" s="651"/>
      <c r="M86" s="651"/>
      <c r="N86" s="651"/>
      <c r="O86" s="651"/>
      <c r="P86" s="651"/>
      <c r="Q86" s="639"/>
      <c r="R86" s="806" t="s">
        <v>193</v>
      </c>
      <c r="S86" s="806"/>
      <c r="T86" s="806"/>
      <c r="U86" s="806"/>
      <c r="V86" s="806"/>
      <c r="W86" s="806"/>
      <c r="X86" s="806"/>
      <c r="Y86" s="806"/>
      <c r="Z86" s="806"/>
      <c r="AA86" s="806"/>
      <c r="AB86" s="649"/>
      <c r="AC86" s="650"/>
      <c r="AD86" s="649"/>
      <c r="AE86" s="649"/>
      <c r="AF86" s="648"/>
      <c r="AG86" s="648"/>
      <c r="AH86" s="647"/>
      <c r="AI86" s="647"/>
      <c r="AJ86" s="647"/>
      <c r="AK86" s="647"/>
      <c r="AL86" s="647"/>
    </row>
    <row r="87" spans="1:38" s="632" customFormat="1" ht="29.25" customHeight="1">
      <c r="C87" s="646"/>
      <c r="D87" s="639"/>
      <c r="E87" s="639"/>
      <c r="F87" s="639"/>
      <c r="G87" s="639"/>
      <c r="H87" s="645"/>
      <c r="I87" s="645"/>
      <c r="J87" s="645"/>
      <c r="K87" s="645"/>
      <c r="L87" s="645"/>
      <c r="M87" s="645"/>
      <c r="N87" s="645"/>
      <c r="O87" s="645"/>
      <c r="P87" s="645"/>
      <c r="Q87" s="639"/>
      <c r="R87" s="467"/>
      <c r="S87" s="626"/>
      <c r="T87" s="105"/>
      <c r="U87" s="467"/>
      <c r="V87" s="467"/>
      <c r="W87" s="467"/>
      <c r="X87" s="467"/>
      <c r="Y87" s="467"/>
      <c r="Z87" s="626"/>
      <c r="AA87" s="105"/>
      <c r="AB87" s="644"/>
      <c r="AC87" s="643"/>
      <c r="AD87" s="643"/>
      <c r="AE87" s="643"/>
    </row>
    <row r="88" spans="1:38" s="632" customFormat="1" ht="27.75" customHeight="1">
      <c r="A88" s="860"/>
      <c r="B88" s="860"/>
      <c r="C88" s="860"/>
      <c r="D88" s="642"/>
      <c r="E88" s="642"/>
      <c r="F88" s="642"/>
      <c r="G88" s="642"/>
      <c r="H88" s="641"/>
      <c r="I88" s="641"/>
      <c r="J88" s="641"/>
      <c r="K88" s="641"/>
      <c r="L88" s="641"/>
      <c r="M88" s="641"/>
      <c r="N88" s="641"/>
      <c r="O88" s="641"/>
      <c r="P88" s="641"/>
      <c r="Q88" s="639"/>
      <c r="R88" s="640"/>
      <c r="S88" s="640"/>
      <c r="T88" s="640"/>
      <c r="U88" s="640"/>
      <c r="V88" s="640"/>
      <c r="W88" s="640"/>
      <c r="X88" s="640"/>
      <c r="Y88" s="640"/>
      <c r="Z88" s="640"/>
      <c r="AA88" s="640"/>
      <c r="AB88" s="860"/>
      <c r="AC88" s="860"/>
      <c r="AD88" s="860"/>
      <c r="AE88" s="860"/>
    </row>
    <row r="89" spans="1:38" s="632" customFormat="1">
      <c r="A89" s="263"/>
      <c r="B89" s="263"/>
      <c r="C89" s="637"/>
      <c r="D89" s="636"/>
      <c r="E89" s="636"/>
      <c r="F89" s="636"/>
      <c r="G89" s="636"/>
      <c r="H89" s="636"/>
      <c r="I89" s="636"/>
      <c r="J89" s="636"/>
      <c r="K89" s="636"/>
      <c r="L89" s="636"/>
      <c r="M89" s="636"/>
      <c r="N89" s="636"/>
      <c r="O89" s="636"/>
      <c r="P89" s="636"/>
      <c r="Q89" s="636"/>
      <c r="R89" s="865" t="s">
        <v>17</v>
      </c>
      <c r="S89" s="865"/>
      <c r="T89" s="865"/>
      <c r="U89" s="865"/>
      <c r="V89" s="865"/>
      <c r="W89" s="865"/>
      <c r="X89" s="865"/>
      <c r="Y89" s="865"/>
      <c r="Z89" s="865"/>
      <c r="AA89" s="865"/>
      <c r="AB89" s="263"/>
      <c r="AF89" s="263"/>
      <c r="AG89" s="263"/>
    </row>
    <row r="90" spans="1:38" s="632" customFormat="1">
      <c r="A90" s="263"/>
      <c r="B90" s="263"/>
      <c r="C90" s="637"/>
      <c r="D90" s="636"/>
      <c r="E90" s="636"/>
      <c r="F90" s="636"/>
      <c r="G90" s="636"/>
      <c r="H90" s="636"/>
      <c r="I90" s="636"/>
      <c r="J90" s="636"/>
      <c r="K90" s="636"/>
      <c r="L90" s="636"/>
      <c r="M90" s="636"/>
      <c r="N90" s="636"/>
      <c r="O90" s="636"/>
      <c r="P90" s="636"/>
      <c r="Q90" s="639"/>
      <c r="R90" s="639"/>
      <c r="S90" s="639"/>
      <c r="T90" s="639"/>
      <c r="U90" s="638"/>
      <c r="V90" s="638"/>
      <c r="W90" s="638"/>
      <c r="X90" s="638"/>
      <c r="Y90" s="638"/>
      <c r="Z90" s="803"/>
      <c r="AA90" s="803"/>
      <c r="AB90" s="263"/>
      <c r="AC90" s="635"/>
      <c r="AD90" s="635"/>
      <c r="AE90" s="263"/>
      <c r="AF90" s="263"/>
      <c r="AG90" s="263"/>
    </row>
    <row r="91" spans="1:38" s="632" customFormat="1">
      <c r="A91" s="263"/>
      <c r="B91" s="263"/>
      <c r="C91" s="637"/>
      <c r="D91" s="636"/>
      <c r="E91" s="636"/>
      <c r="F91" s="636"/>
      <c r="G91" s="636"/>
      <c r="H91" s="636"/>
      <c r="I91" s="636"/>
      <c r="J91" s="636"/>
      <c r="K91" s="636"/>
      <c r="L91" s="636"/>
      <c r="M91" s="636"/>
      <c r="N91" s="636"/>
      <c r="O91" s="636"/>
      <c r="P91" s="636"/>
      <c r="Q91" s="636"/>
      <c r="R91" s="636"/>
      <c r="S91" s="636"/>
      <c r="T91" s="636"/>
      <c r="U91" s="522"/>
      <c r="V91" s="522"/>
      <c r="W91" s="522"/>
      <c r="X91" s="522"/>
      <c r="Y91" s="522"/>
      <c r="AB91" s="263"/>
      <c r="AC91" s="635"/>
      <c r="AD91" s="635"/>
      <c r="AE91" s="263"/>
      <c r="AF91" s="263"/>
      <c r="AG91" s="263"/>
    </row>
    <row r="92" spans="1:38" s="632" customFormat="1">
      <c r="A92" s="263"/>
      <c r="B92" s="263"/>
      <c r="C92" s="637"/>
      <c r="D92" s="636"/>
      <c r="E92" s="636"/>
      <c r="F92" s="636"/>
      <c r="G92" s="636"/>
      <c r="H92" s="636"/>
      <c r="I92" s="636"/>
      <c r="J92" s="636"/>
      <c r="K92" s="636"/>
      <c r="L92" s="636"/>
      <c r="M92" s="636"/>
      <c r="N92" s="636"/>
      <c r="O92" s="636"/>
      <c r="P92" s="636"/>
      <c r="Q92" s="803"/>
      <c r="R92" s="803"/>
      <c r="S92" s="803"/>
      <c r="T92" s="803"/>
      <c r="U92" s="803"/>
      <c r="V92" s="803"/>
      <c r="W92" s="803"/>
      <c r="X92" s="803"/>
      <c r="Y92" s="803"/>
      <c r="Z92" s="803"/>
      <c r="AA92" s="803"/>
      <c r="AB92" s="263"/>
      <c r="AC92" s="635"/>
      <c r="AD92" s="635"/>
      <c r="AE92" s="263"/>
      <c r="AF92" s="263"/>
      <c r="AG92" s="263"/>
    </row>
    <row r="93" spans="1:38" s="632" customFormat="1">
      <c r="A93" s="263"/>
      <c r="B93" s="263"/>
      <c r="C93" s="637"/>
      <c r="D93" s="636"/>
      <c r="E93" s="636"/>
      <c r="F93" s="636"/>
      <c r="G93" s="636"/>
      <c r="H93" s="636"/>
      <c r="I93" s="636"/>
      <c r="J93" s="636"/>
      <c r="K93" s="636"/>
      <c r="L93" s="636"/>
      <c r="M93" s="636"/>
      <c r="N93" s="636"/>
      <c r="O93" s="636"/>
      <c r="P93" s="636"/>
      <c r="Q93" s="639"/>
      <c r="R93" s="639"/>
      <c r="S93" s="639"/>
      <c r="T93" s="639"/>
      <c r="U93" s="638"/>
      <c r="V93" s="638"/>
      <c r="W93" s="638"/>
      <c r="X93" s="638"/>
      <c r="Y93" s="638"/>
      <c r="AB93" s="263"/>
      <c r="AC93" s="635"/>
      <c r="AD93" s="635"/>
      <c r="AE93" s="263"/>
      <c r="AF93" s="263"/>
      <c r="AG93" s="263"/>
    </row>
    <row r="94" spans="1:38" s="632" customFormat="1">
      <c r="A94" s="263"/>
      <c r="B94" s="263"/>
      <c r="C94" s="637"/>
      <c r="D94" s="636"/>
      <c r="E94" s="636"/>
      <c r="F94" s="636"/>
      <c r="G94" s="636"/>
      <c r="H94" s="636"/>
      <c r="I94" s="636"/>
      <c r="J94" s="636"/>
      <c r="K94" s="636"/>
      <c r="L94" s="636"/>
      <c r="M94" s="636"/>
      <c r="N94" s="636"/>
      <c r="O94" s="636"/>
      <c r="P94" s="636"/>
      <c r="Q94" s="636"/>
      <c r="R94" s="636"/>
      <c r="S94" s="636"/>
      <c r="T94" s="636"/>
      <c r="U94" s="522"/>
      <c r="V94" s="522"/>
      <c r="W94" s="522"/>
      <c r="X94" s="522"/>
      <c r="Y94" s="522"/>
      <c r="Z94" s="263"/>
      <c r="AA94" s="263"/>
      <c r="AB94" s="263"/>
      <c r="AC94" s="635"/>
      <c r="AD94" s="635"/>
      <c r="AE94" s="263"/>
      <c r="AF94" s="263"/>
      <c r="AG94" s="263"/>
    </row>
    <row r="95" spans="1:38" s="632" customFormat="1">
      <c r="A95" s="263"/>
      <c r="B95" s="263"/>
      <c r="C95" s="637"/>
      <c r="D95" s="636"/>
      <c r="E95" s="636"/>
      <c r="F95" s="636"/>
      <c r="G95" s="636"/>
      <c r="H95" s="636"/>
      <c r="I95" s="636"/>
      <c r="J95" s="636"/>
      <c r="K95" s="636"/>
      <c r="L95" s="636"/>
      <c r="M95" s="636"/>
      <c r="N95" s="636"/>
      <c r="O95" s="636"/>
      <c r="P95" s="636"/>
      <c r="Q95" s="636"/>
      <c r="R95" s="636"/>
      <c r="S95" s="636"/>
      <c r="T95" s="636"/>
      <c r="U95" s="522"/>
      <c r="V95" s="522"/>
      <c r="W95" s="522"/>
      <c r="X95" s="522"/>
      <c r="Y95" s="522"/>
      <c r="Z95" s="263"/>
      <c r="AA95" s="263"/>
      <c r="AB95" s="263"/>
      <c r="AC95" s="635"/>
      <c r="AD95" s="635"/>
      <c r="AE95" s="263"/>
      <c r="AF95" s="263"/>
      <c r="AG95" s="263"/>
    </row>
    <row r="96" spans="1:38" s="632" customFormat="1">
      <c r="A96" s="625"/>
      <c r="B96" s="625"/>
      <c r="C96" s="627"/>
      <c r="D96" s="634"/>
      <c r="E96" s="634"/>
      <c r="F96" s="634"/>
      <c r="G96" s="634"/>
      <c r="H96" s="634"/>
      <c r="I96" s="634"/>
      <c r="J96" s="634"/>
      <c r="K96" s="634"/>
      <c r="L96" s="634"/>
      <c r="M96" s="634"/>
      <c r="N96" s="634"/>
      <c r="O96" s="634"/>
      <c r="P96" s="634"/>
      <c r="Q96" s="634"/>
      <c r="R96" s="634"/>
      <c r="S96" s="634"/>
      <c r="T96" s="634"/>
      <c r="U96" s="633"/>
      <c r="V96" s="633"/>
      <c r="W96" s="633"/>
      <c r="X96" s="633"/>
      <c r="Y96" s="633"/>
      <c r="Z96" s="625"/>
      <c r="AA96" s="625"/>
      <c r="AB96" s="625"/>
      <c r="AC96" s="633"/>
      <c r="AD96" s="625"/>
      <c r="AE96" s="263"/>
      <c r="AF96" s="263"/>
      <c r="AG96" s="263"/>
    </row>
    <row r="97" spans="1:33" s="632" customFormat="1">
      <c r="A97" s="625"/>
      <c r="B97" s="625"/>
      <c r="C97" s="627"/>
      <c r="D97" s="634"/>
      <c r="E97" s="634"/>
      <c r="F97" s="634"/>
      <c r="G97" s="634"/>
      <c r="H97" s="634"/>
      <c r="I97" s="634"/>
      <c r="J97" s="634"/>
      <c r="K97" s="634"/>
      <c r="L97" s="634"/>
      <c r="M97" s="634"/>
      <c r="N97" s="634"/>
      <c r="O97" s="634"/>
      <c r="P97" s="634"/>
      <c r="Q97" s="634"/>
      <c r="R97" s="634"/>
      <c r="S97" s="634"/>
      <c r="T97" s="634"/>
      <c r="U97" s="633"/>
      <c r="V97" s="633"/>
      <c r="W97" s="633"/>
      <c r="X97" s="633"/>
      <c r="Y97" s="633"/>
      <c r="Z97" s="625"/>
      <c r="AA97" s="625"/>
      <c r="AB97" s="625"/>
      <c r="AC97" s="633"/>
      <c r="AD97" s="625"/>
      <c r="AE97" s="263"/>
      <c r="AF97" s="263"/>
      <c r="AG97" s="263"/>
    </row>
  </sheetData>
  <autoFilter ref="A11:AA84"/>
  <mergeCells count="36">
    <mergeCell ref="R89:AA89"/>
    <mergeCell ref="Z90:AA90"/>
    <mergeCell ref="Q92:AA92"/>
    <mergeCell ref="X11:Y11"/>
    <mergeCell ref="Z11:Z12"/>
    <mergeCell ref="AA11:AA12"/>
    <mergeCell ref="AB11:AB12"/>
    <mergeCell ref="B84:C84"/>
    <mergeCell ref="A88:C88"/>
    <mergeCell ref="AB88:AE88"/>
    <mergeCell ref="A11:A12"/>
    <mergeCell ref="B11:C11"/>
    <mergeCell ref="D11:E11"/>
    <mergeCell ref="F11:G11"/>
    <mergeCell ref="H11:I11"/>
    <mergeCell ref="J11:K11"/>
    <mergeCell ref="A7:AA7"/>
    <mergeCell ref="A8:AA8"/>
    <mergeCell ref="A86:I86"/>
    <mergeCell ref="R86:AA86"/>
    <mergeCell ref="L11:M11"/>
    <mergeCell ref="N11:O11"/>
    <mergeCell ref="P11:Q11"/>
    <mergeCell ref="R11:S11"/>
    <mergeCell ref="T11:U11"/>
    <mergeCell ref="V11:W11"/>
    <mergeCell ref="A9:AA9"/>
    <mergeCell ref="A4:H4"/>
    <mergeCell ref="M4:AA4"/>
    <mergeCell ref="A6:AA6"/>
    <mergeCell ref="A1:H1"/>
    <mergeCell ref="M1:AA1"/>
    <mergeCell ref="A2:H2"/>
    <mergeCell ref="M2:AA2"/>
    <mergeCell ref="A3:H3"/>
    <mergeCell ref="M3:AA3"/>
  </mergeCells>
  <printOptions horizontalCentered="1"/>
  <pageMargins left="0.19685039370078741" right="0.19685039370078741" top="0.43307086614173229" bottom="0.43307086614173229" header="0.23622047244094491" footer="0.23622047244094491"/>
  <pageSetup paperSize="9" scale="65" orientation="landscape" r:id="rId1"/>
  <rowBreaks count="2" manualBreakCount="2">
    <brk id="26" max="26" man="1"/>
    <brk id="49" max="2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259"/>
  <sheetViews>
    <sheetView topLeftCell="A79" zoomScale="85" zoomScaleNormal="85" workbookViewId="0">
      <selection activeCell="D90" sqref="D90"/>
    </sheetView>
  </sheetViews>
  <sheetFormatPr defaultColWidth="9" defaultRowHeight="26.25"/>
  <cols>
    <col min="1" max="1" width="7.75" style="38" customWidth="1"/>
    <col min="2" max="2" width="12.25" style="421" customWidth="1"/>
    <col min="3" max="3" width="18.25" style="29" customWidth="1"/>
    <col min="4" max="4" width="15.875" style="39" customWidth="1"/>
    <col min="5" max="5" width="9.5" style="19" bestFit="1" customWidth="1"/>
    <col min="6" max="6" width="8.375" style="19" bestFit="1" customWidth="1"/>
    <col min="7" max="7" width="10.375" style="19" bestFit="1" customWidth="1"/>
    <col min="8" max="8" width="8.375" style="19" bestFit="1" customWidth="1"/>
    <col min="9" max="9" width="10.375" style="19" bestFit="1" customWidth="1"/>
    <col min="10" max="10" width="9.625" style="19" hidden="1" customWidth="1"/>
    <col min="11" max="11" width="11.875" style="32" customWidth="1"/>
    <col min="12" max="12" width="11.125" style="19" customWidth="1"/>
    <col min="13" max="13" width="12.75" style="19" customWidth="1"/>
    <col min="14" max="14" width="9.375" style="19" hidden="1" customWidth="1"/>
    <col min="15" max="15" width="12.375" style="19" hidden="1" customWidth="1"/>
    <col min="16" max="16" width="9.25" style="19" customWidth="1"/>
    <col min="17" max="17" width="12.75" style="40" customWidth="1"/>
    <col min="18" max="18" width="11.25" style="32" bestFit="1" customWidth="1"/>
    <col min="19" max="19" width="11.625" style="19" customWidth="1"/>
    <col min="20" max="20" width="4.875" style="19" hidden="1" customWidth="1"/>
    <col min="21" max="21" width="9.375" style="4" hidden="1" customWidth="1"/>
    <col min="22" max="22" width="10.875" style="19" hidden="1" customWidth="1"/>
    <col min="23" max="23" width="12.125" style="19" hidden="1" customWidth="1"/>
    <col min="24" max="24" width="24.625" style="19" customWidth="1"/>
    <col min="25" max="25" width="10.25" style="19" customWidth="1"/>
    <col min="26" max="16384" width="9" style="19"/>
  </cols>
  <sheetData>
    <row r="1" spans="1:25" s="27" customFormat="1" ht="28.5" customHeight="1">
      <c r="A1" s="879" t="s">
        <v>0</v>
      </c>
      <c r="B1" s="879"/>
      <c r="C1" s="879"/>
      <c r="D1" s="879"/>
      <c r="E1" s="41"/>
      <c r="F1" s="41"/>
      <c r="G1" s="41"/>
      <c r="H1" s="42"/>
      <c r="I1" s="42"/>
      <c r="J1" s="42"/>
      <c r="K1" s="52"/>
      <c r="L1" s="53"/>
      <c r="M1" s="53"/>
      <c r="N1" s="53"/>
      <c r="O1" s="53"/>
      <c r="P1" s="879" t="s">
        <v>1</v>
      </c>
      <c r="Q1" s="879"/>
      <c r="R1" s="879"/>
      <c r="S1" s="879"/>
      <c r="T1" s="55"/>
      <c r="U1" s="56"/>
    </row>
    <row r="2" spans="1:25" s="33" customFormat="1" ht="18.75">
      <c r="A2" s="880" t="s">
        <v>2</v>
      </c>
      <c r="B2" s="880"/>
      <c r="C2" s="880"/>
      <c r="D2" s="880"/>
      <c r="E2" s="6"/>
      <c r="F2" s="6"/>
      <c r="G2" s="6"/>
      <c r="H2" s="28"/>
      <c r="I2" s="28"/>
      <c r="J2" s="28"/>
      <c r="K2" s="54"/>
      <c r="L2" s="2"/>
      <c r="M2" s="2"/>
      <c r="N2" s="2"/>
      <c r="O2" s="2"/>
      <c r="P2" s="759" t="s">
        <v>3</v>
      </c>
      <c r="Q2" s="759"/>
      <c r="R2" s="759"/>
      <c r="S2" s="759"/>
      <c r="T2" s="9"/>
      <c r="U2" s="9"/>
    </row>
    <row r="3" spans="1:25" s="27" customFormat="1" ht="27.75" customHeight="1">
      <c r="A3" s="879" t="s">
        <v>4</v>
      </c>
      <c r="B3" s="879"/>
      <c r="C3" s="879"/>
      <c r="D3" s="879"/>
      <c r="E3" s="41"/>
      <c r="F3" s="41"/>
      <c r="G3" s="41"/>
      <c r="H3" s="42"/>
      <c r="I3" s="42"/>
      <c r="J3" s="42"/>
      <c r="K3" s="52"/>
      <c r="L3" s="53"/>
      <c r="M3" s="53"/>
      <c r="N3" s="53"/>
      <c r="O3" s="53"/>
      <c r="P3" s="879" t="s">
        <v>5</v>
      </c>
      <c r="Q3" s="879"/>
      <c r="R3" s="879"/>
      <c r="S3" s="879"/>
      <c r="T3" s="55"/>
      <c r="U3" s="56"/>
    </row>
    <row r="4" spans="1:25" s="33" customFormat="1" ht="18.75">
      <c r="A4" s="880" t="s">
        <v>6</v>
      </c>
      <c r="B4" s="880"/>
      <c r="C4" s="880"/>
      <c r="D4" s="880"/>
      <c r="E4" s="6"/>
      <c r="F4" s="6"/>
      <c r="G4" s="6"/>
      <c r="H4" s="28"/>
      <c r="I4" s="28"/>
      <c r="J4" s="28"/>
      <c r="K4" s="17"/>
      <c r="L4" s="4"/>
      <c r="M4" s="4"/>
      <c r="N4" s="4"/>
      <c r="O4" s="4"/>
      <c r="P4" s="883" t="s">
        <v>7</v>
      </c>
      <c r="Q4" s="883"/>
      <c r="R4" s="883"/>
      <c r="S4" s="883"/>
      <c r="T4" s="3"/>
      <c r="U4" s="3"/>
    </row>
    <row r="5" spans="1:25" s="34" customFormat="1" ht="33.75" customHeight="1">
      <c r="A5" s="866" t="s">
        <v>366</v>
      </c>
      <c r="B5" s="866"/>
      <c r="C5" s="866"/>
      <c r="D5" s="866"/>
      <c r="E5" s="866"/>
      <c r="F5" s="866"/>
      <c r="G5" s="866"/>
      <c r="H5" s="866"/>
      <c r="I5" s="866"/>
      <c r="J5" s="866"/>
      <c r="K5" s="866"/>
      <c r="L5" s="866"/>
      <c r="M5" s="866"/>
      <c r="N5" s="866"/>
      <c r="O5" s="866"/>
      <c r="P5" s="866"/>
      <c r="Q5" s="866"/>
      <c r="R5" s="866"/>
      <c r="S5" s="866"/>
      <c r="T5" s="57"/>
      <c r="U5" s="57"/>
    </row>
    <row r="6" spans="1:25" s="34" customFormat="1" ht="31.5" customHeight="1">
      <c r="A6" s="867" t="s">
        <v>367</v>
      </c>
      <c r="B6" s="868"/>
      <c r="C6" s="868"/>
      <c r="D6" s="868"/>
      <c r="E6" s="868"/>
      <c r="F6" s="868"/>
      <c r="G6" s="868"/>
      <c r="H6" s="868"/>
      <c r="I6" s="868"/>
      <c r="J6" s="868"/>
      <c r="K6" s="868"/>
      <c r="L6" s="868"/>
      <c r="M6" s="868"/>
      <c r="N6" s="868"/>
      <c r="O6" s="868"/>
      <c r="P6" s="868"/>
      <c r="Q6" s="868"/>
      <c r="R6" s="868"/>
      <c r="S6" s="868"/>
      <c r="T6" s="58"/>
      <c r="U6" s="58"/>
    </row>
    <row r="7" spans="1:25" s="4" customFormat="1" ht="26.25" customHeight="1">
      <c r="A7" s="869" t="s">
        <v>368</v>
      </c>
      <c r="B7" s="869"/>
      <c r="C7" s="869"/>
      <c r="D7" s="869"/>
      <c r="E7" s="869"/>
      <c r="F7" s="869"/>
      <c r="G7" s="869"/>
      <c r="H7" s="869"/>
      <c r="I7" s="869"/>
      <c r="J7" s="869"/>
      <c r="K7" s="869"/>
      <c r="L7" s="869"/>
      <c r="M7" s="869"/>
      <c r="N7" s="869"/>
      <c r="O7" s="869"/>
      <c r="P7" s="869"/>
      <c r="Q7" s="869"/>
      <c r="R7" s="869"/>
      <c r="S7" s="869"/>
      <c r="T7" s="23"/>
      <c r="U7" s="23"/>
    </row>
    <row r="8" spans="1:25" s="4" customFormat="1" ht="21.75" customHeight="1">
      <c r="A8" s="881" t="s">
        <v>369</v>
      </c>
      <c r="B8" s="881"/>
      <c r="C8" s="881"/>
      <c r="D8" s="881"/>
      <c r="E8" s="881"/>
      <c r="F8" s="881"/>
      <c r="G8" s="881"/>
      <c r="H8" s="881"/>
      <c r="I8" s="881"/>
      <c r="J8" s="881"/>
      <c r="K8" s="881"/>
      <c r="L8" s="881"/>
      <c r="M8" s="881"/>
      <c r="N8" s="881"/>
      <c r="O8" s="881"/>
      <c r="P8" s="881"/>
      <c r="Q8" s="881"/>
      <c r="R8" s="881"/>
      <c r="S8" s="881"/>
      <c r="T8" s="23"/>
      <c r="U8" s="23"/>
    </row>
    <row r="9" spans="1:25" s="4" customFormat="1" ht="25.5" customHeight="1">
      <c r="A9" s="43"/>
      <c r="B9" s="417"/>
      <c r="C9" s="20"/>
      <c r="D9" s="44"/>
      <c r="K9" s="17"/>
      <c r="Q9" s="59"/>
      <c r="R9" s="60" t="s">
        <v>174</v>
      </c>
      <c r="S9" s="61" t="s">
        <v>175</v>
      </c>
      <c r="T9" s="62"/>
      <c r="U9" s="62"/>
    </row>
    <row r="10" spans="1:25" s="4" customFormat="1" ht="74.25" customHeight="1">
      <c r="A10" s="885" t="s">
        <v>224</v>
      </c>
      <c r="B10" s="882" t="s">
        <v>230</v>
      </c>
      <c r="C10" s="882"/>
      <c r="D10" s="887" t="s">
        <v>231</v>
      </c>
      <c r="E10" s="882" t="s">
        <v>232</v>
      </c>
      <c r="F10" s="882" t="s">
        <v>344</v>
      </c>
      <c r="G10" s="882"/>
      <c r="H10" s="882" t="s">
        <v>343</v>
      </c>
      <c r="I10" s="882"/>
      <c r="J10" s="882" t="s">
        <v>177</v>
      </c>
      <c r="K10" s="872" t="s">
        <v>235</v>
      </c>
      <c r="L10" s="882" t="s">
        <v>225</v>
      </c>
      <c r="M10" s="882"/>
      <c r="N10" s="882"/>
      <c r="O10" s="882"/>
      <c r="P10" s="882"/>
      <c r="Q10" s="870" t="s">
        <v>238</v>
      </c>
      <c r="R10" s="872" t="s">
        <v>239</v>
      </c>
      <c r="S10" s="873" t="s">
        <v>240</v>
      </c>
      <c r="T10" s="24"/>
      <c r="U10" s="875" t="s">
        <v>178</v>
      </c>
      <c r="V10" s="876" t="s">
        <v>179</v>
      </c>
    </row>
    <row r="11" spans="1:25" s="4" customFormat="1" ht="106.5" customHeight="1">
      <c r="A11" s="886"/>
      <c r="B11" s="422" t="s">
        <v>228</v>
      </c>
      <c r="C11" s="422" t="s">
        <v>229</v>
      </c>
      <c r="D11" s="888"/>
      <c r="E11" s="882"/>
      <c r="F11" s="423" t="s">
        <v>233</v>
      </c>
      <c r="G11" s="423" t="s">
        <v>234</v>
      </c>
      <c r="H11" s="423" t="s">
        <v>233</v>
      </c>
      <c r="I11" s="423" t="s">
        <v>234</v>
      </c>
      <c r="J11" s="882"/>
      <c r="K11" s="872"/>
      <c r="L11" s="424" t="s">
        <v>236</v>
      </c>
      <c r="M11" s="425" t="s">
        <v>345</v>
      </c>
      <c r="N11" s="425" t="s">
        <v>226</v>
      </c>
      <c r="O11" s="425" t="s">
        <v>227</v>
      </c>
      <c r="P11" s="424" t="s">
        <v>237</v>
      </c>
      <c r="Q11" s="871"/>
      <c r="R11" s="872"/>
      <c r="S11" s="874"/>
      <c r="T11" s="48"/>
      <c r="U11" s="875"/>
      <c r="V11" s="876"/>
      <c r="W11" s="63" t="s">
        <v>180</v>
      </c>
      <c r="X11" s="64"/>
    </row>
    <row r="12" spans="1:25" s="4" customFormat="1" ht="24.95" customHeight="1">
      <c r="A12" s="46" t="s">
        <v>35</v>
      </c>
      <c r="B12" s="418" t="s">
        <v>36</v>
      </c>
      <c r="C12" s="48" t="s">
        <v>181</v>
      </c>
      <c r="D12" s="48" t="s">
        <v>182</v>
      </c>
      <c r="E12" s="47">
        <v>1</v>
      </c>
      <c r="F12" s="241">
        <v>2</v>
      </c>
      <c r="G12" s="241">
        <v>3</v>
      </c>
      <c r="H12" s="241">
        <v>4</v>
      </c>
      <c r="I12" s="241">
        <v>5</v>
      </c>
      <c r="J12" s="241">
        <v>6</v>
      </c>
      <c r="K12" s="561">
        <v>6</v>
      </c>
      <c r="L12" s="561">
        <v>7</v>
      </c>
      <c r="M12" s="561">
        <v>8</v>
      </c>
      <c r="N12" s="561">
        <v>9</v>
      </c>
      <c r="O12" s="561">
        <v>10</v>
      </c>
      <c r="P12" s="561">
        <v>11</v>
      </c>
      <c r="Q12" s="561">
        <v>12</v>
      </c>
      <c r="R12" s="561">
        <v>13</v>
      </c>
      <c r="S12" s="561">
        <v>14</v>
      </c>
      <c r="T12" s="65"/>
      <c r="U12" s="66"/>
      <c r="V12" s="30"/>
    </row>
    <row r="13" spans="1:25" s="4" customFormat="1" ht="24.95" customHeight="1">
      <c r="A13" s="10">
        <v>1</v>
      </c>
      <c r="B13" s="74" t="s">
        <v>55</v>
      </c>
      <c r="C13" s="415" t="s">
        <v>56</v>
      </c>
      <c r="D13" s="382">
        <v>150952531</v>
      </c>
      <c r="E13" s="426">
        <v>31947</v>
      </c>
      <c r="F13" s="453">
        <f>VLOOKUP(B13,'KLCN t1 dot 1'!$B$13:$Z$83,25,0)</f>
        <v>13.11</v>
      </c>
      <c r="G13" s="427">
        <f t="shared" ref="G13:G76" si="0">ROUND(F13*E13,0)</f>
        <v>418825</v>
      </c>
      <c r="H13" s="453"/>
      <c r="I13" s="427"/>
      <c r="J13" s="427"/>
      <c r="K13" s="428">
        <f>I13+J13+G13</f>
        <v>418825</v>
      </c>
      <c r="L13" s="588"/>
      <c r="M13" s="429">
        <f>IF(G13&lt;=400000,400000*2%,IF(G13&lt;=1200000,ROUND(G13*2%,0),ROUND(1200000*2%,0)))</f>
        <v>8377</v>
      </c>
      <c r="N13" s="429"/>
      <c r="O13" s="429"/>
      <c r="P13" s="430">
        <f>ROUND(IF((K13-J13-N13)&lt;=1500000,0,IF(AND(((K13-J13-N13))&gt;1500000,((K13-J13-N13))&lt;=2000000),((K13-J13-N13))*5%-75000,IF(AND(((K13-J13-N13))&gt;2000000,((K13-J13-N13))&lt;=8500000),((K13-J13-N13))*10%-175000))),0)</f>
        <v>0</v>
      </c>
      <c r="Q13" s="431">
        <f t="shared" ref="Q13:Q75" si="1">L13+M13+O13+P13</f>
        <v>8377</v>
      </c>
      <c r="R13" s="427">
        <f t="shared" ref="R13:R79" si="2">ROUND(K13-Q13,0)</f>
        <v>410448</v>
      </c>
      <c r="S13" s="65"/>
      <c r="T13" s="67"/>
      <c r="U13" s="66">
        <v>50000</v>
      </c>
      <c r="V13" s="50">
        <f>+R13-U13</f>
        <v>360448</v>
      </c>
      <c r="W13" s="17" t="e">
        <f>#REF!</f>
        <v>#REF!</v>
      </c>
      <c r="X13" s="50">
        <v>200000</v>
      </c>
    </row>
    <row r="14" spans="1:25" s="35" customFormat="1" ht="24.95" customHeight="1">
      <c r="A14" s="10">
        <f>+A13+1</f>
        <v>2</v>
      </c>
      <c r="B14" s="415" t="s">
        <v>57</v>
      </c>
      <c r="C14" s="371" t="s">
        <v>58</v>
      </c>
      <c r="D14" s="382">
        <v>110471355</v>
      </c>
      <c r="E14" s="426">
        <v>31947</v>
      </c>
      <c r="F14" s="453">
        <f>VLOOKUP(B14,'KLCN t1 dot 1'!$B$13:$Z$83,25,0)</f>
        <v>20.189999999999998</v>
      </c>
      <c r="G14" s="427">
        <f t="shared" si="0"/>
        <v>645010</v>
      </c>
      <c r="H14" s="453"/>
      <c r="I14" s="427"/>
      <c r="J14" s="427"/>
      <c r="K14" s="428">
        <f t="shared" ref="K14:K79" si="3">I14+J14+G14</f>
        <v>645010</v>
      </c>
      <c r="L14" s="588"/>
      <c r="M14" s="429">
        <f t="shared" ref="M14:M76" si="4">IF(G14&lt;=400000,400000*2%,IF(G14&lt;=1200000,ROUND(G14*2%,0),ROUND(1200000*2%,0)))</f>
        <v>12900</v>
      </c>
      <c r="N14" s="429"/>
      <c r="O14" s="429"/>
      <c r="P14" s="430">
        <f t="shared" ref="P14:P75" si="5">ROUND(IF((K14-J14-N14)&lt;=1500000,0,IF(AND(((K14-J14-N14))&gt;1500000,((K14-J14-N14))&lt;=2000000),((K14-J14-N14))*5%-75000,IF(AND(((K14-J14-N14))&gt;2000000,((K14-J14-N14))&lt;=8500000),((K14-J14-N14))*10%-175000))),0)</f>
        <v>0</v>
      </c>
      <c r="Q14" s="431">
        <f t="shared" si="1"/>
        <v>12900</v>
      </c>
      <c r="R14" s="427">
        <f t="shared" si="2"/>
        <v>632110</v>
      </c>
      <c r="S14" s="68"/>
      <c r="T14" s="69"/>
      <c r="U14" s="50">
        <v>200000</v>
      </c>
      <c r="V14" s="50">
        <f>+R14-U14</f>
        <v>432110</v>
      </c>
      <c r="W14" s="17" t="e">
        <f>+#REF!</f>
        <v>#REF!</v>
      </c>
      <c r="X14" s="17">
        <v>300000</v>
      </c>
      <c r="Y14" s="73"/>
    </row>
    <row r="15" spans="1:25" s="35" customFormat="1" ht="24.95" customHeight="1">
      <c r="A15" s="51">
        <f t="shared" ref="A15:A81" si="6">+A14+1</f>
        <v>3</v>
      </c>
      <c r="B15" s="74" t="s">
        <v>60</v>
      </c>
      <c r="C15" s="415" t="s">
        <v>61</v>
      </c>
      <c r="D15" s="382">
        <v>150981478</v>
      </c>
      <c r="E15" s="426">
        <v>31947</v>
      </c>
      <c r="F15" s="453">
        <f>VLOOKUP(B15,'KLCN t1 dot 1'!$B$13:$Z$83,25,0)</f>
        <v>12.22</v>
      </c>
      <c r="G15" s="427">
        <f t="shared" si="0"/>
        <v>390392</v>
      </c>
      <c r="H15" s="453"/>
      <c r="I15" s="427"/>
      <c r="J15" s="427"/>
      <c r="K15" s="428">
        <f t="shared" si="3"/>
        <v>390392</v>
      </c>
      <c r="L15" s="588"/>
      <c r="M15" s="429">
        <f t="shared" si="4"/>
        <v>8000</v>
      </c>
      <c r="N15" s="429"/>
      <c r="O15" s="429"/>
      <c r="P15" s="430">
        <f t="shared" si="5"/>
        <v>0</v>
      </c>
      <c r="Q15" s="431">
        <f t="shared" si="1"/>
        <v>8000</v>
      </c>
      <c r="R15" s="427">
        <f t="shared" si="2"/>
        <v>382392</v>
      </c>
      <c r="S15" s="68"/>
      <c r="T15" s="69"/>
      <c r="U15" s="50"/>
      <c r="V15" s="50">
        <f>R15-U15</f>
        <v>382392</v>
      </c>
      <c r="W15" s="17" t="e">
        <f>+#REF!</f>
        <v>#REF!</v>
      </c>
      <c r="X15" s="17">
        <v>200000</v>
      </c>
      <c r="Y15" s="73"/>
    </row>
    <row r="16" spans="1:25" s="35" customFormat="1" ht="24.95" customHeight="1">
      <c r="A16" s="51">
        <f t="shared" si="6"/>
        <v>4</v>
      </c>
      <c r="B16" s="25" t="s">
        <v>62</v>
      </c>
      <c r="C16" s="442" t="s">
        <v>63</v>
      </c>
      <c r="D16" s="382">
        <v>150644309</v>
      </c>
      <c r="E16" s="426">
        <v>31947</v>
      </c>
      <c r="F16" s="453">
        <f>VLOOKUP(B16,'KLCN t1 dot 1'!$B$13:$Z$83,25,0)</f>
        <v>25.66</v>
      </c>
      <c r="G16" s="427">
        <f t="shared" si="0"/>
        <v>819760</v>
      </c>
      <c r="H16" s="453"/>
      <c r="I16" s="427"/>
      <c r="J16" s="427"/>
      <c r="K16" s="428">
        <f t="shared" si="3"/>
        <v>819760</v>
      </c>
      <c r="L16" s="588"/>
      <c r="M16" s="429">
        <f t="shared" si="4"/>
        <v>16395</v>
      </c>
      <c r="N16" s="429"/>
      <c r="O16" s="429"/>
      <c r="P16" s="430">
        <f t="shared" si="5"/>
        <v>0</v>
      </c>
      <c r="Q16" s="431">
        <f t="shared" si="1"/>
        <v>16395</v>
      </c>
      <c r="R16" s="427">
        <f t="shared" si="2"/>
        <v>803365</v>
      </c>
      <c r="S16" s="68"/>
      <c r="T16" s="69"/>
      <c r="U16" s="50">
        <v>100000</v>
      </c>
      <c r="V16" s="50">
        <f>R16-U16</f>
        <v>703365</v>
      </c>
      <c r="W16" s="17" t="e">
        <f>+#REF!</f>
        <v>#REF!</v>
      </c>
      <c r="X16" s="17">
        <v>200000</v>
      </c>
      <c r="Y16" s="73"/>
    </row>
    <row r="17" spans="1:25" s="35" customFormat="1" ht="24.95" customHeight="1">
      <c r="A17" s="51">
        <f t="shared" si="6"/>
        <v>5</v>
      </c>
      <c r="B17" s="74" t="s">
        <v>64</v>
      </c>
      <c r="C17" s="415" t="s">
        <v>65</v>
      </c>
      <c r="D17" s="382">
        <v>220195668</v>
      </c>
      <c r="E17" s="426">
        <v>31947</v>
      </c>
      <c r="F17" s="453">
        <f>VLOOKUP(B17,'KLCN t1 dot 1'!$B$13:$Z$83,25,0)</f>
        <v>16.260000000000002</v>
      </c>
      <c r="G17" s="427">
        <f t="shared" si="0"/>
        <v>519458</v>
      </c>
      <c r="H17" s="453"/>
      <c r="I17" s="427"/>
      <c r="J17" s="427"/>
      <c r="K17" s="428">
        <f t="shared" si="3"/>
        <v>519458</v>
      </c>
      <c r="L17" s="588"/>
      <c r="M17" s="429">
        <f t="shared" si="4"/>
        <v>10389</v>
      </c>
      <c r="N17" s="429"/>
      <c r="O17" s="429"/>
      <c r="P17" s="430">
        <f t="shared" si="5"/>
        <v>0</v>
      </c>
      <c r="Q17" s="431">
        <f t="shared" si="1"/>
        <v>10389</v>
      </c>
      <c r="R17" s="427">
        <f t="shared" si="2"/>
        <v>509069</v>
      </c>
      <c r="S17" s="68"/>
      <c r="T17" s="69"/>
      <c r="U17" s="50">
        <v>200000</v>
      </c>
      <c r="V17" s="50">
        <f>R17-U17</f>
        <v>309069</v>
      </c>
      <c r="W17" s="17" t="e">
        <f>+#REF!</f>
        <v>#REF!</v>
      </c>
      <c r="X17" s="17">
        <v>300000</v>
      </c>
      <c r="Y17" s="73"/>
    </row>
    <row r="18" spans="1:25" s="35" customFormat="1" ht="24.95" customHeight="1">
      <c r="A18" s="51">
        <f t="shared" si="6"/>
        <v>6</v>
      </c>
      <c r="B18" s="346" t="s">
        <v>66</v>
      </c>
      <c r="C18" s="370" t="s">
        <v>67</v>
      </c>
      <c r="D18" s="382">
        <v>220208913</v>
      </c>
      <c r="E18" s="426">
        <v>31947</v>
      </c>
      <c r="F18" s="453">
        <f>VLOOKUP(B18,'KLCN t1 dot 1'!$B$13:$Z$83,25,0)</f>
        <v>25.56</v>
      </c>
      <c r="G18" s="427">
        <f t="shared" si="0"/>
        <v>816565</v>
      </c>
      <c r="H18" s="453"/>
      <c r="I18" s="427"/>
      <c r="J18" s="427"/>
      <c r="K18" s="428">
        <f t="shared" si="3"/>
        <v>816565</v>
      </c>
      <c r="L18" s="588"/>
      <c r="M18" s="429">
        <f t="shared" si="4"/>
        <v>16331</v>
      </c>
      <c r="N18" s="429"/>
      <c r="O18" s="429"/>
      <c r="P18" s="430">
        <f t="shared" si="5"/>
        <v>0</v>
      </c>
      <c r="Q18" s="431">
        <f t="shared" si="1"/>
        <v>16331</v>
      </c>
      <c r="R18" s="427">
        <f t="shared" si="2"/>
        <v>800234</v>
      </c>
      <c r="S18" s="65"/>
      <c r="T18" s="69"/>
      <c r="U18" s="50"/>
      <c r="V18" s="70">
        <f>SUM(V32:V66)</f>
        <v>2266470</v>
      </c>
      <c r="W18" s="71"/>
      <c r="X18" s="54">
        <f>SUM(X32:X66)</f>
        <v>600000</v>
      </c>
      <c r="Y18" s="73"/>
    </row>
    <row r="19" spans="1:25" s="35" customFormat="1" ht="24.95" customHeight="1">
      <c r="A19" s="51">
        <f t="shared" si="6"/>
        <v>7</v>
      </c>
      <c r="B19" s="567" t="s">
        <v>68</v>
      </c>
      <c r="C19" s="568" t="s">
        <v>69</v>
      </c>
      <c r="D19" s="569">
        <v>150911076</v>
      </c>
      <c r="E19" s="426">
        <v>31947</v>
      </c>
      <c r="F19" s="453">
        <f>VLOOKUP(B19,'KLCN t1 dot 1'!$B$13:$Z$83,25,0)</f>
        <v>22.130000000000003</v>
      </c>
      <c r="G19" s="427">
        <f t="shared" si="0"/>
        <v>706987</v>
      </c>
      <c r="H19" s="453"/>
      <c r="I19" s="427"/>
      <c r="J19" s="427"/>
      <c r="K19" s="428">
        <f t="shared" si="3"/>
        <v>706987</v>
      </c>
      <c r="L19" s="588"/>
      <c r="M19" s="429">
        <f t="shared" si="4"/>
        <v>14140</v>
      </c>
      <c r="N19" s="429"/>
      <c r="O19" s="429"/>
      <c r="P19" s="430">
        <f t="shared" si="5"/>
        <v>0</v>
      </c>
      <c r="Q19" s="431">
        <f t="shared" si="1"/>
        <v>14140</v>
      </c>
      <c r="R19" s="427">
        <f t="shared" si="2"/>
        <v>692847</v>
      </c>
      <c r="S19" s="65"/>
      <c r="T19" s="69"/>
      <c r="U19" s="50"/>
      <c r="V19" s="70"/>
      <c r="W19" s="71"/>
      <c r="X19" s="54"/>
      <c r="Y19" s="73"/>
    </row>
    <row r="20" spans="1:25" s="35" customFormat="1" ht="24.95" customHeight="1">
      <c r="A20" s="51">
        <f t="shared" si="6"/>
        <v>8</v>
      </c>
      <c r="B20" s="570" t="s">
        <v>70</v>
      </c>
      <c r="C20" s="369" t="s">
        <v>71</v>
      </c>
      <c r="D20" s="569">
        <v>220102094</v>
      </c>
      <c r="E20" s="426">
        <v>31947</v>
      </c>
      <c r="F20" s="453">
        <f>VLOOKUP(B20,'KLCN t1 dot 1'!$B$13:$Z$83,25,0)</f>
        <v>20.369999999999997</v>
      </c>
      <c r="G20" s="427">
        <f t="shared" si="0"/>
        <v>650760</v>
      </c>
      <c r="H20" s="453"/>
      <c r="I20" s="427"/>
      <c r="J20" s="427"/>
      <c r="K20" s="428">
        <f t="shared" si="3"/>
        <v>650760</v>
      </c>
      <c r="L20" s="588"/>
      <c r="M20" s="429">
        <f t="shared" si="4"/>
        <v>13015</v>
      </c>
      <c r="N20" s="429"/>
      <c r="O20" s="429"/>
      <c r="P20" s="430">
        <f t="shared" si="5"/>
        <v>0</v>
      </c>
      <c r="Q20" s="431">
        <f t="shared" si="1"/>
        <v>13015</v>
      </c>
      <c r="R20" s="427">
        <f t="shared" si="2"/>
        <v>637745</v>
      </c>
      <c r="S20" s="65"/>
      <c r="T20" s="69"/>
      <c r="U20" s="50"/>
      <c r="V20" s="70"/>
      <c r="W20" s="71"/>
      <c r="X20" s="54"/>
      <c r="Y20" s="73"/>
    </row>
    <row r="21" spans="1:25" s="35" customFormat="1" ht="24.95" customHeight="1">
      <c r="A21" s="51">
        <f t="shared" si="6"/>
        <v>9</v>
      </c>
      <c r="B21" s="570" t="s">
        <v>74</v>
      </c>
      <c r="C21" s="571" t="s">
        <v>75</v>
      </c>
      <c r="D21" s="569">
        <v>210050404</v>
      </c>
      <c r="E21" s="426">
        <v>31947</v>
      </c>
      <c r="F21" s="453">
        <f>VLOOKUP(B21,'KLCN t1 dot 1'!$B$13:$Z$83,25,0)</f>
        <v>13.09</v>
      </c>
      <c r="G21" s="427">
        <f t="shared" si="0"/>
        <v>418186</v>
      </c>
      <c r="H21" s="453"/>
      <c r="I21" s="427"/>
      <c r="J21" s="427"/>
      <c r="K21" s="428">
        <f t="shared" si="3"/>
        <v>418186</v>
      </c>
      <c r="L21" s="588"/>
      <c r="M21" s="429">
        <f t="shared" si="4"/>
        <v>8364</v>
      </c>
      <c r="N21" s="429"/>
      <c r="O21" s="429"/>
      <c r="P21" s="430">
        <f t="shared" si="5"/>
        <v>0</v>
      </c>
      <c r="Q21" s="431">
        <f t="shared" si="1"/>
        <v>8364</v>
      </c>
      <c r="R21" s="427">
        <f t="shared" si="2"/>
        <v>409822</v>
      </c>
      <c r="S21" s="65"/>
      <c r="T21" s="69"/>
      <c r="U21" s="50"/>
      <c r="V21" s="70"/>
      <c r="W21" s="71"/>
      <c r="X21" s="54"/>
      <c r="Y21" s="73"/>
    </row>
    <row r="22" spans="1:25" s="35" customFormat="1" ht="24.95" customHeight="1">
      <c r="A22" s="51">
        <f t="shared" si="6"/>
        <v>10</v>
      </c>
      <c r="B22" s="570" t="s">
        <v>76</v>
      </c>
      <c r="C22" s="572" t="s">
        <v>77</v>
      </c>
      <c r="D22" s="573">
        <v>151006137</v>
      </c>
      <c r="E22" s="426">
        <v>31947</v>
      </c>
      <c r="F22" s="453">
        <f>VLOOKUP(B22,'KLCN t1 dot 1'!$B$13:$Z$83,25,0)</f>
        <v>10.91</v>
      </c>
      <c r="G22" s="427">
        <f t="shared" si="0"/>
        <v>348542</v>
      </c>
      <c r="H22" s="453"/>
      <c r="I22" s="427"/>
      <c r="J22" s="427"/>
      <c r="K22" s="428">
        <f t="shared" si="3"/>
        <v>348542</v>
      </c>
      <c r="L22" s="588"/>
      <c r="M22" s="429">
        <f t="shared" si="4"/>
        <v>8000</v>
      </c>
      <c r="N22" s="429"/>
      <c r="O22" s="429"/>
      <c r="P22" s="430">
        <f t="shared" si="5"/>
        <v>0</v>
      </c>
      <c r="Q22" s="431">
        <f t="shared" si="1"/>
        <v>8000</v>
      </c>
      <c r="R22" s="427">
        <f t="shared" si="2"/>
        <v>340542</v>
      </c>
      <c r="S22" s="65"/>
      <c r="T22" s="69"/>
      <c r="U22" s="50"/>
      <c r="V22" s="70"/>
      <c r="W22" s="71"/>
      <c r="X22" s="54"/>
      <c r="Y22" s="73"/>
    </row>
    <row r="23" spans="1:25" s="35" customFormat="1" ht="24.95" customHeight="1">
      <c r="A23" s="51">
        <f t="shared" si="6"/>
        <v>11</v>
      </c>
      <c r="B23" s="570" t="s">
        <v>78</v>
      </c>
      <c r="C23" s="574" t="s">
        <v>79</v>
      </c>
      <c r="D23" s="569" t="s">
        <v>183</v>
      </c>
      <c r="E23" s="426">
        <v>31947</v>
      </c>
      <c r="F23" s="453">
        <f>VLOOKUP(B23,'KLCN t1 dot 1'!$B$13:$Z$83,25,0)</f>
        <v>22.119999999999997</v>
      </c>
      <c r="G23" s="427">
        <f t="shared" si="0"/>
        <v>706668</v>
      </c>
      <c r="H23" s="453"/>
      <c r="I23" s="427"/>
      <c r="J23" s="427"/>
      <c r="K23" s="428">
        <f t="shared" si="3"/>
        <v>706668</v>
      </c>
      <c r="L23" s="588"/>
      <c r="M23" s="429">
        <f t="shared" si="4"/>
        <v>14133</v>
      </c>
      <c r="N23" s="429"/>
      <c r="O23" s="429"/>
      <c r="P23" s="430">
        <f t="shared" si="5"/>
        <v>0</v>
      </c>
      <c r="Q23" s="431">
        <f t="shared" si="1"/>
        <v>14133</v>
      </c>
      <c r="R23" s="427">
        <f t="shared" si="2"/>
        <v>692535</v>
      </c>
      <c r="S23" s="65"/>
      <c r="T23" s="69"/>
      <c r="U23" s="50"/>
      <c r="V23" s="70"/>
      <c r="W23" s="71"/>
      <c r="X23" s="54"/>
      <c r="Y23" s="73"/>
    </row>
    <row r="24" spans="1:25" s="35" customFormat="1" ht="24.95" customHeight="1">
      <c r="A24" s="51">
        <f t="shared" si="6"/>
        <v>12</v>
      </c>
      <c r="B24" s="570" t="s">
        <v>80</v>
      </c>
      <c r="C24" s="574" t="s">
        <v>81</v>
      </c>
      <c r="D24" s="569">
        <v>150469697</v>
      </c>
      <c r="E24" s="426">
        <v>31947</v>
      </c>
      <c r="F24" s="453">
        <f>VLOOKUP(B24,'KLCN t1 dot 1'!$B$13:$Z$83,25,0)</f>
        <v>15.7</v>
      </c>
      <c r="G24" s="427">
        <f t="shared" si="0"/>
        <v>501568</v>
      </c>
      <c r="H24" s="453"/>
      <c r="I24" s="427"/>
      <c r="J24" s="427"/>
      <c r="K24" s="428">
        <f t="shared" si="3"/>
        <v>501568</v>
      </c>
      <c r="L24" s="588"/>
      <c r="M24" s="429">
        <f t="shared" si="4"/>
        <v>10031</v>
      </c>
      <c r="N24" s="429"/>
      <c r="O24" s="429"/>
      <c r="P24" s="430">
        <f t="shared" si="5"/>
        <v>0</v>
      </c>
      <c r="Q24" s="431">
        <f t="shared" si="1"/>
        <v>10031</v>
      </c>
      <c r="R24" s="427">
        <f t="shared" si="2"/>
        <v>491537</v>
      </c>
      <c r="S24" s="65"/>
      <c r="T24" s="69"/>
      <c r="U24" s="50"/>
      <c r="V24" s="70"/>
      <c r="W24" s="71"/>
      <c r="X24" s="54"/>
      <c r="Y24" s="73"/>
    </row>
    <row r="25" spans="1:25" s="35" customFormat="1" ht="24.95" customHeight="1">
      <c r="A25" s="51">
        <f t="shared" si="6"/>
        <v>13</v>
      </c>
      <c r="B25" s="570" t="s">
        <v>82</v>
      </c>
      <c r="C25" s="574" t="s">
        <v>83</v>
      </c>
      <c r="D25" s="569">
        <v>150927708</v>
      </c>
      <c r="E25" s="426">
        <v>31947</v>
      </c>
      <c r="F25" s="453">
        <f>VLOOKUP(B25,'KLCN t1 dot 1'!$B$13:$Z$83,25,0)</f>
        <v>13.09</v>
      </c>
      <c r="G25" s="427">
        <f t="shared" si="0"/>
        <v>418186</v>
      </c>
      <c r="H25" s="453"/>
      <c r="I25" s="427"/>
      <c r="J25" s="427"/>
      <c r="K25" s="428">
        <f t="shared" si="3"/>
        <v>418186</v>
      </c>
      <c r="L25" s="588"/>
      <c r="M25" s="429">
        <f t="shared" si="4"/>
        <v>8364</v>
      </c>
      <c r="N25" s="429"/>
      <c r="O25" s="429"/>
      <c r="P25" s="430">
        <f t="shared" si="5"/>
        <v>0</v>
      </c>
      <c r="Q25" s="431">
        <f t="shared" si="1"/>
        <v>8364</v>
      </c>
      <c r="R25" s="427">
        <f t="shared" si="2"/>
        <v>409822</v>
      </c>
      <c r="S25" s="65"/>
      <c r="T25" s="69"/>
      <c r="U25" s="50"/>
      <c r="V25" s="70"/>
      <c r="W25" s="71"/>
      <c r="X25" s="54"/>
      <c r="Y25" s="73"/>
    </row>
    <row r="26" spans="1:25" s="35" customFormat="1" ht="24.95" customHeight="1">
      <c r="A26" s="51">
        <f t="shared" si="6"/>
        <v>14</v>
      </c>
      <c r="B26" s="576" t="s">
        <v>84</v>
      </c>
      <c r="C26" s="577" t="s">
        <v>85</v>
      </c>
      <c r="D26" s="569">
        <v>151034061</v>
      </c>
      <c r="E26" s="426">
        <v>31947</v>
      </c>
      <c r="F26" s="453">
        <f>VLOOKUP(B26,'KLCN t1 dot 1'!$B$13:$Z$83,25,0)</f>
        <v>9.85</v>
      </c>
      <c r="G26" s="427">
        <f t="shared" si="0"/>
        <v>314678</v>
      </c>
      <c r="H26" s="453"/>
      <c r="I26" s="427"/>
      <c r="J26" s="427"/>
      <c r="K26" s="428">
        <f t="shared" si="3"/>
        <v>314678</v>
      </c>
      <c r="L26" s="588"/>
      <c r="M26" s="429">
        <f t="shared" si="4"/>
        <v>8000</v>
      </c>
      <c r="N26" s="429"/>
      <c r="O26" s="429"/>
      <c r="P26" s="430">
        <f t="shared" si="5"/>
        <v>0</v>
      </c>
      <c r="Q26" s="431">
        <f t="shared" si="1"/>
        <v>8000</v>
      </c>
      <c r="R26" s="427">
        <f t="shared" si="2"/>
        <v>306678</v>
      </c>
      <c r="S26" s="65"/>
      <c r="T26" s="69"/>
      <c r="U26" s="50"/>
      <c r="V26" s="70"/>
      <c r="W26" s="71"/>
      <c r="X26" s="54"/>
      <c r="Y26" s="73"/>
    </row>
    <row r="27" spans="1:25" s="35" customFormat="1" ht="24.95" customHeight="1">
      <c r="A27" s="51">
        <f t="shared" si="6"/>
        <v>15</v>
      </c>
      <c r="B27" s="578" t="s">
        <v>86</v>
      </c>
      <c r="C27" s="579" t="s">
        <v>87</v>
      </c>
      <c r="D27" s="569">
        <v>150911069</v>
      </c>
      <c r="E27" s="426">
        <v>31947</v>
      </c>
      <c r="F27" s="453">
        <f>VLOOKUP(B27,'KLCN t1 dot 1'!$B$13:$Z$83,25,0)</f>
        <v>11.34</v>
      </c>
      <c r="G27" s="427">
        <f t="shared" si="0"/>
        <v>362279</v>
      </c>
      <c r="H27" s="453"/>
      <c r="I27" s="427"/>
      <c r="J27" s="427"/>
      <c r="K27" s="428">
        <f t="shared" si="3"/>
        <v>362279</v>
      </c>
      <c r="L27" s="588"/>
      <c r="M27" s="429">
        <f t="shared" si="4"/>
        <v>8000</v>
      </c>
      <c r="N27" s="429"/>
      <c r="O27" s="429"/>
      <c r="P27" s="430">
        <f t="shared" si="5"/>
        <v>0</v>
      </c>
      <c r="Q27" s="431">
        <f t="shared" si="1"/>
        <v>8000</v>
      </c>
      <c r="R27" s="427">
        <f t="shared" si="2"/>
        <v>354279</v>
      </c>
      <c r="S27" s="65"/>
      <c r="T27" s="69"/>
      <c r="U27" s="50"/>
      <c r="V27" s="70"/>
      <c r="W27" s="71"/>
      <c r="X27" s="54"/>
      <c r="Y27" s="73"/>
    </row>
    <row r="28" spans="1:25" s="35" customFormat="1" ht="24.95" customHeight="1">
      <c r="A28" s="51">
        <f t="shared" si="6"/>
        <v>16</v>
      </c>
      <c r="B28" s="578" t="s">
        <v>88</v>
      </c>
      <c r="C28" s="579" t="s">
        <v>89</v>
      </c>
      <c r="D28" s="569" t="s">
        <v>184</v>
      </c>
      <c r="E28" s="426">
        <v>31947</v>
      </c>
      <c r="F28" s="453">
        <f>VLOOKUP(B28,'KLCN t1 dot 1'!$B$13:$Z$83,25,0)</f>
        <v>20.619999999999997</v>
      </c>
      <c r="G28" s="427">
        <f t="shared" si="0"/>
        <v>658747</v>
      </c>
      <c r="H28" s="453"/>
      <c r="I28" s="427"/>
      <c r="J28" s="427"/>
      <c r="K28" s="428">
        <f t="shared" si="3"/>
        <v>658747</v>
      </c>
      <c r="L28" s="588"/>
      <c r="M28" s="429">
        <f t="shared" si="4"/>
        <v>13175</v>
      </c>
      <c r="N28" s="429"/>
      <c r="O28" s="429"/>
      <c r="P28" s="430">
        <f t="shared" si="5"/>
        <v>0</v>
      </c>
      <c r="Q28" s="431">
        <f t="shared" si="1"/>
        <v>13175</v>
      </c>
      <c r="R28" s="427">
        <f t="shared" si="2"/>
        <v>645572</v>
      </c>
      <c r="S28" s="65"/>
      <c r="T28" s="69"/>
      <c r="U28" s="50"/>
      <c r="V28" s="70"/>
      <c r="W28" s="71"/>
      <c r="X28" s="54"/>
      <c r="Y28" s="73"/>
    </row>
    <row r="29" spans="1:25" s="35" customFormat="1" ht="24.95" customHeight="1">
      <c r="A29" s="51">
        <f t="shared" si="6"/>
        <v>17</v>
      </c>
      <c r="B29" s="580" t="s">
        <v>90</v>
      </c>
      <c r="C29" s="369" t="s">
        <v>91</v>
      </c>
      <c r="D29" s="569">
        <v>220175393</v>
      </c>
      <c r="E29" s="426">
        <v>31947</v>
      </c>
      <c r="F29" s="453">
        <f>VLOOKUP(B29,'KLCN t1 dot 1'!$B$13:$Z$83,25,0)</f>
        <v>7.29</v>
      </c>
      <c r="G29" s="427">
        <f t="shared" si="0"/>
        <v>232894</v>
      </c>
      <c r="H29" s="453"/>
      <c r="I29" s="427"/>
      <c r="J29" s="427"/>
      <c r="K29" s="428">
        <f t="shared" si="3"/>
        <v>232894</v>
      </c>
      <c r="L29" s="588"/>
      <c r="M29" s="429">
        <f t="shared" si="4"/>
        <v>8000</v>
      </c>
      <c r="N29" s="429"/>
      <c r="O29" s="429"/>
      <c r="P29" s="430">
        <f t="shared" si="5"/>
        <v>0</v>
      </c>
      <c r="Q29" s="431">
        <f t="shared" si="1"/>
        <v>8000</v>
      </c>
      <c r="R29" s="427">
        <f t="shared" si="2"/>
        <v>224894</v>
      </c>
      <c r="S29" s="65"/>
      <c r="T29" s="69"/>
      <c r="U29" s="50"/>
      <c r="V29" s="70"/>
      <c r="W29" s="71"/>
      <c r="X29" s="54"/>
      <c r="Y29" s="73"/>
    </row>
    <row r="30" spans="1:25" s="35" customFormat="1" ht="24.95" customHeight="1">
      <c r="A30" s="51">
        <f t="shared" si="6"/>
        <v>18</v>
      </c>
      <c r="B30" s="582" t="s">
        <v>92</v>
      </c>
      <c r="C30" s="583" t="s">
        <v>93</v>
      </c>
      <c r="D30" s="569">
        <v>150936257</v>
      </c>
      <c r="E30" s="426">
        <v>31947</v>
      </c>
      <c r="F30" s="453">
        <f>VLOOKUP(B30,'KLCN t1 dot 1'!$B$13:$Z$83,25,0)</f>
        <v>13.09</v>
      </c>
      <c r="G30" s="427">
        <f t="shared" si="0"/>
        <v>418186</v>
      </c>
      <c r="H30" s="453"/>
      <c r="I30" s="427"/>
      <c r="J30" s="427"/>
      <c r="K30" s="428">
        <f t="shared" si="3"/>
        <v>418186</v>
      </c>
      <c r="L30" s="588"/>
      <c r="M30" s="429">
        <f t="shared" si="4"/>
        <v>8364</v>
      </c>
      <c r="N30" s="429"/>
      <c r="O30" s="429"/>
      <c r="P30" s="430">
        <f t="shared" si="5"/>
        <v>0</v>
      </c>
      <c r="Q30" s="431">
        <f t="shared" si="1"/>
        <v>8364</v>
      </c>
      <c r="R30" s="427">
        <f t="shared" si="2"/>
        <v>409822</v>
      </c>
      <c r="S30" s="65"/>
      <c r="T30" s="69"/>
      <c r="U30" s="50"/>
      <c r="V30" s="70"/>
      <c r="W30" s="71"/>
      <c r="X30" s="54"/>
      <c r="Y30" s="73"/>
    </row>
    <row r="31" spans="1:25" s="35" customFormat="1" ht="24.95" customHeight="1">
      <c r="A31" s="51">
        <f t="shared" si="6"/>
        <v>19</v>
      </c>
      <c r="B31" s="582" t="s">
        <v>94</v>
      </c>
      <c r="C31" s="584" t="s">
        <v>95</v>
      </c>
      <c r="D31" s="569">
        <v>220137301</v>
      </c>
      <c r="E31" s="426">
        <v>31947</v>
      </c>
      <c r="F31" s="453">
        <f>VLOOKUP(B31,'KLCN t1 dot 1'!$B$13:$Z$83,25,0)</f>
        <v>23.759999999999998</v>
      </c>
      <c r="G31" s="427">
        <f t="shared" si="0"/>
        <v>759061</v>
      </c>
      <c r="H31" s="453"/>
      <c r="I31" s="427"/>
      <c r="J31" s="427"/>
      <c r="K31" s="428">
        <f t="shared" si="3"/>
        <v>759061</v>
      </c>
      <c r="L31" s="588"/>
      <c r="M31" s="429">
        <f t="shared" si="4"/>
        <v>15181</v>
      </c>
      <c r="N31" s="429"/>
      <c r="O31" s="429"/>
      <c r="P31" s="430">
        <f t="shared" si="5"/>
        <v>0</v>
      </c>
      <c r="Q31" s="431">
        <f t="shared" si="1"/>
        <v>15181</v>
      </c>
      <c r="R31" s="427">
        <f t="shared" si="2"/>
        <v>743880</v>
      </c>
      <c r="S31" s="65"/>
      <c r="T31" s="69"/>
      <c r="U31" s="50"/>
      <c r="V31" s="70"/>
      <c r="W31" s="71"/>
      <c r="X31" s="54"/>
      <c r="Y31" s="73"/>
    </row>
    <row r="32" spans="1:25" s="35" customFormat="1" ht="24.95" customHeight="1">
      <c r="A32" s="51">
        <f t="shared" si="6"/>
        <v>20</v>
      </c>
      <c r="B32" s="582" t="s">
        <v>96</v>
      </c>
      <c r="C32" s="584" t="s">
        <v>97</v>
      </c>
      <c r="D32" s="569">
        <v>150940509</v>
      </c>
      <c r="E32" s="426">
        <v>31947</v>
      </c>
      <c r="F32" s="453">
        <f>VLOOKUP(B32,'KLCN t1 dot 1'!$B$13:$Z$83,25,0)</f>
        <v>18.22</v>
      </c>
      <c r="G32" s="427">
        <f t="shared" si="0"/>
        <v>582074</v>
      </c>
      <c r="H32" s="453"/>
      <c r="I32" s="427"/>
      <c r="J32" s="427"/>
      <c r="K32" s="428">
        <f t="shared" si="3"/>
        <v>582074</v>
      </c>
      <c r="L32" s="588"/>
      <c r="M32" s="429">
        <f t="shared" si="4"/>
        <v>11641</v>
      </c>
      <c r="N32" s="429"/>
      <c r="O32" s="429"/>
      <c r="P32" s="430">
        <f t="shared" si="5"/>
        <v>0</v>
      </c>
      <c r="Q32" s="431">
        <f t="shared" si="1"/>
        <v>11641</v>
      </c>
      <c r="R32" s="427">
        <f t="shared" si="2"/>
        <v>570433</v>
      </c>
      <c r="S32" s="68"/>
      <c r="T32" s="69"/>
      <c r="U32" s="50">
        <v>200000</v>
      </c>
      <c r="V32" s="50">
        <f>R32-U32</f>
        <v>370433</v>
      </c>
      <c r="W32" s="17" t="e">
        <f>#REF!</f>
        <v>#REF!</v>
      </c>
      <c r="X32" s="72">
        <v>250000</v>
      </c>
      <c r="Y32" s="73"/>
    </row>
    <row r="33" spans="1:25" s="35" customFormat="1" ht="24.95" customHeight="1">
      <c r="A33" s="51">
        <f t="shared" si="6"/>
        <v>21</v>
      </c>
      <c r="B33" s="582" t="s">
        <v>98</v>
      </c>
      <c r="C33" s="585" t="s">
        <v>99</v>
      </c>
      <c r="D33" s="569">
        <v>150657948</v>
      </c>
      <c r="E33" s="426">
        <v>31947</v>
      </c>
      <c r="F33" s="453">
        <f>VLOOKUP(B33,'KLCN t1 dot 1'!$B$13:$Z$83,25,0)</f>
        <v>15.469999999999999</v>
      </c>
      <c r="G33" s="427">
        <f t="shared" si="0"/>
        <v>494220</v>
      </c>
      <c r="H33" s="453"/>
      <c r="I33" s="427"/>
      <c r="J33" s="427"/>
      <c r="K33" s="428">
        <f t="shared" si="3"/>
        <v>494220</v>
      </c>
      <c r="L33" s="588"/>
      <c r="M33" s="429">
        <f t="shared" si="4"/>
        <v>9884</v>
      </c>
      <c r="N33" s="429"/>
      <c r="O33" s="429"/>
      <c r="P33" s="430">
        <f t="shared" si="5"/>
        <v>0</v>
      </c>
      <c r="Q33" s="431">
        <f t="shared" si="1"/>
        <v>9884</v>
      </c>
      <c r="R33" s="427">
        <f t="shared" si="2"/>
        <v>484336</v>
      </c>
      <c r="S33" s="68"/>
      <c r="T33" s="69"/>
      <c r="U33" s="50"/>
      <c r="V33" s="50"/>
      <c r="W33" s="17"/>
      <c r="X33" s="72"/>
      <c r="Y33" s="73"/>
    </row>
    <row r="34" spans="1:25" s="35" customFormat="1" ht="27.95" customHeight="1">
      <c r="A34" s="51">
        <f t="shared" si="6"/>
        <v>22</v>
      </c>
      <c r="B34" s="582" t="s">
        <v>100</v>
      </c>
      <c r="C34" s="585" t="s">
        <v>101</v>
      </c>
      <c r="D34" s="569">
        <v>150952503</v>
      </c>
      <c r="E34" s="426">
        <v>31947</v>
      </c>
      <c r="F34" s="453">
        <f>VLOOKUP(B34,'KLCN t1 dot 1'!$B$13:$Z$83,25,0)</f>
        <v>13.09</v>
      </c>
      <c r="G34" s="427">
        <f t="shared" si="0"/>
        <v>418186</v>
      </c>
      <c r="H34" s="453"/>
      <c r="I34" s="427"/>
      <c r="J34" s="427"/>
      <c r="K34" s="428">
        <f t="shared" si="3"/>
        <v>418186</v>
      </c>
      <c r="L34" s="588"/>
      <c r="M34" s="429">
        <f t="shared" si="4"/>
        <v>8364</v>
      </c>
      <c r="N34" s="429"/>
      <c r="O34" s="429"/>
      <c r="P34" s="430">
        <f t="shared" si="5"/>
        <v>0</v>
      </c>
      <c r="Q34" s="431">
        <f t="shared" si="1"/>
        <v>8364</v>
      </c>
      <c r="R34" s="427">
        <f t="shared" si="2"/>
        <v>409822</v>
      </c>
      <c r="S34" s="68"/>
      <c r="T34" s="69"/>
      <c r="U34" s="50"/>
      <c r="V34" s="50"/>
      <c r="W34" s="17"/>
      <c r="X34" s="72"/>
      <c r="Y34" s="73"/>
    </row>
    <row r="35" spans="1:25" s="35" customFormat="1" ht="27.95" customHeight="1">
      <c r="A35" s="51">
        <f t="shared" si="6"/>
        <v>23</v>
      </c>
      <c r="B35" s="582" t="s">
        <v>102</v>
      </c>
      <c r="C35" s="585" t="s">
        <v>103</v>
      </c>
      <c r="D35" s="569">
        <v>220248893</v>
      </c>
      <c r="E35" s="426">
        <v>31947</v>
      </c>
      <c r="F35" s="453">
        <f>VLOOKUP(B35,'KLCN t1 dot 1'!$B$13:$Z$83,25,0)</f>
        <v>13.09</v>
      </c>
      <c r="G35" s="427">
        <f t="shared" si="0"/>
        <v>418186</v>
      </c>
      <c r="H35" s="453"/>
      <c r="I35" s="427"/>
      <c r="J35" s="427"/>
      <c r="K35" s="428">
        <f t="shared" si="3"/>
        <v>418186</v>
      </c>
      <c r="L35" s="588"/>
      <c r="M35" s="429">
        <f t="shared" si="4"/>
        <v>8364</v>
      </c>
      <c r="N35" s="429"/>
      <c r="O35" s="429"/>
      <c r="P35" s="430">
        <f t="shared" si="5"/>
        <v>0</v>
      </c>
      <c r="Q35" s="431">
        <f t="shared" si="1"/>
        <v>8364</v>
      </c>
      <c r="R35" s="427">
        <f t="shared" si="2"/>
        <v>409822</v>
      </c>
      <c r="S35" s="68"/>
      <c r="T35" s="69"/>
      <c r="U35" s="50"/>
      <c r="V35" s="50"/>
      <c r="W35" s="17"/>
      <c r="X35" s="72"/>
      <c r="Y35" s="73"/>
    </row>
    <row r="36" spans="1:25" s="35" customFormat="1" ht="27.95" customHeight="1">
      <c r="A36" s="51">
        <f t="shared" si="6"/>
        <v>24</v>
      </c>
      <c r="B36" s="582" t="s">
        <v>104</v>
      </c>
      <c r="C36" s="586" t="s">
        <v>105</v>
      </c>
      <c r="D36" s="569">
        <v>220105697</v>
      </c>
      <c r="E36" s="426">
        <v>31947</v>
      </c>
      <c r="F36" s="453">
        <f>VLOOKUP(B36,'KLCN t1 dot 1'!$B$13:$Z$83,25,0)</f>
        <v>13.09</v>
      </c>
      <c r="G36" s="427">
        <f t="shared" si="0"/>
        <v>418186</v>
      </c>
      <c r="H36" s="453"/>
      <c r="I36" s="427"/>
      <c r="J36" s="427"/>
      <c r="K36" s="428">
        <f t="shared" si="3"/>
        <v>418186</v>
      </c>
      <c r="L36" s="588"/>
      <c r="M36" s="429">
        <f t="shared" si="4"/>
        <v>8364</v>
      </c>
      <c r="N36" s="429"/>
      <c r="O36" s="429"/>
      <c r="P36" s="430">
        <f t="shared" si="5"/>
        <v>0</v>
      </c>
      <c r="Q36" s="431">
        <f t="shared" si="1"/>
        <v>8364</v>
      </c>
      <c r="R36" s="427">
        <f t="shared" si="2"/>
        <v>409822</v>
      </c>
      <c r="S36" s="68"/>
      <c r="T36" s="69"/>
      <c r="U36" s="50"/>
      <c r="V36" s="50"/>
      <c r="W36" s="17"/>
      <c r="X36" s="72"/>
      <c r="Y36" s="73"/>
    </row>
    <row r="37" spans="1:25" s="35" customFormat="1" ht="27.95" customHeight="1">
      <c r="A37" s="51">
        <f t="shared" si="6"/>
        <v>25</v>
      </c>
      <c r="B37" s="578" t="s">
        <v>219</v>
      </c>
      <c r="C37" s="586" t="s">
        <v>220</v>
      </c>
      <c r="D37" s="569">
        <v>220216744</v>
      </c>
      <c r="E37" s="426">
        <v>31947</v>
      </c>
      <c r="F37" s="453">
        <f>VLOOKUP(B37,'KLCN t1 dot 1'!$B$13:$Z$83,25,0)</f>
        <v>13.09</v>
      </c>
      <c r="G37" s="427">
        <f t="shared" si="0"/>
        <v>418186</v>
      </c>
      <c r="H37" s="453"/>
      <c r="I37" s="427"/>
      <c r="J37" s="427"/>
      <c r="K37" s="428">
        <f t="shared" si="3"/>
        <v>418186</v>
      </c>
      <c r="L37" s="588"/>
      <c r="M37" s="429">
        <f t="shared" si="4"/>
        <v>8364</v>
      </c>
      <c r="N37" s="429"/>
      <c r="O37" s="429"/>
      <c r="P37" s="430">
        <f t="shared" si="5"/>
        <v>0</v>
      </c>
      <c r="Q37" s="431">
        <f t="shared" si="1"/>
        <v>8364</v>
      </c>
      <c r="R37" s="427">
        <f t="shared" si="2"/>
        <v>409822</v>
      </c>
      <c r="S37" s="68"/>
      <c r="T37" s="69"/>
      <c r="U37" s="50"/>
      <c r="V37" s="50"/>
      <c r="W37" s="17"/>
      <c r="X37" s="72"/>
      <c r="Y37" s="73"/>
    </row>
    <row r="38" spans="1:25" s="35" customFormat="1" ht="27.95" customHeight="1">
      <c r="A38" s="51">
        <f t="shared" si="6"/>
        <v>26</v>
      </c>
      <c r="B38" s="749" t="s">
        <v>278</v>
      </c>
      <c r="C38" s="586" t="s">
        <v>279</v>
      </c>
      <c r="D38" s="569">
        <v>220211460</v>
      </c>
      <c r="E38" s="426">
        <v>31947</v>
      </c>
      <c r="F38" s="453">
        <f>VLOOKUP(B38,'KLCN t1 dot 1'!$B$13:$Z$83,25,0)</f>
        <v>18.509999999999998</v>
      </c>
      <c r="G38" s="427">
        <f t="shared" si="0"/>
        <v>591339</v>
      </c>
      <c r="H38" s="453"/>
      <c r="I38" s="427"/>
      <c r="J38" s="427"/>
      <c r="K38" s="428">
        <f t="shared" si="3"/>
        <v>591339</v>
      </c>
      <c r="L38" s="588"/>
      <c r="M38" s="429">
        <f t="shared" si="4"/>
        <v>11827</v>
      </c>
      <c r="N38" s="429"/>
      <c r="O38" s="429"/>
      <c r="P38" s="430">
        <f t="shared" si="5"/>
        <v>0</v>
      </c>
      <c r="Q38" s="431">
        <f t="shared" si="1"/>
        <v>11827</v>
      </c>
      <c r="R38" s="427">
        <f t="shared" si="2"/>
        <v>579512</v>
      </c>
      <c r="S38" s="68"/>
      <c r="T38" s="69"/>
      <c r="U38" s="50"/>
      <c r="V38" s="50"/>
      <c r="W38" s="17"/>
      <c r="X38" s="72"/>
      <c r="Y38" s="73"/>
    </row>
    <row r="39" spans="1:25" s="35" customFormat="1" ht="27.95" customHeight="1">
      <c r="A39" s="51">
        <f t="shared" si="6"/>
        <v>27</v>
      </c>
      <c r="B39" s="578" t="s">
        <v>280</v>
      </c>
      <c r="C39" s="586" t="s">
        <v>281</v>
      </c>
      <c r="D39" s="569">
        <v>151056059</v>
      </c>
      <c r="E39" s="426">
        <v>31947</v>
      </c>
      <c r="F39" s="453">
        <f>VLOOKUP(B39,'KLCN t1 dot 1'!$B$13:$Z$83,25,0)</f>
        <v>10.52</v>
      </c>
      <c r="G39" s="427">
        <f t="shared" si="0"/>
        <v>336082</v>
      </c>
      <c r="H39" s="453"/>
      <c r="I39" s="427"/>
      <c r="J39" s="427"/>
      <c r="K39" s="428">
        <f t="shared" si="3"/>
        <v>336082</v>
      </c>
      <c r="L39" s="588"/>
      <c r="M39" s="429">
        <f t="shared" si="4"/>
        <v>8000</v>
      </c>
      <c r="N39" s="429"/>
      <c r="O39" s="429"/>
      <c r="P39" s="430">
        <f t="shared" si="5"/>
        <v>0</v>
      </c>
      <c r="Q39" s="431">
        <f t="shared" si="1"/>
        <v>8000</v>
      </c>
      <c r="R39" s="427">
        <f t="shared" si="2"/>
        <v>328082</v>
      </c>
      <c r="S39" s="68"/>
      <c r="T39" s="69"/>
      <c r="U39" s="50"/>
      <c r="V39" s="50"/>
      <c r="W39" s="17"/>
      <c r="X39" s="72"/>
      <c r="Y39" s="73"/>
    </row>
    <row r="40" spans="1:25" s="35" customFormat="1" ht="27.95" customHeight="1">
      <c r="A40" s="51">
        <f t="shared" si="6"/>
        <v>28</v>
      </c>
      <c r="B40" s="567" t="s">
        <v>135</v>
      </c>
      <c r="C40" s="365" t="s">
        <v>136</v>
      </c>
      <c r="D40" s="569" t="s">
        <v>189</v>
      </c>
      <c r="E40" s="426">
        <v>31947</v>
      </c>
      <c r="F40" s="453">
        <f>VLOOKUP(B40,'KLCN t1 dot 1'!$B$13:$Z$83,25,0)</f>
        <v>17.170000000000002</v>
      </c>
      <c r="G40" s="427">
        <f t="shared" si="0"/>
        <v>548530</v>
      </c>
      <c r="H40" s="453"/>
      <c r="I40" s="427"/>
      <c r="J40" s="427"/>
      <c r="K40" s="428">
        <f t="shared" si="3"/>
        <v>548530</v>
      </c>
      <c r="L40" s="588"/>
      <c r="M40" s="429">
        <f t="shared" si="4"/>
        <v>10971</v>
      </c>
      <c r="N40" s="429"/>
      <c r="O40" s="429"/>
      <c r="P40" s="430">
        <f t="shared" si="5"/>
        <v>0</v>
      </c>
      <c r="Q40" s="431">
        <f t="shared" si="1"/>
        <v>10971</v>
      </c>
      <c r="R40" s="427">
        <f t="shared" si="2"/>
        <v>537559</v>
      </c>
      <c r="S40" s="68"/>
      <c r="T40" s="69"/>
      <c r="U40" s="50"/>
      <c r="V40" s="50"/>
      <c r="W40" s="17"/>
      <c r="X40" s="72"/>
      <c r="Y40" s="73"/>
    </row>
    <row r="41" spans="1:25" s="35" customFormat="1" ht="27.95" customHeight="1">
      <c r="A41" s="51">
        <f t="shared" si="6"/>
        <v>29</v>
      </c>
      <c r="B41" s="253" t="s">
        <v>106</v>
      </c>
      <c r="C41" s="610" t="s">
        <v>107</v>
      </c>
      <c r="D41" s="569" t="s">
        <v>185</v>
      </c>
      <c r="E41" s="426">
        <v>31947</v>
      </c>
      <c r="F41" s="453">
        <f>VLOOKUP(B41,'KLCN t1 dot 1'!$B$13:$Z$83,25,0)</f>
        <v>37.68</v>
      </c>
      <c r="G41" s="427">
        <f t="shared" si="0"/>
        <v>1203763</v>
      </c>
      <c r="H41" s="453"/>
      <c r="I41" s="427"/>
      <c r="J41" s="427"/>
      <c r="K41" s="428">
        <f>I41+J41+G41</f>
        <v>1203763</v>
      </c>
      <c r="L41" s="588"/>
      <c r="M41" s="429">
        <f t="shared" si="4"/>
        <v>24000</v>
      </c>
      <c r="N41" s="429"/>
      <c r="O41" s="429"/>
      <c r="P41" s="430">
        <f>ROUND(IF((K41-J41-N41)&lt;=1500000,0,IF(AND(((K41-J41-N41))&gt;1500000,((K41-J41-N41))&lt;=2000000),((K41-J41-N41))*5%-75000,IF(AND(((K41-J41-N41))&gt;2000000,((K41-J41-N41))&lt;=8500000),((K41-J41-N41))*10%-175000))),0)</f>
        <v>0</v>
      </c>
      <c r="Q41" s="431">
        <f t="shared" si="1"/>
        <v>24000</v>
      </c>
      <c r="R41" s="427">
        <f t="shared" si="2"/>
        <v>1179763</v>
      </c>
      <c r="S41" s="68"/>
      <c r="T41" s="69"/>
      <c r="U41" s="50"/>
      <c r="V41" s="50"/>
      <c r="W41" s="17"/>
      <c r="X41" s="72"/>
      <c r="Y41" s="73"/>
    </row>
    <row r="42" spans="1:25" s="35" customFormat="1" ht="27.95" customHeight="1">
      <c r="A42" s="51">
        <f t="shared" si="6"/>
        <v>30</v>
      </c>
      <c r="B42" s="253" t="s">
        <v>108</v>
      </c>
      <c r="C42" s="612" t="s">
        <v>109</v>
      </c>
      <c r="D42" s="569">
        <v>150839024</v>
      </c>
      <c r="E42" s="426">
        <v>31947</v>
      </c>
      <c r="F42" s="453">
        <f>VLOOKUP(B42,'KLCN t1 dot 1'!$B$13:$Z$83,25,0)</f>
        <v>34.25</v>
      </c>
      <c r="G42" s="427">
        <f t="shared" si="0"/>
        <v>1094185</v>
      </c>
      <c r="H42" s="453"/>
      <c r="I42" s="427"/>
      <c r="J42" s="427"/>
      <c r="K42" s="428">
        <f t="shared" si="3"/>
        <v>1094185</v>
      </c>
      <c r="L42" s="588"/>
      <c r="M42" s="429">
        <f t="shared" si="4"/>
        <v>21884</v>
      </c>
      <c r="N42" s="429"/>
      <c r="O42" s="429"/>
      <c r="P42" s="430">
        <f t="shared" si="5"/>
        <v>0</v>
      </c>
      <c r="Q42" s="431">
        <f t="shared" si="1"/>
        <v>21884</v>
      </c>
      <c r="R42" s="427">
        <f t="shared" si="2"/>
        <v>1072301</v>
      </c>
      <c r="S42" s="68"/>
      <c r="T42" s="69"/>
      <c r="U42" s="50"/>
      <c r="V42" s="50"/>
      <c r="W42" s="17"/>
      <c r="X42" s="72"/>
      <c r="Y42" s="73"/>
    </row>
    <row r="43" spans="1:25" s="35" customFormat="1" ht="27.95" customHeight="1">
      <c r="A43" s="51">
        <f t="shared" si="6"/>
        <v>31</v>
      </c>
      <c r="B43" s="570" t="s">
        <v>110</v>
      </c>
      <c r="C43" s="574" t="s">
        <v>111</v>
      </c>
      <c r="D43" s="569" t="s">
        <v>186</v>
      </c>
      <c r="E43" s="426">
        <v>31947</v>
      </c>
      <c r="F43" s="453">
        <f>VLOOKUP(B43,'KLCN t1 dot 1'!$B$13:$Z$83,25,0)</f>
        <v>34.25</v>
      </c>
      <c r="G43" s="427">
        <f t="shared" si="0"/>
        <v>1094185</v>
      </c>
      <c r="H43" s="453"/>
      <c r="I43" s="427"/>
      <c r="J43" s="427"/>
      <c r="K43" s="428">
        <f t="shared" si="3"/>
        <v>1094185</v>
      </c>
      <c r="L43" s="588"/>
      <c r="M43" s="429">
        <f t="shared" si="4"/>
        <v>21884</v>
      </c>
      <c r="N43" s="429"/>
      <c r="O43" s="429"/>
      <c r="P43" s="430">
        <f t="shared" si="5"/>
        <v>0</v>
      </c>
      <c r="Q43" s="431">
        <f t="shared" si="1"/>
        <v>21884</v>
      </c>
      <c r="R43" s="427">
        <f t="shared" si="2"/>
        <v>1072301</v>
      </c>
      <c r="S43" s="68"/>
      <c r="T43" s="69"/>
      <c r="U43" s="50"/>
      <c r="V43" s="50"/>
      <c r="W43" s="17"/>
      <c r="X43" s="72"/>
      <c r="Y43" s="73"/>
    </row>
    <row r="44" spans="1:25" s="35" customFormat="1" ht="27.95" customHeight="1">
      <c r="A44" s="51">
        <f t="shared" si="6"/>
        <v>32</v>
      </c>
      <c r="B44" s="253" t="s">
        <v>112</v>
      </c>
      <c r="C44" s="610" t="s">
        <v>113</v>
      </c>
      <c r="D44" s="569" t="s">
        <v>187</v>
      </c>
      <c r="E44" s="426">
        <v>31947</v>
      </c>
      <c r="F44" s="453">
        <f>VLOOKUP(B44,'KLCN t1 dot 1'!$B$13:$Z$83,25,0)</f>
        <v>34.25</v>
      </c>
      <c r="G44" s="427">
        <f t="shared" si="0"/>
        <v>1094185</v>
      </c>
      <c r="H44" s="453"/>
      <c r="I44" s="427"/>
      <c r="J44" s="427"/>
      <c r="K44" s="428">
        <f t="shared" si="3"/>
        <v>1094185</v>
      </c>
      <c r="L44" s="588"/>
      <c r="M44" s="429">
        <f t="shared" si="4"/>
        <v>21884</v>
      </c>
      <c r="N44" s="429"/>
      <c r="O44" s="429"/>
      <c r="P44" s="430">
        <f t="shared" si="5"/>
        <v>0</v>
      </c>
      <c r="Q44" s="431">
        <f t="shared" si="1"/>
        <v>21884</v>
      </c>
      <c r="R44" s="427">
        <f t="shared" si="2"/>
        <v>1072301</v>
      </c>
      <c r="S44" s="68"/>
      <c r="T44" s="69"/>
      <c r="U44" s="50"/>
      <c r="V44" s="50"/>
      <c r="W44" s="17"/>
      <c r="X44" s="72"/>
      <c r="Y44" s="73"/>
    </row>
    <row r="45" spans="1:25" s="35" customFormat="1" ht="27.95" customHeight="1">
      <c r="A45" s="51">
        <f t="shared" si="6"/>
        <v>33</v>
      </c>
      <c r="B45" s="253" t="s">
        <v>114</v>
      </c>
      <c r="C45" s="614" t="s">
        <v>115</v>
      </c>
      <c r="D45" s="569">
        <v>220137744</v>
      </c>
      <c r="E45" s="426">
        <v>31947</v>
      </c>
      <c r="F45" s="453">
        <f>VLOOKUP(B45,'KLCN t1 dot 1'!$B$13:$Z$83,25,0)</f>
        <v>34.25</v>
      </c>
      <c r="G45" s="427">
        <f t="shared" si="0"/>
        <v>1094185</v>
      </c>
      <c r="H45" s="453"/>
      <c r="I45" s="427"/>
      <c r="J45" s="427"/>
      <c r="K45" s="428">
        <f t="shared" si="3"/>
        <v>1094185</v>
      </c>
      <c r="L45" s="588"/>
      <c r="M45" s="429">
        <f t="shared" si="4"/>
        <v>21884</v>
      </c>
      <c r="N45" s="429"/>
      <c r="O45" s="429"/>
      <c r="P45" s="430">
        <f t="shared" si="5"/>
        <v>0</v>
      </c>
      <c r="Q45" s="431">
        <f t="shared" si="1"/>
        <v>21884</v>
      </c>
      <c r="R45" s="427">
        <f t="shared" si="2"/>
        <v>1072301</v>
      </c>
      <c r="S45" s="68"/>
      <c r="T45" s="69"/>
      <c r="U45" s="50"/>
      <c r="V45" s="50"/>
      <c r="W45" s="17"/>
      <c r="X45" s="72"/>
      <c r="Y45" s="73"/>
    </row>
    <row r="46" spans="1:25" s="35" customFormat="1" ht="27.95" customHeight="1">
      <c r="A46" s="51">
        <f t="shared" si="6"/>
        <v>34</v>
      </c>
      <c r="B46" s="253" t="s">
        <v>116</v>
      </c>
      <c r="C46" s="615" t="s">
        <v>117</v>
      </c>
      <c r="D46" s="569">
        <v>150627962</v>
      </c>
      <c r="E46" s="426">
        <v>31947</v>
      </c>
      <c r="F46" s="453">
        <f>VLOOKUP(B46,'KLCN t1 dot 1'!$B$13:$Z$83,25,0)</f>
        <v>31.35</v>
      </c>
      <c r="G46" s="427">
        <f t="shared" si="0"/>
        <v>1001538</v>
      </c>
      <c r="H46" s="453"/>
      <c r="I46" s="427"/>
      <c r="J46" s="427"/>
      <c r="K46" s="428">
        <f t="shared" si="3"/>
        <v>1001538</v>
      </c>
      <c r="L46" s="588"/>
      <c r="M46" s="429">
        <f t="shared" si="4"/>
        <v>20031</v>
      </c>
      <c r="N46" s="429"/>
      <c r="O46" s="429"/>
      <c r="P46" s="430">
        <f t="shared" si="5"/>
        <v>0</v>
      </c>
      <c r="Q46" s="431">
        <f t="shared" si="1"/>
        <v>20031</v>
      </c>
      <c r="R46" s="427">
        <f t="shared" si="2"/>
        <v>981507</v>
      </c>
      <c r="S46" s="68"/>
      <c r="T46" s="69"/>
      <c r="U46" s="50"/>
      <c r="V46" s="50"/>
      <c r="W46" s="17"/>
      <c r="X46" s="72"/>
      <c r="Y46" s="73"/>
    </row>
    <row r="47" spans="1:25" s="35" customFormat="1" ht="27.95" customHeight="1">
      <c r="A47" s="51">
        <f t="shared" si="6"/>
        <v>35</v>
      </c>
      <c r="B47" s="253" t="s">
        <v>118</v>
      </c>
      <c r="C47" s="615" t="s">
        <v>119</v>
      </c>
      <c r="D47" s="569">
        <v>150523228</v>
      </c>
      <c r="E47" s="426">
        <v>31947</v>
      </c>
      <c r="F47" s="453">
        <f>VLOOKUP(B47,'KLCN t1 dot 1'!$B$13:$Z$83,25,0)</f>
        <v>34.25</v>
      </c>
      <c r="G47" s="427">
        <f t="shared" si="0"/>
        <v>1094185</v>
      </c>
      <c r="H47" s="453"/>
      <c r="I47" s="427"/>
      <c r="J47" s="427"/>
      <c r="K47" s="428">
        <f t="shared" si="3"/>
        <v>1094185</v>
      </c>
      <c r="L47" s="588"/>
      <c r="M47" s="429">
        <f t="shared" si="4"/>
        <v>21884</v>
      </c>
      <c r="N47" s="429"/>
      <c r="O47" s="429"/>
      <c r="P47" s="430">
        <f t="shared" si="5"/>
        <v>0</v>
      </c>
      <c r="Q47" s="431">
        <f t="shared" si="1"/>
        <v>21884</v>
      </c>
      <c r="R47" s="427">
        <f t="shared" si="2"/>
        <v>1072301</v>
      </c>
      <c r="S47" s="68"/>
      <c r="T47" s="69"/>
      <c r="U47" s="50"/>
      <c r="V47" s="50"/>
      <c r="W47" s="17"/>
      <c r="X47" s="72"/>
      <c r="Y47" s="73"/>
    </row>
    <row r="48" spans="1:25" s="35" customFormat="1" ht="27.95" customHeight="1">
      <c r="A48" s="51">
        <f t="shared" si="6"/>
        <v>36</v>
      </c>
      <c r="B48" s="253" t="s">
        <v>120</v>
      </c>
      <c r="C48" s="615" t="s">
        <v>121</v>
      </c>
      <c r="D48" s="569">
        <v>151013383</v>
      </c>
      <c r="E48" s="426">
        <v>31947</v>
      </c>
      <c r="F48" s="453">
        <f>VLOOKUP(B48,'KLCN t1 dot 1'!$B$13:$Z$83,25,0)</f>
        <v>34.25</v>
      </c>
      <c r="G48" s="427">
        <f t="shared" si="0"/>
        <v>1094185</v>
      </c>
      <c r="H48" s="453"/>
      <c r="I48" s="427"/>
      <c r="J48" s="427"/>
      <c r="K48" s="428">
        <f t="shared" si="3"/>
        <v>1094185</v>
      </c>
      <c r="L48" s="588"/>
      <c r="M48" s="429">
        <f t="shared" si="4"/>
        <v>21884</v>
      </c>
      <c r="N48" s="429"/>
      <c r="O48" s="429"/>
      <c r="P48" s="430">
        <f t="shared" si="5"/>
        <v>0</v>
      </c>
      <c r="Q48" s="431">
        <f t="shared" si="1"/>
        <v>21884</v>
      </c>
      <c r="R48" s="427">
        <f t="shared" si="2"/>
        <v>1072301</v>
      </c>
      <c r="S48" s="68"/>
      <c r="T48" s="69"/>
      <c r="U48" s="50"/>
      <c r="V48" s="50"/>
      <c r="W48" s="17"/>
      <c r="X48" s="72"/>
      <c r="Y48" s="73"/>
    </row>
    <row r="49" spans="1:25" s="35" customFormat="1" ht="27.95" customHeight="1">
      <c r="A49" s="51">
        <f t="shared" si="6"/>
        <v>37</v>
      </c>
      <c r="B49" s="253" t="s">
        <v>122</v>
      </c>
      <c r="C49" s="614" t="s">
        <v>123</v>
      </c>
      <c r="D49" s="569">
        <v>150537069</v>
      </c>
      <c r="E49" s="426">
        <v>31947</v>
      </c>
      <c r="F49" s="453">
        <f>VLOOKUP(B49,'KLCN t1 dot 1'!$B$13:$Z$83,25,0)</f>
        <v>34.25</v>
      </c>
      <c r="G49" s="427">
        <f t="shared" si="0"/>
        <v>1094185</v>
      </c>
      <c r="H49" s="453"/>
      <c r="I49" s="427"/>
      <c r="J49" s="427"/>
      <c r="K49" s="428">
        <f t="shared" si="3"/>
        <v>1094185</v>
      </c>
      <c r="L49" s="588"/>
      <c r="M49" s="429">
        <f t="shared" si="4"/>
        <v>21884</v>
      </c>
      <c r="N49" s="429"/>
      <c r="O49" s="429"/>
      <c r="P49" s="430">
        <f t="shared" si="5"/>
        <v>0</v>
      </c>
      <c r="Q49" s="431">
        <f t="shared" si="1"/>
        <v>21884</v>
      </c>
      <c r="R49" s="427">
        <f t="shared" si="2"/>
        <v>1072301</v>
      </c>
      <c r="S49" s="68"/>
      <c r="T49" s="69"/>
      <c r="U49" s="50"/>
      <c r="V49" s="50"/>
      <c r="W49" s="17"/>
      <c r="X49" s="72"/>
      <c r="Y49" s="73"/>
    </row>
    <row r="50" spans="1:25" s="35" customFormat="1" ht="27.95" customHeight="1">
      <c r="A50" s="51">
        <f t="shared" si="6"/>
        <v>38</v>
      </c>
      <c r="B50" s="253" t="s">
        <v>338</v>
      </c>
      <c r="C50" s="614" t="s">
        <v>337</v>
      </c>
      <c r="D50" s="569">
        <v>151046569</v>
      </c>
      <c r="E50" s="432">
        <v>31947</v>
      </c>
      <c r="F50" s="453">
        <f>VLOOKUP(B50,'KLCN t1 dot 1'!$B$13:$Z$83,25,0)</f>
        <v>12.02</v>
      </c>
      <c r="G50" s="427">
        <f t="shared" si="0"/>
        <v>384003</v>
      </c>
      <c r="H50" s="453"/>
      <c r="I50" s="427"/>
      <c r="J50" s="433"/>
      <c r="K50" s="428">
        <f t="shared" si="3"/>
        <v>384003</v>
      </c>
      <c r="L50" s="588"/>
      <c r="M50" s="429">
        <f t="shared" si="4"/>
        <v>8000</v>
      </c>
      <c r="N50" s="429"/>
      <c r="O50" s="429"/>
      <c r="P50" s="430">
        <f t="shared" si="5"/>
        <v>0</v>
      </c>
      <c r="Q50" s="431">
        <f t="shared" si="1"/>
        <v>8000</v>
      </c>
      <c r="R50" s="427">
        <f t="shared" si="2"/>
        <v>376003</v>
      </c>
      <c r="S50" s="68"/>
      <c r="T50" s="69"/>
      <c r="U50" s="50"/>
      <c r="V50" s="50"/>
      <c r="W50" s="17"/>
      <c r="X50" s="72"/>
      <c r="Y50" s="73"/>
    </row>
    <row r="51" spans="1:25" s="35" customFormat="1" ht="27.95" customHeight="1">
      <c r="A51" s="51">
        <f t="shared" si="6"/>
        <v>39</v>
      </c>
      <c r="B51" s="253" t="s">
        <v>124</v>
      </c>
      <c r="C51" s="614" t="s">
        <v>125</v>
      </c>
      <c r="D51" s="569">
        <v>150771197</v>
      </c>
      <c r="E51" s="432">
        <v>31947</v>
      </c>
      <c r="F51" s="453">
        <f>VLOOKUP(B51,'KLCN t1 dot 1'!$B$13:$Z$83,25,0)</f>
        <v>12.71</v>
      </c>
      <c r="G51" s="427">
        <f t="shared" si="0"/>
        <v>406046</v>
      </c>
      <c r="H51" s="453"/>
      <c r="I51" s="427"/>
      <c r="J51" s="433"/>
      <c r="K51" s="428">
        <f t="shared" si="3"/>
        <v>406046</v>
      </c>
      <c r="L51" s="588"/>
      <c r="M51" s="429">
        <f t="shared" si="4"/>
        <v>8121</v>
      </c>
      <c r="N51" s="429"/>
      <c r="O51" s="429"/>
      <c r="P51" s="430">
        <f t="shared" si="5"/>
        <v>0</v>
      </c>
      <c r="Q51" s="431">
        <f t="shared" si="1"/>
        <v>8121</v>
      </c>
      <c r="R51" s="427">
        <f t="shared" si="2"/>
        <v>397925</v>
      </c>
      <c r="S51" s="68"/>
      <c r="T51" s="69"/>
      <c r="U51" s="50"/>
      <c r="V51" s="50"/>
      <c r="W51" s="17"/>
      <c r="X51" s="72"/>
      <c r="Y51" s="73"/>
    </row>
    <row r="52" spans="1:25" s="35" customFormat="1" ht="27.95" customHeight="1">
      <c r="A52" s="51">
        <f t="shared" si="6"/>
        <v>40</v>
      </c>
      <c r="B52" s="253" t="s">
        <v>126</v>
      </c>
      <c r="C52" s="614" t="s">
        <v>127</v>
      </c>
      <c r="D52" s="569">
        <v>150936930</v>
      </c>
      <c r="E52" s="432">
        <v>31947</v>
      </c>
      <c r="F52" s="453">
        <f>VLOOKUP(B52,'KLCN t1 dot 1'!$B$13:$Z$83,25,0)</f>
        <v>27.54</v>
      </c>
      <c r="G52" s="427">
        <f t="shared" si="0"/>
        <v>879820</v>
      </c>
      <c r="H52" s="453"/>
      <c r="I52" s="427"/>
      <c r="J52" s="433"/>
      <c r="K52" s="428">
        <f t="shared" si="3"/>
        <v>879820</v>
      </c>
      <c r="L52" s="588"/>
      <c r="M52" s="429">
        <f t="shared" si="4"/>
        <v>17596</v>
      </c>
      <c r="N52" s="429"/>
      <c r="O52" s="429"/>
      <c r="P52" s="430">
        <f t="shared" si="5"/>
        <v>0</v>
      </c>
      <c r="Q52" s="431">
        <f t="shared" si="1"/>
        <v>17596</v>
      </c>
      <c r="R52" s="427">
        <f t="shared" si="2"/>
        <v>862224</v>
      </c>
      <c r="S52" s="68"/>
      <c r="T52" s="69"/>
      <c r="U52" s="50"/>
      <c r="V52" s="50"/>
      <c r="W52" s="17"/>
      <c r="X52" s="72"/>
      <c r="Y52" s="73"/>
    </row>
    <row r="53" spans="1:25" s="35" customFormat="1" ht="27.95" customHeight="1">
      <c r="A53" s="51">
        <f t="shared" si="6"/>
        <v>41</v>
      </c>
      <c r="B53" s="253" t="s">
        <v>128</v>
      </c>
      <c r="C53" s="614" t="s">
        <v>129</v>
      </c>
      <c r="D53" s="569">
        <v>180753924</v>
      </c>
      <c r="E53" s="432">
        <v>31947</v>
      </c>
      <c r="F53" s="453">
        <f>VLOOKUP(B53,'KLCN t1 dot 1'!$B$13:$Z$83,25,0)</f>
        <v>20.69</v>
      </c>
      <c r="G53" s="427">
        <f t="shared" si="0"/>
        <v>660983</v>
      </c>
      <c r="H53" s="453"/>
      <c r="I53" s="427"/>
      <c r="J53" s="433"/>
      <c r="K53" s="428">
        <f t="shared" si="3"/>
        <v>660983</v>
      </c>
      <c r="L53" s="588"/>
      <c r="M53" s="429">
        <f t="shared" si="4"/>
        <v>13220</v>
      </c>
      <c r="N53" s="429"/>
      <c r="O53" s="429"/>
      <c r="P53" s="430">
        <f t="shared" si="5"/>
        <v>0</v>
      </c>
      <c r="Q53" s="431">
        <f t="shared" si="1"/>
        <v>13220</v>
      </c>
      <c r="R53" s="427">
        <f t="shared" si="2"/>
        <v>647763</v>
      </c>
      <c r="S53" s="68"/>
      <c r="T53" s="69"/>
      <c r="U53" s="50"/>
      <c r="V53" s="50"/>
      <c r="W53" s="17"/>
      <c r="X53" s="72"/>
      <c r="Y53" s="73"/>
    </row>
    <row r="54" spans="1:25" s="35" customFormat="1" ht="27.95" customHeight="1">
      <c r="A54" s="51">
        <f t="shared" si="6"/>
        <v>42</v>
      </c>
      <c r="B54" s="253" t="s">
        <v>188</v>
      </c>
      <c r="C54" s="614" t="s">
        <v>130</v>
      </c>
      <c r="D54" s="569">
        <v>220208904</v>
      </c>
      <c r="E54" s="432">
        <v>31947</v>
      </c>
      <c r="F54" s="453">
        <f>VLOOKUP(B54,'KLCN t1 dot 1'!$B$13:$Z$83,25,0)</f>
        <v>27.03</v>
      </c>
      <c r="G54" s="427">
        <f t="shared" si="0"/>
        <v>863527</v>
      </c>
      <c r="H54" s="453"/>
      <c r="I54" s="427"/>
      <c r="J54" s="433"/>
      <c r="K54" s="428">
        <f t="shared" si="3"/>
        <v>863527</v>
      </c>
      <c r="L54" s="588"/>
      <c r="M54" s="429">
        <f t="shared" si="4"/>
        <v>17271</v>
      </c>
      <c r="N54" s="429"/>
      <c r="O54" s="429"/>
      <c r="P54" s="430">
        <f t="shared" si="5"/>
        <v>0</v>
      </c>
      <c r="Q54" s="431">
        <f t="shared" si="1"/>
        <v>17271</v>
      </c>
      <c r="R54" s="427">
        <f t="shared" si="2"/>
        <v>846256</v>
      </c>
      <c r="S54" s="68"/>
      <c r="T54" s="69"/>
      <c r="U54" s="50"/>
      <c r="V54" s="50"/>
      <c r="W54" s="17"/>
      <c r="X54" s="72"/>
      <c r="Y54" s="73"/>
    </row>
    <row r="55" spans="1:25" s="35" customFormat="1" ht="27.95" customHeight="1">
      <c r="A55" s="51">
        <f t="shared" si="6"/>
        <v>43</v>
      </c>
      <c r="B55" s="567" t="s">
        <v>131</v>
      </c>
      <c r="C55" s="734" t="s">
        <v>132</v>
      </c>
      <c r="D55" s="569">
        <v>150978188</v>
      </c>
      <c r="E55" s="426">
        <v>31947</v>
      </c>
      <c r="F55" s="453">
        <f>VLOOKUP(B55,'KLCN t1 dot 1'!$B$13:$Z$83,25,0)</f>
        <v>24.029999999999998</v>
      </c>
      <c r="G55" s="427">
        <f t="shared" si="0"/>
        <v>767686</v>
      </c>
      <c r="H55" s="453"/>
      <c r="I55" s="427"/>
      <c r="J55" s="427"/>
      <c r="K55" s="428">
        <f t="shared" si="3"/>
        <v>767686</v>
      </c>
      <c r="L55" s="588"/>
      <c r="M55" s="429">
        <f t="shared" si="4"/>
        <v>15354</v>
      </c>
      <c r="N55" s="429"/>
      <c r="O55" s="429"/>
      <c r="P55" s="430">
        <f t="shared" si="5"/>
        <v>0</v>
      </c>
      <c r="Q55" s="431">
        <f t="shared" si="1"/>
        <v>15354</v>
      </c>
      <c r="R55" s="427">
        <f t="shared" si="2"/>
        <v>752332</v>
      </c>
      <c r="S55" s="68"/>
      <c r="T55" s="69"/>
      <c r="U55" s="50"/>
      <c r="V55" s="50">
        <f>R55-U55</f>
        <v>752332</v>
      </c>
      <c r="W55" s="17" t="e">
        <f>#REF!</f>
        <v>#REF!</v>
      </c>
      <c r="X55" s="17"/>
      <c r="Y55" s="73"/>
    </row>
    <row r="56" spans="1:25" s="35" customFormat="1" ht="27.95" customHeight="1">
      <c r="A56" s="51">
        <f t="shared" si="6"/>
        <v>44</v>
      </c>
      <c r="B56" s="567" t="s">
        <v>133</v>
      </c>
      <c r="C56" s="365" t="s">
        <v>134</v>
      </c>
      <c r="D56" s="569">
        <v>210070000</v>
      </c>
      <c r="E56" s="426">
        <v>31947</v>
      </c>
      <c r="F56" s="453">
        <f>VLOOKUP(B56,'KLCN t1 dot 1'!$B$13:$Z$83,25,0)</f>
        <v>11.79</v>
      </c>
      <c r="G56" s="427">
        <f t="shared" si="0"/>
        <v>376655</v>
      </c>
      <c r="H56" s="453"/>
      <c r="I56" s="427"/>
      <c r="J56" s="427"/>
      <c r="K56" s="428">
        <f t="shared" si="3"/>
        <v>376655</v>
      </c>
      <c r="L56" s="588"/>
      <c r="M56" s="429">
        <f t="shared" si="4"/>
        <v>8000</v>
      </c>
      <c r="N56" s="429"/>
      <c r="O56" s="429"/>
      <c r="P56" s="430">
        <f t="shared" si="5"/>
        <v>0</v>
      </c>
      <c r="Q56" s="431">
        <f t="shared" si="1"/>
        <v>8000</v>
      </c>
      <c r="R56" s="427">
        <f t="shared" si="2"/>
        <v>368655</v>
      </c>
      <c r="S56" s="68"/>
      <c r="T56" s="69"/>
      <c r="U56" s="50"/>
      <c r="V56" s="50"/>
      <c r="W56" s="17"/>
      <c r="X56" s="17"/>
      <c r="Y56" s="73"/>
    </row>
    <row r="57" spans="1:25" s="35" customFormat="1" ht="27.95" customHeight="1">
      <c r="A57" s="51">
        <f t="shared" si="6"/>
        <v>45</v>
      </c>
      <c r="B57" s="567" t="s">
        <v>137</v>
      </c>
      <c r="C57" s="365" t="s">
        <v>138</v>
      </c>
      <c r="D57" s="569">
        <v>150582874</v>
      </c>
      <c r="E57" s="426">
        <v>31947</v>
      </c>
      <c r="F57" s="453">
        <f>VLOOKUP(B57,'KLCN t1 dot 1'!$B$13:$Z$83,25,0)</f>
        <v>14</v>
      </c>
      <c r="G57" s="427">
        <f t="shared" si="0"/>
        <v>447258</v>
      </c>
      <c r="H57" s="453"/>
      <c r="I57" s="427"/>
      <c r="J57" s="427"/>
      <c r="K57" s="428">
        <f t="shared" si="3"/>
        <v>447258</v>
      </c>
      <c r="L57" s="588"/>
      <c r="M57" s="429">
        <f t="shared" si="4"/>
        <v>8945</v>
      </c>
      <c r="N57" s="429"/>
      <c r="O57" s="429"/>
      <c r="P57" s="430">
        <f t="shared" si="5"/>
        <v>0</v>
      </c>
      <c r="Q57" s="431">
        <f t="shared" si="1"/>
        <v>8945</v>
      </c>
      <c r="R57" s="427">
        <f t="shared" si="2"/>
        <v>438313</v>
      </c>
      <c r="S57" s="68"/>
      <c r="T57" s="69"/>
      <c r="U57" s="50"/>
      <c r="V57" s="50"/>
      <c r="W57" s="17"/>
      <c r="X57" s="17"/>
      <c r="Y57" s="73"/>
    </row>
    <row r="58" spans="1:25" s="35" customFormat="1" ht="27.95" customHeight="1">
      <c r="A58" s="51">
        <f t="shared" si="6"/>
        <v>46</v>
      </c>
      <c r="B58" s="567" t="s">
        <v>139</v>
      </c>
      <c r="C58" s="365" t="s">
        <v>140</v>
      </c>
      <c r="D58" s="569" t="s">
        <v>190</v>
      </c>
      <c r="E58" s="426">
        <v>31947</v>
      </c>
      <c r="F58" s="453">
        <f>VLOOKUP(B58,'KLCN t1 dot 1'!$B$13:$Z$83,25,0)</f>
        <v>9.7100000000000009</v>
      </c>
      <c r="G58" s="427">
        <f t="shared" si="0"/>
        <v>310205</v>
      </c>
      <c r="H58" s="453"/>
      <c r="I58" s="427"/>
      <c r="J58" s="427"/>
      <c r="K58" s="428">
        <f t="shared" si="3"/>
        <v>310205</v>
      </c>
      <c r="L58" s="588"/>
      <c r="M58" s="429">
        <f t="shared" si="4"/>
        <v>8000</v>
      </c>
      <c r="N58" s="429"/>
      <c r="O58" s="429"/>
      <c r="P58" s="430">
        <f t="shared" si="5"/>
        <v>0</v>
      </c>
      <c r="Q58" s="431">
        <f t="shared" si="1"/>
        <v>8000</v>
      </c>
      <c r="R58" s="427">
        <f t="shared" si="2"/>
        <v>302205</v>
      </c>
      <c r="S58" s="68"/>
      <c r="T58" s="69"/>
      <c r="U58" s="50"/>
      <c r="V58" s="50">
        <f>R58-U58</f>
        <v>302205</v>
      </c>
      <c r="W58" s="17" t="e">
        <f>#REF!</f>
        <v>#REF!</v>
      </c>
      <c r="X58" s="72">
        <v>150000</v>
      </c>
      <c r="Y58" s="73"/>
    </row>
    <row r="59" spans="1:25" s="35" customFormat="1" ht="27.95" customHeight="1">
      <c r="A59" s="51">
        <f t="shared" si="6"/>
        <v>47</v>
      </c>
      <c r="B59" s="567" t="s">
        <v>141</v>
      </c>
      <c r="C59" s="365" t="s">
        <v>142</v>
      </c>
      <c r="D59" s="569">
        <v>151058048</v>
      </c>
      <c r="E59" s="426">
        <v>31947</v>
      </c>
      <c r="F59" s="453">
        <f>VLOOKUP(B59,'KLCN t1 dot 1'!$B$13:$Z$83,25,0)</f>
        <v>16.7</v>
      </c>
      <c r="G59" s="427">
        <f t="shared" si="0"/>
        <v>533515</v>
      </c>
      <c r="H59" s="453"/>
      <c r="I59" s="427"/>
      <c r="J59" s="427"/>
      <c r="K59" s="428">
        <f t="shared" si="3"/>
        <v>533515</v>
      </c>
      <c r="L59" s="588"/>
      <c r="M59" s="429">
        <f t="shared" si="4"/>
        <v>10670</v>
      </c>
      <c r="N59" s="429"/>
      <c r="O59" s="429"/>
      <c r="P59" s="430">
        <f t="shared" si="5"/>
        <v>0</v>
      </c>
      <c r="Q59" s="431">
        <f t="shared" si="1"/>
        <v>10670</v>
      </c>
      <c r="R59" s="427">
        <f t="shared" si="2"/>
        <v>522845</v>
      </c>
      <c r="S59" s="68"/>
      <c r="T59" s="69"/>
      <c r="U59" s="50"/>
      <c r="V59" s="50"/>
      <c r="W59" s="17"/>
      <c r="X59" s="72"/>
      <c r="Y59" s="73"/>
    </row>
    <row r="60" spans="1:25" s="35" customFormat="1" ht="30" customHeight="1">
      <c r="A60" s="51">
        <f t="shared" si="6"/>
        <v>48</v>
      </c>
      <c r="B60" s="567" t="s">
        <v>143</v>
      </c>
      <c r="C60" s="365" t="s">
        <v>144</v>
      </c>
      <c r="D60" s="569">
        <v>150925395</v>
      </c>
      <c r="E60" s="426">
        <v>31947</v>
      </c>
      <c r="F60" s="453">
        <f>VLOOKUP(B60,'KLCN t1 dot 1'!$B$13:$Z$83,25,0)</f>
        <v>19.61</v>
      </c>
      <c r="G60" s="427">
        <f t="shared" si="0"/>
        <v>626481</v>
      </c>
      <c r="H60" s="453"/>
      <c r="I60" s="427"/>
      <c r="J60" s="427"/>
      <c r="K60" s="428">
        <f t="shared" si="3"/>
        <v>626481</v>
      </c>
      <c r="L60" s="588"/>
      <c r="M60" s="429">
        <f t="shared" si="4"/>
        <v>12530</v>
      </c>
      <c r="N60" s="429"/>
      <c r="O60" s="429"/>
      <c r="P60" s="430">
        <f t="shared" si="5"/>
        <v>0</v>
      </c>
      <c r="Q60" s="431">
        <f t="shared" si="1"/>
        <v>12530</v>
      </c>
      <c r="R60" s="427">
        <f t="shared" si="2"/>
        <v>613951</v>
      </c>
      <c r="S60" s="68"/>
      <c r="T60" s="69"/>
      <c r="U60" s="50"/>
      <c r="V60" s="50"/>
      <c r="W60" s="17"/>
      <c r="X60" s="72"/>
      <c r="Y60" s="73"/>
    </row>
    <row r="61" spans="1:25" s="35" customFormat="1" ht="30" customHeight="1">
      <c r="A61" s="51">
        <f t="shared" si="6"/>
        <v>49</v>
      </c>
      <c r="B61" s="567" t="s">
        <v>145</v>
      </c>
      <c r="C61" s="365" t="s">
        <v>146</v>
      </c>
      <c r="D61" s="569">
        <v>151075912</v>
      </c>
      <c r="E61" s="426">
        <v>31947</v>
      </c>
      <c r="F61" s="453">
        <f>VLOOKUP(B61,'KLCN t1 dot 1'!$B$13:$Z$83,25,0)</f>
        <v>16.7</v>
      </c>
      <c r="G61" s="427">
        <f t="shared" si="0"/>
        <v>533515</v>
      </c>
      <c r="H61" s="453"/>
      <c r="I61" s="427"/>
      <c r="J61" s="427"/>
      <c r="K61" s="428">
        <f t="shared" si="3"/>
        <v>533515</v>
      </c>
      <c r="L61" s="588"/>
      <c r="M61" s="429">
        <f t="shared" si="4"/>
        <v>10670</v>
      </c>
      <c r="N61" s="429"/>
      <c r="O61" s="429"/>
      <c r="P61" s="430">
        <f t="shared" si="5"/>
        <v>0</v>
      </c>
      <c r="Q61" s="431">
        <f t="shared" si="1"/>
        <v>10670</v>
      </c>
      <c r="R61" s="427">
        <f t="shared" si="2"/>
        <v>522845</v>
      </c>
      <c r="S61" s="68"/>
      <c r="T61" s="69"/>
      <c r="U61" s="50"/>
      <c r="V61" s="50">
        <f>R61-U61</f>
        <v>522845</v>
      </c>
      <c r="W61" s="17" t="e">
        <f>#REF!</f>
        <v>#REF!</v>
      </c>
      <c r="X61" s="17">
        <v>100000</v>
      </c>
      <c r="Y61" s="73"/>
    </row>
    <row r="62" spans="1:25" s="35" customFormat="1" ht="30" customHeight="1">
      <c r="A62" s="51">
        <f t="shared" si="6"/>
        <v>50</v>
      </c>
      <c r="B62" s="580" t="s">
        <v>147</v>
      </c>
      <c r="C62" s="338" t="s">
        <v>148</v>
      </c>
      <c r="D62" s="569">
        <v>151055393</v>
      </c>
      <c r="E62" s="426">
        <v>31947</v>
      </c>
      <c r="F62" s="453">
        <f>VLOOKUP(B62,'KLCN t1 dot 1'!$B$13:$Z$83,25,0)</f>
        <v>21.49</v>
      </c>
      <c r="G62" s="427">
        <f t="shared" si="0"/>
        <v>686541</v>
      </c>
      <c r="H62" s="453"/>
      <c r="I62" s="427"/>
      <c r="J62" s="427"/>
      <c r="K62" s="428">
        <f t="shared" si="3"/>
        <v>686541</v>
      </c>
      <c r="L62" s="588"/>
      <c r="M62" s="429">
        <f t="shared" si="4"/>
        <v>13731</v>
      </c>
      <c r="N62" s="429"/>
      <c r="O62" s="429"/>
      <c r="P62" s="430">
        <f t="shared" si="5"/>
        <v>0</v>
      </c>
      <c r="Q62" s="431">
        <f t="shared" si="1"/>
        <v>13731</v>
      </c>
      <c r="R62" s="427">
        <f t="shared" si="2"/>
        <v>672810</v>
      </c>
      <c r="S62" s="68"/>
      <c r="T62" s="69"/>
      <c r="U62" s="50"/>
      <c r="V62" s="50"/>
      <c r="W62" s="17"/>
      <c r="X62" s="17"/>
      <c r="Y62" s="73"/>
    </row>
    <row r="63" spans="1:25" s="35" customFormat="1" ht="30" customHeight="1">
      <c r="A63" s="51">
        <f t="shared" si="6"/>
        <v>51</v>
      </c>
      <c r="B63" s="567" t="s">
        <v>149</v>
      </c>
      <c r="C63" s="365" t="s">
        <v>150</v>
      </c>
      <c r="D63" s="569">
        <v>150981411</v>
      </c>
      <c r="E63" s="426">
        <v>31947</v>
      </c>
      <c r="F63" s="453">
        <f>VLOOKUP(B63,'KLCN t1 dot 1'!$B$13:$Z$83,25,0)</f>
        <v>14.7</v>
      </c>
      <c r="G63" s="427">
        <f t="shared" si="0"/>
        <v>469621</v>
      </c>
      <c r="H63" s="453"/>
      <c r="I63" s="427"/>
      <c r="J63" s="427"/>
      <c r="K63" s="428">
        <f t="shared" si="3"/>
        <v>469621</v>
      </c>
      <c r="L63" s="588"/>
      <c r="M63" s="429">
        <f t="shared" si="4"/>
        <v>9392</v>
      </c>
      <c r="N63" s="429"/>
      <c r="O63" s="429"/>
      <c r="P63" s="430">
        <f t="shared" si="5"/>
        <v>0</v>
      </c>
      <c r="Q63" s="431">
        <f t="shared" si="1"/>
        <v>9392</v>
      </c>
      <c r="R63" s="427">
        <f t="shared" si="2"/>
        <v>460229</v>
      </c>
      <c r="S63" s="68"/>
      <c r="T63" s="69"/>
      <c r="U63" s="50"/>
      <c r="V63" s="50"/>
      <c r="W63" s="17"/>
      <c r="X63" s="17"/>
      <c r="Y63" s="73"/>
    </row>
    <row r="64" spans="1:25" s="35" customFormat="1" ht="30" customHeight="1">
      <c r="A64" s="51">
        <f t="shared" si="6"/>
        <v>52</v>
      </c>
      <c r="B64" s="603" t="s">
        <v>151</v>
      </c>
      <c r="C64" s="585" t="s">
        <v>152</v>
      </c>
      <c r="D64" s="569">
        <v>151029997</v>
      </c>
      <c r="E64" s="426">
        <v>31947</v>
      </c>
      <c r="F64" s="453">
        <f>VLOOKUP(B64,'KLCN t1 dot 1'!$B$13:$Z$83,25,0)</f>
        <v>11.79</v>
      </c>
      <c r="G64" s="427">
        <f t="shared" si="0"/>
        <v>376655</v>
      </c>
      <c r="H64" s="453"/>
      <c r="I64" s="427"/>
      <c r="J64" s="427"/>
      <c r="K64" s="428">
        <f t="shared" si="3"/>
        <v>376655</v>
      </c>
      <c r="L64" s="588"/>
      <c r="M64" s="429">
        <f t="shared" si="4"/>
        <v>8000</v>
      </c>
      <c r="N64" s="429"/>
      <c r="O64" s="429"/>
      <c r="P64" s="430">
        <f t="shared" si="5"/>
        <v>0</v>
      </c>
      <c r="Q64" s="431">
        <f t="shared" si="1"/>
        <v>8000</v>
      </c>
      <c r="R64" s="427">
        <f t="shared" si="2"/>
        <v>368655</v>
      </c>
      <c r="S64" s="68"/>
      <c r="T64" s="69"/>
      <c r="U64" s="50">
        <v>50000</v>
      </c>
      <c r="V64" s="50">
        <f>R64-U64</f>
        <v>318655</v>
      </c>
      <c r="W64" s="17" t="e">
        <f>#REF!</f>
        <v>#REF!</v>
      </c>
      <c r="X64" s="17">
        <v>100000</v>
      </c>
      <c r="Y64" s="73"/>
    </row>
    <row r="65" spans="1:25" s="35" customFormat="1" ht="30" customHeight="1">
      <c r="A65" s="51">
        <f t="shared" si="6"/>
        <v>53</v>
      </c>
      <c r="B65" s="603" t="s">
        <v>153</v>
      </c>
      <c r="C65" s="585" t="s">
        <v>154</v>
      </c>
      <c r="D65" s="569">
        <v>181167293</v>
      </c>
      <c r="E65" s="426">
        <v>31947</v>
      </c>
      <c r="F65" s="453">
        <f>VLOOKUP(B65,'KLCN t1 dot 1'!$B$13:$Z$83,25,0)</f>
        <v>14.7</v>
      </c>
      <c r="G65" s="427">
        <f t="shared" si="0"/>
        <v>469621</v>
      </c>
      <c r="H65" s="453"/>
      <c r="I65" s="427"/>
      <c r="J65" s="427"/>
      <c r="K65" s="428">
        <f t="shared" si="3"/>
        <v>469621</v>
      </c>
      <c r="L65" s="588"/>
      <c r="M65" s="429">
        <f t="shared" si="4"/>
        <v>9392</v>
      </c>
      <c r="N65" s="429"/>
      <c r="O65" s="429"/>
      <c r="P65" s="430">
        <f t="shared" si="5"/>
        <v>0</v>
      </c>
      <c r="Q65" s="431">
        <f t="shared" si="1"/>
        <v>9392</v>
      </c>
      <c r="R65" s="427">
        <f t="shared" si="2"/>
        <v>460229</v>
      </c>
      <c r="S65" s="68"/>
      <c r="T65" s="69"/>
      <c r="U65" s="50"/>
      <c r="V65" s="50"/>
      <c r="W65" s="17"/>
      <c r="X65" s="17"/>
      <c r="Y65" s="73"/>
    </row>
    <row r="66" spans="1:25" s="35" customFormat="1" ht="30" customHeight="1">
      <c r="A66" s="51">
        <f t="shared" si="6"/>
        <v>54</v>
      </c>
      <c r="B66" s="603" t="s">
        <v>155</v>
      </c>
      <c r="C66" s="585" t="s">
        <v>156</v>
      </c>
      <c r="D66" s="569">
        <v>151048971</v>
      </c>
      <c r="E66" s="426">
        <v>31947</v>
      </c>
      <c r="F66" s="453">
        <f>VLOOKUP(B66,'KLCN t1 dot 1'!$B$13:$Z$83,25,0)</f>
        <v>14.7</v>
      </c>
      <c r="G66" s="427">
        <f t="shared" si="0"/>
        <v>469621</v>
      </c>
      <c r="H66" s="453"/>
      <c r="I66" s="427"/>
      <c r="J66" s="427"/>
      <c r="K66" s="428">
        <f t="shared" si="3"/>
        <v>469621</v>
      </c>
      <c r="L66" s="588"/>
      <c r="M66" s="429">
        <f t="shared" si="4"/>
        <v>9392</v>
      </c>
      <c r="N66" s="429"/>
      <c r="O66" s="429"/>
      <c r="P66" s="430">
        <f t="shared" si="5"/>
        <v>0</v>
      </c>
      <c r="Q66" s="431">
        <f t="shared" si="1"/>
        <v>9392</v>
      </c>
      <c r="R66" s="427">
        <f t="shared" si="2"/>
        <v>460229</v>
      </c>
      <c r="S66" s="68"/>
      <c r="T66" s="69"/>
      <c r="U66" s="50"/>
      <c r="V66" s="50"/>
      <c r="W66" s="17"/>
      <c r="X66" s="17"/>
      <c r="Y66" s="73"/>
    </row>
    <row r="67" spans="1:25" s="35" customFormat="1" ht="30" customHeight="1">
      <c r="A67" s="51">
        <f t="shared" si="6"/>
        <v>55</v>
      </c>
      <c r="B67" s="603" t="s">
        <v>157</v>
      </c>
      <c r="C67" s="585" t="s">
        <v>158</v>
      </c>
      <c r="D67" s="569">
        <v>150845321</v>
      </c>
      <c r="E67" s="426">
        <v>31947</v>
      </c>
      <c r="F67" s="453">
        <f>VLOOKUP(B67,'KLCN t1 dot 1'!$B$13:$Z$83,25,0)</f>
        <v>16.7</v>
      </c>
      <c r="G67" s="427">
        <f t="shared" si="0"/>
        <v>533515</v>
      </c>
      <c r="H67" s="453"/>
      <c r="I67" s="427"/>
      <c r="J67" s="427"/>
      <c r="K67" s="428">
        <f t="shared" si="3"/>
        <v>533515</v>
      </c>
      <c r="L67" s="588"/>
      <c r="M67" s="429">
        <f t="shared" si="4"/>
        <v>10670</v>
      </c>
      <c r="N67" s="429"/>
      <c r="O67" s="429"/>
      <c r="P67" s="430">
        <f t="shared" si="5"/>
        <v>0</v>
      </c>
      <c r="Q67" s="431">
        <f t="shared" si="1"/>
        <v>10670</v>
      </c>
      <c r="R67" s="427">
        <f t="shared" si="2"/>
        <v>522845</v>
      </c>
      <c r="S67" s="68"/>
      <c r="T67" s="69"/>
      <c r="U67" s="50"/>
      <c r="V67" s="50"/>
      <c r="W67" s="17"/>
      <c r="X67" s="17"/>
      <c r="Y67" s="73"/>
    </row>
    <row r="68" spans="1:25" s="35" customFormat="1" ht="30" customHeight="1">
      <c r="A68" s="51">
        <f t="shared" si="6"/>
        <v>56</v>
      </c>
      <c r="B68" s="603" t="s">
        <v>221</v>
      </c>
      <c r="C68" s="585" t="s">
        <v>222</v>
      </c>
      <c r="D68" s="569">
        <v>190569581</v>
      </c>
      <c r="E68" s="426">
        <v>31947</v>
      </c>
      <c r="F68" s="453">
        <f>VLOOKUP(B68,'KLCN t1 dot 1'!$B$13:$Z$83,25,0)</f>
        <v>11.79</v>
      </c>
      <c r="G68" s="427">
        <f t="shared" si="0"/>
        <v>376655</v>
      </c>
      <c r="H68" s="453"/>
      <c r="I68" s="427"/>
      <c r="J68" s="427"/>
      <c r="K68" s="428">
        <f t="shared" si="3"/>
        <v>376655</v>
      </c>
      <c r="L68" s="588"/>
      <c r="M68" s="429">
        <f t="shared" si="4"/>
        <v>8000</v>
      </c>
      <c r="N68" s="429"/>
      <c r="O68" s="429"/>
      <c r="P68" s="430">
        <f t="shared" si="5"/>
        <v>0</v>
      </c>
      <c r="Q68" s="431">
        <f t="shared" si="1"/>
        <v>8000</v>
      </c>
      <c r="R68" s="427">
        <f t="shared" si="2"/>
        <v>368655</v>
      </c>
      <c r="S68" s="68"/>
      <c r="T68" s="69"/>
      <c r="U68" s="50"/>
      <c r="V68" s="50"/>
      <c r="W68" s="17"/>
      <c r="X68" s="17"/>
      <c r="Y68" s="73"/>
    </row>
    <row r="69" spans="1:25" s="35" customFormat="1" ht="30" customHeight="1">
      <c r="A69" s="51">
        <f t="shared" si="6"/>
        <v>57</v>
      </c>
      <c r="B69" s="603" t="s">
        <v>265</v>
      </c>
      <c r="C69" s="585" t="s">
        <v>266</v>
      </c>
      <c r="D69" s="569">
        <v>150273869</v>
      </c>
      <c r="E69" s="426">
        <v>31947</v>
      </c>
      <c r="F69" s="453">
        <f>VLOOKUP(B69,'KLCN t1 dot 1'!$B$13:$Z$83,25,0)</f>
        <v>11.79</v>
      </c>
      <c r="G69" s="427">
        <f t="shared" si="0"/>
        <v>376655</v>
      </c>
      <c r="H69" s="453"/>
      <c r="I69" s="427"/>
      <c r="J69" s="427"/>
      <c r="K69" s="428">
        <f t="shared" si="3"/>
        <v>376655</v>
      </c>
      <c r="L69" s="588"/>
      <c r="M69" s="429">
        <f t="shared" si="4"/>
        <v>8000</v>
      </c>
      <c r="N69" s="429"/>
      <c r="O69" s="429"/>
      <c r="P69" s="430">
        <f t="shared" si="5"/>
        <v>0</v>
      </c>
      <c r="Q69" s="431">
        <f t="shared" si="1"/>
        <v>8000</v>
      </c>
      <c r="R69" s="427">
        <f t="shared" si="2"/>
        <v>368655</v>
      </c>
      <c r="S69" s="68"/>
      <c r="T69" s="69"/>
      <c r="U69" s="50"/>
      <c r="V69" s="50">
        <f>R69-U69</f>
        <v>368655</v>
      </c>
      <c r="W69" s="17" t="e">
        <f>#REF!</f>
        <v>#REF!</v>
      </c>
      <c r="X69" s="17"/>
      <c r="Y69" s="73"/>
    </row>
    <row r="70" spans="1:25" s="35" customFormat="1" ht="27.95" customHeight="1">
      <c r="A70" s="51">
        <f t="shared" si="6"/>
        <v>58</v>
      </c>
      <c r="B70" s="603" t="s">
        <v>282</v>
      </c>
      <c r="C70" s="750" t="s">
        <v>283</v>
      </c>
      <c r="D70" s="569">
        <v>220175294</v>
      </c>
      <c r="E70" s="426">
        <v>31947</v>
      </c>
      <c r="F70" s="453">
        <f>VLOOKUP(B70,'KLCN t1 dot 1'!$B$13:$Z$83,25,0)</f>
        <v>18.569999999999997</v>
      </c>
      <c r="G70" s="427">
        <f t="shared" si="0"/>
        <v>593256</v>
      </c>
      <c r="H70" s="453"/>
      <c r="I70" s="427"/>
      <c r="J70" s="427"/>
      <c r="K70" s="428">
        <f t="shared" si="3"/>
        <v>593256</v>
      </c>
      <c r="L70" s="588"/>
      <c r="M70" s="429">
        <f t="shared" si="4"/>
        <v>11865</v>
      </c>
      <c r="N70" s="429"/>
      <c r="O70" s="429"/>
      <c r="P70" s="430">
        <f t="shared" si="5"/>
        <v>0</v>
      </c>
      <c r="Q70" s="431">
        <f t="shared" si="1"/>
        <v>11865</v>
      </c>
      <c r="R70" s="427">
        <f t="shared" si="2"/>
        <v>581391</v>
      </c>
      <c r="S70" s="68"/>
      <c r="T70" s="69"/>
      <c r="U70" s="50"/>
      <c r="V70" s="50"/>
      <c r="W70" s="17"/>
      <c r="X70" s="17"/>
      <c r="Y70" s="73"/>
    </row>
    <row r="71" spans="1:25" s="35" customFormat="1" ht="27.95" customHeight="1">
      <c r="A71" s="51">
        <f t="shared" si="6"/>
        <v>59</v>
      </c>
      <c r="B71" s="603" t="s">
        <v>284</v>
      </c>
      <c r="C71" s="585" t="s">
        <v>285</v>
      </c>
      <c r="D71" s="569">
        <v>181068674</v>
      </c>
      <c r="E71" s="426">
        <v>31947</v>
      </c>
      <c r="F71" s="453">
        <f>VLOOKUP(B71,'KLCN t1 dot 1'!$B$13:$Z$83,25,0)</f>
        <v>17.55</v>
      </c>
      <c r="G71" s="427">
        <f t="shared" si="0"/>
        <v>560670</v>
      </c>
      <c r="H71" s="453"/>
      <c r="I71" s="427"/>
      <c r="J71" s="427"/>
      <c r="K71" s="428">
        <f t="shared" si="3"/>
        <v>560670</v>
      </c>
      <c r="L71" s="588"/>
      <c r="M71" s="429">
        <f t="shared" si="4"/>
        <v>11213</v>
      </c>
      <c r="N71" s="429"/>
      <c r="O71" s="429"/>
      <c r="P71" s="430">
        <f t="shared" si="5"/>
        <v>0</v>
      </c>
      <c r="Q71" s="431">
        <f t="shared" si="1"/>
        <v>11213</v>
      </c>
      <c r="R71" s="427">
        <f t="shared" si="2"/>
        <v>549457</v>
      </c>
      <c r="S71" s="68"/>
      <c r="T71" s="69"/>
      <c r="U71" s="50"/>
      <c r="V71" s="50"/>
      <c r="W71" s="17"/>
      <c r="X71" s="17"/>
      <c r="Y71" s="73"/>
    </row>
    <row r="72" spans="1:25" s="35" customFormat="1" ht="27.95" customHeight="1">
      <c r="A72" s="51">
        <f t="shared" si="6"/>
        <v>60</v>
      </c>
      <c r="B72" s="603" t="s">
        <v>286</v>
      </c>
      <c r="C72" s="585" t="s">
        <v>287</v>
      </c>
      <c r="D72" s="569">
        <v>220139991</v>
      </c>
      <c r="E72" s="426">
        <v>31947</v>
      </c>
      <c r="F72" s="453">
        <f>VLOOKUP(B72,'KLCN t1 dot 1'!$B$13:$Z$83,25,0)</f>
        <v>9.7200000000000006</v>
      </c>
      <c r="G72" s="427">
        <f t="shared" si="0"/>
        <v>310525</v>
      </c>
      <c r="H72" s="453"/>
      <c r="I72" s="427"/>
      <c r="J72" s="427"/>
      <c r="K72" s="428">
        <f t="shared" si="3"/>
        <v>310525</v>
      </c>
      <c r="L72" s="588"/>
      <c r="M72" s="429">
        <f t="shared" si="4"/>
        <v>8000</v>
      </c>
      <c r="N72" s="429"/>
      <c r="O72" s="429"/>
      <c r="P72" s="430">
        <f t="shared" si="5"/>
        <v>0</v>
      </c>
      <c r="Q72" s="431">
        <f t="shared" si="1"/>
        <v>8000</v>
      </c>
      <c r="R72" s="427">
        <f t="shared" si="2"/>
        <v>302525</v>
      </c>
      <c r="S72" s="68"/>
      <c r="T72" s="69"/>
      <c r="U72" s="50"/>
      <c r="V72" s="50"/>
      <c r="W72" s="17"/>
      <c r="X72" s="17"/>
      <c r="Y72" s="73"/>
    </row>
    <row r="73" spans="1:25" s="35" customFormat="1" ht="27.95" customHeight="1">
      <c r="A73" s="51">
        <f t="shared" si="6"/>
        <v>61</v>
      </c>
      <c r="B73" s="603" t="s">
        <v>325</v>
      </c>
      <c r="C73" s="750" t="s">
        <v>326</v>
      </c>
      <c r="D73" s="569">
        <v>150582830</v>
      </c>
      <c r="E73" s="426">
        <v>31947</v>
      </c>
      <c r="F73" s="453">
        <f>VLOOKUP(B73,'KLCN t1 dot 1'!$B$13:$Z$83,25,0)</f>
        <v>14.5</v>
      </c>
      <c r="G73" s="427">
        <f t="shared" si="0"/>
        <v>463232</v>
      </c>
      <c r="H73" s="453"/>
      <c r="I73" s="427"/>
      <c r="J73" s="427"/>
      <c r="K73" s="428">
        <f t="shared" si="3"/>
        <v>463232</v>
      </c>
      <c r="L73" s="588"/>
      <c r="M73" s="429">
        <f t="shared" si="4"/>
        <v>9265</v>
      </c>
      <c r="N73" s="429"/>
      <c r="O73" s="429"/>
      <c r="P73" s="430">
        <f t="shared" si="5"/>
        <v>0</v>
      </c>
      <c r="Q73" s="431">
        <f t="shared" si="1"/>
        <v>9265</v>
      </c>
      <c r="R73" s="427">
        <f t="shared" si="2"/>
        <v>453967</v>
      </c>
      <c r="S73" s="68"/>
      <c r="T73" s="69"/>
      <c r="U73" s="50"/>
      <c r="V73" s="50"/>
      <c r="W73" s="17"/>
      <c r="X73" s="17"/>
      <c r="Y73" s="73"/>
    </row>
    <row r="74" spans="1:25" s="35" customFormat="1" ht="27.95" customHeight="1">
      <c r="A74" s="51">
        <f t="shared" si="6"/>
        <v>62</v>
      </c>
      <c r="B74" s="603" t="s">
        <v>346</v>
      </c>
      <c r="C74" s="585" t="s">
        <v>347</v>
      </c>
      <c r="D74" s="569">
        <v>150352388</v>
      </c>
      <c r="E74" s="426">
        <v>31947</v>
      </c>
      <c r="F74" s="453">
        <f>VLOOKUP(B74,'KLCN t1 dot 1'!$B$13:$Z$83,25,0)</f>
        <v>7.8999999999999995</v>
      </c>
      <c r="G74" s="427">
        <f t="shared" si="0"/>
        <v>252381</v>
      </c>
      <c r="H74" s="453"/>
      <c r="I74" s="427"/>
      <c r="J74" s="427"/>
      <c r="K74" s="428">
        <f t="shared" ref="K74" si="7">I74+J74+G74</f>
        <v>252381</v>
      </c>
      <c r="L74" s="588"/>
      <c r="M74" s="429">
        <f t="shared" si="4"/>
        <v>8000</v>
      </c>
      <c r="N74" s="429"/>
      <c r="O74" s="429"/>
      <c r="P74" s="430">
        <f t="shared" ref="P74" si="8">ROUND(IF((K74-J74-N74)&lt;=1500000,0,IF(AND(((K74-J74-N74))&gt;1500000,((K74-J74-N74))&lt;=2000000),((K74-J74-N74))*5%-75000,IF(AND(((K74-J74-N74))&gt;2000000,((K74-J74-N74))&lt;=8500000),((K74-J74-N74))*10%-175000))),0)</f>
        <v>0</v>
      </c>
      <c r="Q74" s="431">
        <f t="shared" si="1"/>
        <v>8000</v>
      </c>
      <c r="R74" s="427">
        <f t="shared" si="2"/>
        <v>244381</v>
      </c>
      <c r="S74" s="68"/>
      <c r="T74" s="69"/>
      <c r="U74" s="50"/>
      <c r="V74" s="50"/>
      <c r="W74" s="17"/>
      <c r="X74" s="17"/>
      <c r="Y74" s="73"/>
    </row>
    <row r="75" spans="1:25" s="35" customFormat="1" ht="27.95" customHeight="1">
      <c r="A75" s="51">
        <f>+A74+1</f>
        <v>63</v>
      </c>
      <c r="B75" s="253" t="s">
        <v>159</v>
      </c>
      <c r="C75" s="615" t="s">
        <v>160</v>
      </c>
      <c r="D75" s="569">
        <v>150740078</v>
      </c>
      <c r="E75" s="426">
        <v>31947</v>
      </c>
      <c r="F75" s="453">
        <f>VLOOKUP(B75,'KLCN t1 dot 1'!$B$13:$Z$83,25,0)</f>
        <v>34.86</v>
      </c>
      <c r="G75" s="427">
        <f t="shared" si="0"/>
        <v>1113672</v>
      </c>
      <c r="H75" s="453"/>
      <c r="I75" s="427"/>
      <c r="J75" s="427"/>
      <c r="K75" s="428">
        <f>I75+J75+G75</f>
        <v>1113672</v>
      </c>
      <c r="L75" s="588"/>
      <c r="M75" s="429">
        <f t="shared" si="4"/>
        <v>22273</v>
      </c>
      <c r="N75" s="429"/>
      <c r="O75" s="429"/>
      <c r="P75" s="430">
        <f t="shared" si="5"/>
        <v>0</v>
      </c>
      <c r="Q75" s="431">
        <f t="shared" si="1"/>
        <v>22273</v>
      </c>
      <c r="R75" s="427">
        <f t="shared" si="2"/>
        <v>1091399</v>
      </c>
      <c r="S75" s="68"/>
      <c r="T75" s="69"/>
      <c r="U75" s="50"/>
      <c r="V75" s="50"/>
      <c r="W75" s="17"/>
      <c r="X75" s="17"/>
      <c r="Y75" s="73"/>
    </row>
    <row r="76" spans="1:25" s="35" customFormat="1" ht="27.95" customHeight="1">
      <c r="A76" s="51">
        <f t="shared" si="6"/>
        <v>64</v>
      </c>
      <c r="B76" s="253" t="s">
        <v>161</v>
      </c>
      <c r="C76" s="612" t="s">
        <v>162</v>
      </c>
      <c r="D76" s="569">
        <v>150922981</v>
      </c>
      <c r="E76" s="426">
        <v>31947</v>
      </c>
      <c r="F76" s="453">
        <f>VLOOKUP(B76,'KLCN t1 dot 1'!$B$13:$Z$83,25,0)</f>
        <v>31.7</v>
      </c>
      <c r="G76" s="427">
        <f t="shared" si="0"/>
        <v>1012720</v>
      </c>
      <c r="H76" s="453"/>
      <c r="I76" s="427"/>
      <c r="J76" s="427"/>
      <c r="K76" s="428">
        <f t="shared" ref="K76:K77" si="9">I76+J76+G76</f>
        <v>1012720</v>
      </c>
      <c r="L76" s="588"/>
      <c r="M76" s="429">
        <f t="shared" si="4"/>
        <v>20254</v>
      </c>
      <c r="N76" s="429"/>
      <c r="O76" s="429"/>
      <c r="P76" s="430">
        <f t="shared" ref="P76:P77" si="10">ROUND(IF((K76-J76-N76)&lt;=1500000,0,IF(AND(((K76-J76-N76))&gt;1500000,((K76-J76-N76))&lt;=2000000),((K76-J76-N76))*5%-75000,IF(AND(((K76-J76-N76))&gt;2000000,((K76-J76-N76))&lt;=8500000),((K76-J76-N76))*10%-175000))),0)</f>
        <v>0</v>
      </c>
      <c r="Q76" s="431">
        <f t="shared" ref="Q76:Q83" si="11">L76+M76+O76+P76</f>
        <v>20254</v>
      </c>
      <c r="R76" s="427">
        <f t="shared" si="2"/>
        <v>992466</v>
      </c>
      <c r="S76" s="68"/>
      <c r="T76" s="69"/>
      <c r="U76" s="50"/>
      <c r="V76" s="50"/>
      <c r="W76" s="17"/>
      <c r="X76" s="17"/>
      <c r="Y76" s="73"/>
    </row>
    <row r="77" spans="1:25" s="35" customFormat="1" ht="27.95" customHeight="1">
      <c r="A77" s="51">
        <f t="shared" si="6"/>
        <v>65</v>
      </c>
      <c r="B77" s="619" t="s">
        <v>163</v>
      </c>
      <c r="C77" s="615" t="s">
        <v>164</v>
      </c>
      <c r="D77" s="569">
        <v>150627964</v>
      </c>
      <c r="E77" s="426">
        <v>31947</v>
      </c>
      <c r="F77" s="453">
        <f>VLOOKUP(B77,'KLCN t1 dot 1'!$B$13:$Z$83,25,0)</f>
        <v>31.7</v>
      </c>
      <c r="G77" s="427">
        <f t="shared" ref="G77:G83" si="12">ROUND(F77*E77,0)</f>
        <v>1012720</v>
      </c>
      <c r="H77" s="453"/>
      <c r="I77" s="427"/>
      <c r="J77" s="427"/>
      <c r="K77" s="428">
        <f t="shared" si="9"/>
        <v>1012720</v>
      </c>
      <c r="L77" s="588"/>
      <c r="M77" s="429">
        <f t="shared" ref="M77:M83" si="13">IF(G77&lt;=400000,400000*2%,IF(G77&lt;=1200000,ROUND(G77*2%,0),ROUND(1200000*2%,0)))</f>
        <v>20254</v>
      </c>
      <c r="N77" s="429"/>
      <c r="O77" s="429"/>
      <c r="P77" s="430">
        <f t="shared" si="10"/>
        <v>0</v>
      </c>
      <c r="Q77" s="431">
        <f t="shared" si="11"/>
        <v>20254</v>
      </c>
      <c r="R77" s="427">
        <f t="shared" si="2"/>
        <v>992466</v>
      </c>
      <c r="S77" s="68"/>
      <c r="T77" s="69"/>
      <c r="U77" s="50"/>
      <c r="V77" s="50"/>
      <c r="W77" s="17"/>
      <c r="X77" s="17"/>
      <c r="Y77" s="73"/>
    </row>
    <row r="78" spans="1:25" s="35" customFormat="1" ht="27.95" customHeight="1">
      <c r="A78" s="51">
        <f t="shared" si="6"/>
        <v>66</v>
      </c>
      <c r="B78" s="619" t="s">
        <v>217</v>
      </c>
      <c r="C78" s="751" t="s">
        <v>218</v>
      </c>
      <c r="D78" s="569">
        <v>220234318</v>
      </c>
      <c r="E78" s="426">
        <v>31947</v>
      </c>
      <c r="F78" s="453">
        <f>VLOOKUP(B78,'KLCN t1 dot 1'!$B$13:$Z$83,25,0)</f>
        <v>23.19</v>
      </c>
      <c r="G78" s="427">
        <f t="shared" si="12"/>
        <v>740851</v>
      </c>
      <c r="H78" s="453"/>
      <c r="I78" s="427"/>
      <c r="J78" s="427"/>
      <c r="K78" s="428">
        <f t="shared" si="3"/>
        <v>740851</v>
      </c>
      <c r="L78" s="588"/>
      <c r="M78" s="429">
        <f t="shared" si="13"/>
        <v>14817</v>
      </c>
      <c r="N78" s="429"/>
      <c r="O78" s="429"/>
      <c r="P78" s="430">
        <f t="shared" ref="P78:P82" si="14">ROUND(IF((K78-J78-N78)&lt;=1500000,0,IF(AND(((K78-J78-N78))&gt;1500000,((K78-J78-N78))&lt;=2000000),((K78-J78-N78))*5%-75000,IF(AND(((K78-J78-N78))&gt;2000000,((K78-J78-N78))&lt;=8500000),((K78-J78-N78))*10%-175000))),0)</f>
        <v>0</v>
      </c>
      <c r="Q78" s="431">
        <f t="shared" si="11"/>
        <v>14817</v>
      </c>
      <c r="R78" s="427">
        <f t="shared" si="2"/>
        <v>726034</v>
      </c>
      <c r="S78" s="68"/>
      <c r="T78" s="69"/>
      <c r="U78" s="50"/>
      <c r="V78" s="50"/>
      <c r="W78" s="17"/>
      <c r="X78" s="17"/>
      <c r="Y78" s="73"/>
    </row>
    <row r="79" spans="1:25" s="35" customFormat="1" ht="27.95" customHeight="1">
      <c r="A79" s="51">
        <f t="shared" si="6"/>
        <v>67</v>
      </c>
      <c r="B79" s="253" t="s">
        <v>165</v>
      </c>
      <c r="C79" s="610" t="s">
        <v>191</v>
      </c>
      <c r="D79" s="569">
        <v>220175244</v>
      </c>
      <c r="E79" s="426">
        <v>31947</v>
      </c>
      <c r="F79" s="453">
        <f>VLOOKUP(B79,'KLCN t1 dot 1'!$B$13:$Z$83,25,0)</f>
        <v>31.7</v>
      </c>
      <c r="G79" s="427">
        <f t="shared" si="12"/>
        <v>1012720</v>
      </c>
      <c r="H79" s="453"/>
      <c r="I79" s="427"/>
      <c r="J79" s="427"/>
      <c r="K79" s="428">
        <f t="shared" si="3"/>
        <v>1012720</v>
      </c>
      <c r="L79" s="588"/>
      <c r="M79" s="429">
        <f t="shared" si="13"/>
        <v>20254</v>
      </c>
      <c r="N79" s="429"/>
      <c r="O79" s="429"/>
      <c r="P79" s="430">
        <f t="shared" si="14"/>
        <v>0</v>
      </c>
      <c r="Q79" s="431">
        <f t="shared" si="11"/>
        <v>20254</v>
      </c>
      <c r="R79" s="427">
        <f t="shared" si="2"/>
        <v>992466</v>
      </c>
      <c r="S79" s="68"/>
      <c r="T79" s="69"/>
      <c r="U79" s="50"/>
      <c r="V79" s="50"/>
      <c r="W79" s="17"/>
      <c r="X79" s="17"/>
      <c r="Y79" s="73"/>
    </row>
    <row r="80" spans="1:25" s="35" customFormat="1" ht="27.95" customHeight="1">
      <c r="A80" s="51">
        <f t="shared" si="6"/>
        <v>68</v>
      </c>
      <c r="B80" s="253" t="s">
        <v>166</v>
      </c>
      <c r="C80" s="610" t="s">
        <v>167</v>
      </c>
      <c r="D80" s="569">
        <v>150565864</v>
      </c>
      <c r="E80" s="426">
        <v>31947</v>
      </c>
      <c r="F80" s="453">
        <f>VLOOKUP(B80,'KLCN t1 dot 1'!$B$13:$Z$83,25,0)</f>
        <v>31.7</v>
      </c>
      <c r="G80" s="427">
        <f t="shared" si="12"/>
        <v>1012720</v>
      </c>
      <c r="H80" s="453"/>
      <c r="I80" s="427"/>
      <c r="J80" s="427"/>
      <c r="K80" s="428">
        <f>I80+J80+G80</f>
        <v>1012720</v>
      </c>
      <c r="L80" s="588"/>
      <c r="M80" s="429">
        <f t="shared" si="13"/>
        <v>20254</v>
      </c>
      <c r="N80" s="429"/>
      <c r="O80" s="429"/>
      <c r="P80" s="430">
        <f t="shared" si="14"/>
        <v>0</v>
      </c>
      <c r="Q80" s="431">
        <f t="shared" si="11"/>
        <v>20254</v>
      </c>
      <c r="R80" s="427">
        <f t="shared" ref="R80:R83" si="15">ROUND(K80-Q80,0)</f>
        <v>992466</v>
      </c>
      <c r="S80" s="68"/>
      <c r="T80" s="69"/>
      <c r="U80" s="50"/>
      <c r="V80" s="50"/>
      <c r="W80" s="17"/>
      <c r="X80" s="17"/>
      <c r="Y80" s="73"/>
    </row>
    <row r="81" spans="1:30" s="35" customFormat="1" ht="27.95" customHeight="1">
      <c r="A81" s="51">
        <f t="shared" si="6"/>
        <v>69</v>
      </c>
      <c r="B81" s="620" t="s">
        <v>168</v>
      </c>
      <c r="C81" s="621" t="s">
        <v>169</v>
      </c>
      <c r="D81" s="569">
        <v>150612355</v>
      </c>
      <c r="E81" s="426">
        <v>31947</v>
      </c>
      <c r="F81" s="453">
        <f>VLOOKUP(B81,'KLCN t1 dot 1'!$B$13:$Z$83,25,0)</f>
        <v>28.790000000000003</v>
      </c>
      <c r="G81" s="427">
        <f>ROUND(F81*E81,0)+3</f>
        <v>919757</v>
      </c>
      <c r="H81" s="453"/>
      <c r="I81" s="427"/>
      <c r="J81" s="427"/>
      <c r="K81" s="428">
        <f>I81+J81+G81</f>
        <v>919757</v>
      </c>
      <c r="L81" s="588"/>
      <c r="M81" s="429">
        <f t="shared" si="13"/>
        <v>18395</v>
      </c>
      <c r="N81" s="429"/>
      <c r="O81" s="429"/>
      <c r="P81" s="430">
        <f t="shared" si="14"/>
        <v>0</v>
      </c>
      <c r="Q81" s="431">
        <f t="shared" si="11"/>
        <v>18395</v>
      </c>
      <c r="R81" s="427">
        <f t="shared" si="15"/>
        <v>901362</v>
      </c>
      <c r="S81" s="68"/>
      <c r="T81" s="69"/>
      <c r="U81" s="50"/>
      <c r="V81" s="50"/>
      <c r="W81" s="17"/>
      <c r="X81" s="17"/>
      <c r="Y81" s="73"/>
    </row>
    <row r="82" spans="1:30" s="35" customFormat="1" ht="27.95" customHeight="1">
      <c r="A82" s="51">
        <f>+A81+1</f>
        <v>70</v>
      </c>
      <c r="B82" s="570" t="s">
        <v>72</v>
      </c>
      <c r="C82" s="574" t="s">
        <v>73</v>
      </c>
      <c r="D82" s="569">
        <v>150468451</v>
      </c>
      <c r="E82" s="426">
        <v>31947</v>
      </c>
      <c r="F82" s="453">
        <f>VLOOKUP(B82,'KLCN t1 dot 1'!$B$13:$Z$83,25,0)</f>
        <v>31.7</v>
      </c>
      <c r="G82" s="427">
        <f t="shared" si="12"/>
        <v>1012720</v>
      </c>
      <c r="H82" s="453"/>
      <c r="I82" s="427"/>
      <c r="J82" s="427"/>
      <c r="K82" s="428">
        <f>I82+J82+G82</f>
        <v>1012720</v>
      </c>
      <c r="L82" s="588"/>
      <c r="M82" s="429">
        <f t="shared" si="13"/>
        <v>20254</v>
      </c>
      <c r="N82" s="429"/>
      <c r="O82" s="429"/>
      <c r="P82" s="430">
        <f t="shared" si="14"/>
        <v>0</v>
      </c>
      <c r="Q82" s="431">
        <f t="shared" si="11"/>
        <v>20254</v>
      </c>
      <c r="R82" s="427">
        <f t="shared" si="15"/>
        <v>992466</v>
      </c>
      <c r="S82" s="68"/>
      <c r="T82" s="69"/>
      <c r="U82" s="50"/>
      <c r="V82" s="50"/>
      <c r="W82" s="17"/>
      <c r="X82" s="17"/>
      <c r="Y82" s="73"/>
    </row>
    <row r="83" spans="1:30" s="35" customFormat="1" ht="27.95" customHeight="1">
      <c r="A83" s="51">
        <f t="shared" ref="A83" si="16">+A82+1</f>
        <v>71</v>
      </c>
      <c r="B83" s="253" t="s">
        <v>170</v>
      </c>
      <c r="C83" s="610" t="s">
        <v>171</v>
      </c>
      <c r="D83" s="569">
        <v>150952614</v>
      </c>
      <c r="E83" s="426">
        <v>31947</v>
      </c>
      <c r="F83" s="453">
        <f>VLOOKUP(B83,'KLCN t1 dot 1'!$B$13:$Z$83,25,0)</f>
        <v>31.7</v>
      </c>
      <c r="G83" s="427">
        <f t="shared" si="12"/>
        <v>1012720</v>
      </c>
      <c r="H83" s="453"/>
      <c r="I83" s="427"/>
      <c r="J83" s="427"/>
      <c r="K83" s="428">
        <f t="shared" ref="K83" si="17">I83+J83+G83</f>
        <v>1012720</v>
      </c>
      <c r="L83" s="588"/>
      <c r="M83" s="429">
        <f t="shared" si="13"/>
        <v>20254</v>
      </c>
      <c r="N83" s="429"/>
      <c r="O83" s="429"/>
      <c r="P83" s="430">
        <f t="shared" ref="P83" si="18">ROUND(IF((K83-J83-N83)&lt;=1500000,0,IF(AND(((K83-J83-N83))&gt;1500000,((K83-J83-N83))&lt;=2000000),((K83-J83-N83))*5%-75000,IF(AND(((K83-J83-N83))&gt;2000000,((K83-J83-N83))&lt;=8500000),((K83-J83-N83))*10%-175000))),0)</f>
        <v>0</v>
      </c>
      <c r="Q83" s="431">
        <f t="shared" si="11"/>
        <v>20254</v>
      </c>
      <c r="R83" s="427">
        <f t="shared" si="15"/>
        <v>992466</v>
      </c>
      <c r="S83" s="68"/>
      <c r="T83" s="69"/>
      <c r="U83" s="50"/>
      <c r="V83" s="50"/>
      <c r="W83" s="17"/>
      <c r="X83" s="17"/>
      <c r="Y83" s="73"/>
    </row>
    <row r="84" spans="1:30" s="35" customFormat="1" ht="27.95" customHeight="1">
      <c r="A84" s="889" t="s">
        <v>192</v>
      </c>
      <c r="B84" s="890"/>
      <c r="C84" s="890"/>
      <c r="D84" s="890"/>
      <c r="E84" s="890"/>
      <c r="F84" s="75">
        <f t="shared" ref="F84:R84" si="19">SUM(F13:F83)</f>
        <v>1432.8600000000001</v>
      </c>
      <c r="G84" s="70">
        <f t="shared" si="19"/>
        <v>45775579</v>
      </c>
      <c r="H84" s="75">
        <f t="shared" si="19"/>
        <v>0</v>
      </c>
      <c r="I84" s="70">
        <f t="shared" si="19"/>
        <v>0</v>
      </c>
      <c r="J84" s="70">
        <f t="shared" si="19"/>
        <v>0</v>
      </c>
      <c r="K84" s="70">
        <f t="shared" si="19"/>
        <v>45775579</v>
      </c>
      <c r="L84" s="70">
        <f t="shared" si="19"/>
        <v>0</v>
      </c>
      <c r="M84" s="70">
        <f t="shared" si="19"/>
        <v>932463</v>
      </c>
      <c r="N84" s="70">
        <f t="shared" si="19"/>
        <v>0</v>
      </c>
      <c r="O84" s="70">
        <f t="shared" si="19"/>
        <v>0</v>
      </c>
      <c r="P84" s="70">
        <f t="shared" si="19"/>
        <v>0</v>
      </c>
      <c r="Q84" s="70">
        <f t="shared" si="19"/>
        <v>932463</v>
      </c>
      <c r="R84" s="70">
        <f t="shared" si="19"/>
        <v>44843116</v>
      </c>
      <c r="S84" s="104"/>
      <c r="T84" s="69"/>
      <c r="U84" s="70">
        <f>SUM(U13:U66)</f>
        <v>800000</v>
      </c>
      <c r="V84" s="70" t="e">
        <f>+#REF!+#REF!+#REF!+V18+#REF!+#REF!+#REF!+#REF!+#REF!+#REF!</f>
        <v>#REF!</v>
      </c>
      <c r="W84" s="71" t="e">
        <f>ROUND(#REF!*#REF!,0)</f>
        <v>#REF!</v>
      </c>
      <c r="X84" s="54" t="e">
        <f>SUM(#REF!,#REF!,X32:X66,X13:X17)</f>
        <v>#REF!</v>
      </c>
      <c r="Y84" s="73"/>
    </row>
    <row r="85" spans="1:30" s="35" customFormat="1" ht="8.25" customHeight="1">
      <c r="A85" s="76"/>
      <c r="B85" s="419"/>
      <c r="C85" s="22"/>
      <c r="D85" s="22"/>
      <c r="E85" s="21"/>
      <c r="F85" s="21"/>
      <c r="G85" s="21"/>
      <c r="H85" s="77"/>
      <c r="I85" s="77"/>
      <c r="J85" s="77"/>
      <c r="K85" s="93"/>
      <c r="L85" s="93"/>
      <c r="M85" s="73"/>
      <c r="N85" s="73"/>
      <c r="O85" s="73"/>
      <c r="P85" s="94"/>
      <c r="Q85" s="105"/>
      <c r="R85" s="71"/>
      <c r="S85" s="106"/>
      <c r="T85" s="71"/>
      <c r="U85" s="71"/>
      <c r="V85" s="71"/>
      <c r="W85" s="71"/>
      <c r="X85" s="54"/>
      <c r="Y85" s="73"/>
    </row>
    <row r="86" spans="1:30" s="35" customFormat="1" ht="24.95" customHeight="1">
      <c r="A86" s="892" t="s">
        <v>379</v>
      </c>
      <c r="B86" s="892"/>
      <c r="C86" s="892"/>
      <c r="D86" s="892"/>
      <c r="E86" s="892"/>
      <c r="F86" s="892"/>
      <c r="G86" s="892"/>
      <c r="H86" s="892"/>
      <c r="I86" s="892"/>
      <c r="J86" s="892"/>
      <c r="K86" s="892"/>
      <c r="L86" s="892"/>
      <c r="M86" s="892"/>
      <c r="N86" s="892"/>
      <c r="O86" s="892"/>
      <c r="P86" s="892"/>
      <c r="Q86" s="892"/>
      <c r="R86" s="892"/>
      <c r="S86" s="892"/>
      <c r="T86" s="71"/>
      <c r="U86" s="71"/>
      <c r="V86" s="71">
        <f>R84-U84</f>
        <v>44043116</v>
      </c>
      <c r="W86" s="71"/>
      <c r="X86" s="54" t="b">
        <f>A86=[2]Sheet1!$N$9</f>
        <v>0</v>
      </c>
      <c r="Y86" s="73"/>
    </row>
    <row r="87" spans="1:30" ht="24.95" customHeight="1">
      <c r="A87" s="761" t="s">
        <v>378</v>
      </c>
      <c r="B87" s="761"/>
      <c r="C87" s="761"/>
      <c r="D87" s="761"/>
      <c r="E87" s="761"/>
      <c r="F87" s="761"/>
      <c r="G87" s="761"/>
      <c r="H87" s="761"/>
      <c r="I87" s="761"/>
      <c r="J87" s="761"/>
      <c r="K87" s="761"/>
      <c r="L87" s="761"/>
      <c r="M87" s="761"/>
      <c r="N87" s="761"/>
      <c r="O87" s="761"/>
      <c r="P87" s="761"/>
      <c r="Q87" s="761"/>
      <c r="R87" s="761"/>
      <c r="S87" s="761"/>
      <c r="T87" s="78"/>
      <c r="U87" s="107"/>
      <c r="V87" s="32"/>
      <c r="W87" s="108"/>
      <c r="X87" s="32">
        <f>ROUND(H84*31947,0)</f>
        <v>0</v>
      </c>
    </row>
    <row r="88" spans="1:30" ht="24.95" customHeight="1">
      <c r="A88" s="753" t="s">
        <v>276</v>
      </c>
      <c r="B88" s="753"/>
      <c r="C88" s="753"/>
      <c r="D88" s="753"/>
      <c r="E88" s="753"/>
      <c r="F88" s="448"/>
      <c r="G88" s="448"/>
      <c r="H88" s="449"/>
      <c r="I88" s="449"/>
      <c r="J88" s="449"/>
      <c r="L88" s="103"/>
      <c r="M88" s="103"/>
      <c r="N88" s="103"/>
      <c r="O88" s="893" t="s">
        <v>277</v>
      </c>
      <c r="P88" s="893"/>
      <c r="Q88" s="893"/>
      <c r="R88" s="893"/>
      <c r="S88" s="448"/>
      <c r="T88" s="109"/>
      <c r="U88" s="109"/>
      <c r="V88" s="32"/>
      <c r="X88" s="32" t="e">
        <f>#REF!+#REF!</f>
        <v>#REF!</v>
      </c>
      <c r="AC88" s="19" t="e">
        <f>#REF!-AC87</f>
        <v>#REF!</v>
      </c>
    </row>
    <row r="89" spans="1:30" ht="24.95" customHeight="1">
      <c r="A89" s="81"/>
      <c r="B89" s="419"/>
      <c r="C89" s="79"/>
      <c r="D89" s="79"/>
      <c r="E89" s="79"/>
      <c r="F89" s="79"/>
      <c r="G89" s="79"/>
      <c r="H89" s="80"/>
      <c r="I89" s="80"/>
      <c r="J89" s="80"/>
      <c r="K89" s="96"/>
      <c r="L89" s="97"/>
      <c r="M89" s="97"/>
      <c r="N89" s="97"/>
      <c r="O89" s="98"/>
      <c r="P89" s="79"/>
      <c r="Q89" s="105"/>
      <c r="R89" s="79"/>
      <c r="S89" s="79"/>
      <c r="T89" s="109"/>
      <c r="U89" s="109"/>
      <c r="V89" s="32"/>
      <c r="X89" s="19" t="e">
        <f>R84=X88</f>
        <v>#REF!</v>
      </c>
    </row>
    <row r="90" spans="1:30" s="36" customFormat="1" ht="24.95" customHeight="1">
      <c r="A90" s="82"/>
      <c r="C90" s="83"/>
      <c r="D90" s="84"/>
      <c r="E90" s="83"/>
      <c r="F90" s="83"/>
      <c r="G90" s="83"/>
      <c r="H90" s="83"/>
      <c r="I90" s="83"/>
      <c r="J90" s="83"/>
      <c r="K90" s="96"/>
      <c r="L90" s="99"/>
      <c r="M90" s="99"/>
      <c r="N90" s="99"/>
      <c r="R90" s="83"/>
      <c r="S90" s="110"/>
      <c r="T90" s="111"/>
      <c r="U90" s="111"/>
      <c r="V90" s="112"/>
    </row>
    <row r="91" spans="1:30" s="37" customFormat="1" ht="24.95" customHeight="1">
      <c r="A91" s="85"/>
      <c r="B91" s="891"/>
      <c r="C91" s="891"/>
      <c r="D91" s="891"/>
      <c r="E91" s="86"/>
      <c r="F91" s="86"/>
      <c r="G91" s="86"/>
      <c r="K91" s="96"/>
      <c r="L91" s="100"/>
      <c r="M91" s="100"/>
      <c r="N91" s="100"/>
      <c r="O91" s="894" t="s">
        <v>17</v>
      </c>
      <c r="P91" s="894"/>
      <c r="Q91" s="894"/>
      <c r="R91" s="894"/>
      <c r="S91" s="8"/>
      <c r="T91" s="113"/>
      <c r="U91" s="113"/>
      <c r="V91" s="114"/>
      <c r="W91" s="115"/>
      <c r="X91" s="115"/>
      <c r="Y91" s="115"/>
      <c r="Z91" s="115"/>
      <c r="AA91" s="115"/>
      <c r="AB91" s="115"/>
      <c r="AC91" s="115"/>
      <c r="AD91" s="115"/>
    </row>
    <row r="92" spans="1:30" s="37" customFormat="1" ht="21.95" customHeight="1">
      <c r="A92" s="43"/>
      <c r="B92" s="417"/>
      <c r="C92" s="31"/>
      <c r="D92" s="87"/>
      <c r="I92" s="101"/>
      <c r="K92" s="102"/>
      <c r="L92" s="100"/>
      <c r="M92" s="100"/>
      <c r="N92" s="100"/>
      <c r="Q92" s="105"/>
      <c r="S92" s="116"/>
      <c r="V92" s="114"/>
      <c r="W92" s="114"/>
      <c r="X92" s="114"/>
      <c r="Y92" s="114"/>
      <c r="Z92" s="114"/>
      <c r="AA92" s="114"/>
      <c r="AB92" s="114"/>
      <c r="AC92" s="114"/>
      <c r="AD92" s="114"/>
    </row>
    <row r="93" spans="1:30" s="4" customFormat="1" ht="33.950000000000003" customHeight="1">
      <c r="A93" s="877"/>
      <c r="B93" s="877"/>
      <c r="C93" s="877"/>
      <c r="D93" s="877"/>
      <c r="E93" s="88"/>
      <c r="F93" s="88"/>
      <c r="G93" s="88"/>
      <c r="I93" s="103"/>
      <c r="K93" s="17"/>
      <c r="Q93" s="105"/>
      <c r="S93" s="19"/>
      <c r="V93" s="2"/>
      <c r="X93" s="17"/>
    </row>
    <row r="94" spans="1:30" s="4" customFormat="1">
      <c r="A94" s="43"/>
      <c r="B94" s="417"/>
      <c r="C94" s="20"/>
      <c r="D94" s="44"/>
      <c r="I94" s="15"/>
      <c r="K94" s="17"/>
      <c r="Q94" s="105"/>
      <c r="S94" s="19"/>
      <c r="V94" s="2"/>
      <c r="X94" s="50"/>
    </row>
    <row r="95" spans="1:30" s="4" customFormat="1">
      <c r="A95" s="43"/>
      <c r="B95" s="417"/>
      <c r="C95" s="20"/>
      <c r="D95" s="44"/>
      <c r="K95" s="17"/>
      <c r="Q95" s="105"/>
      <c r="R95" s="17"/>
      <c r="S95" s="19"/>
      <c r="V95" s="117"/>
    </row>
    <row r="96" spans="1:30" s="2" customFormat="1">
      <c r="A96" s="89"/>
      <c r="B96" s="420"/>
      <c r="C96" s="90"/>
      <c r="D96" s="91"/>
      <c r="K96" s="54"/>
      <c r="L96" s="85"/>
      <c r="M96" s="85"/>
      <c r="N96" s="85"/>
      <c r="O96" s="85"/>
      <c r="P96" s="85"/>
      <c r="Q96" s="105"/>
      <c r="R96" s="118"/>
      <c r="S96" s="98"/>
      <c r="T96" s="85"/>
      <c r="U96" s="85"/>
    </row>
    <row r="97" spans="1:22">
      <c r="H97" s="32"/>
      <c r="I97" s="32"/>
      <c r="J97" s="32"/>
      <c r="L97" s="23"/>
      <c r="M97" s="23"/>
      <c r="N97" s="23"/>
      <c r="O97" s="23"/>
      <c r="P97" s="23"/>
      <c r="Q97" s="105"/>
      <c r="R97" s="23"/>
      <c r="S97" s="23"/>
      <c r="T97" s="23"/>
      <c r="U97" s="23"/>
      <c r="V97" s="32"/>
    </row>
    <row r="98" spans="1:22">
      <c r="H98" s="32"/>
      <c r="I98" s="32"/>
      <c r="J98" s="32"/>
      <c r="L98" s="32"/>
      <c r="M98" s="32"/>
      <c r="N98" s="32"/>
      <c r="O98" s="32"/>
      <c r="P98" s="32"/>
      <c r="Q98" s="105"/>
      <c r="S98" s="32"/>
      <c r="T98" s="32"/>
      <c r="U98" s="17"/>
      <c r="V98" s="32"/>
    </row>
    <row r="99" spans="1:22">
      <c r="H99" s="32"/>
      <c r="I99" s="32"/>
      <c r="J99" s="32"/>
      <c r="L99" s="32"/>
      <c r="M99" s="32"/>
      <c r="N99" s="32"/>
      <c r="O99" s="32"/>
      <c r="P99" s="32"/>
      <c r="Q99" s="105"/>
      <c r="S99" s="32"/>
      <c r="T99" s="32"/>
      <c r="U99" s="17"/>
      <c r="V99" s="32"/>
    </row>
    <row r="100" spans="1:22" ht="29.25">
      <c r="A100" s="878"/>
      <c r="B100" s="878"/>
      <c r="C100" s="878"/>
      <c r="D100" s="878"/>
      <c r="E100" s="878"/>
      <c r="F100" s="878"/>
      <c r="G100" s="878"/>
      <c r="H100" s="878"/>
      <c r="I100" s="878"/>
      <c r="J100" s="878"/>
      <c r="K100" s="878"/>
      <c r="L100" s="878"/>
      <c r="M100" s="92"/>
      <c r="N100" s="92"/>
      <c r="O100" s="92"/>
      <c r="P100" s="32"/>
      <c r="Q100" s="105"/>
      <c r="S100" s="32"/>
      <c r="T100" s="32"/>
      <c r="U100" s="17"/>
      <c r="V100" s="32"/>
    </row>
    <row r="101" spans="1:22" ht="18.75">
      <c r="A101" s="884"/>
      <c r="B101" s="884"/>
      <c r="C101" s="884"/>
      <c r="D101" s="884"/>
      <c r="E101" s="884"/>
      <c r="F101" s="884"/>
      <c r="G101" s="884"/>
      <c r="H101" s="884"/>
      <c r="I101" s="884"/>
      <c r="J101" s="884"/>
      <c r="K101" s="884"/>
      <c r="L101" s="884"/>
      <c r="M101" s="80"/>
      <c r="N101" s="80"/>
      <c r="O101" s="80"/>
      <c r="P101" s="32"/>
      <c r="Q101" s="105"/>
      <c r="S101" s="32"/>
      <c r="T101" s="32"/>
      <c r="U101" s="17"/>
      <c r="V101" s="32"/>
    </row>
    <row r="102" spans="1:22">
      <c r="H102" s="32"/>
      <c r="I102" s="32"/>
      <c r="J102" s="32"/>
      <c r="L102" s="32"/>
      <c r="M102" s="32"/>
      <c r="N102" s="32"/>
      <c r="O102" s="32"/>
      <c r="P102" s="32"/>
      <c r="Q102" s="105"/>
      <c r="S102" s="32"/>
      <c r="T102" s="32"/>
      <c r="U102" s="17"/>
      <c r="V102" s="32"/>
    </row>
    <row r="103" spans="1:22">
      <c r="H103" s="32"/>
      <c r="I103" s="32"/>
      <c r="J103" s="32"/>
      <c r="L103" s="32"/>
      <c r="M103" s="32"/>
      <c r="N103" s="32"/>
      <c r="O103" s="32"/>
      <c r="P103" s="32"/>
      <c r="Q103" s="105"/>
      <c r="S103" s="32"/>
      <c r="T103" s="32"/>
      <c r="U103" s="17"/>
      <c r="V103" s="32"/>
    </row>
    <row r="104" spans="1:22">
      <c r="H104" s="32"/>
      <c r="I104" s="32"/>
      <c r="J104" s="32"/>
      <c r="L104" s="32"/>
      <c r="M104" s="32"/>
      <c r="N104" s="32"/>
      <c r="O104" s="32"/>
      <c r="P104" s="32"/>
      <c r="Q104" s="105"/>
      <c r="S104" s="32"/>
      <c r="T104" s="32"/>
      <c r="U104" s="17"/>
      <c r="V104" s="32"/>
    </row>
    <row r="105" spans="1:22">
      <c r="H105" s="32"/>
      <c r="I105" s="32"/>
      <c r="J105" s="32"/>
      <c r="L105" s="32"/>
      <c r="M105" s="32"/>
      <c r="N105" s="32"/>
      <c r="O105" s="32"/>
      <c r="P105" s="32"/>
      <c r="Q105" s="105"/>
      <c r="S105" s="32"/>
      <c r="T105" s="32"/>
      <c r="U105" s="17"/>
      <c r="V105" s="32"/>
    </row>
    <row r="106" spans="1:22">
      <c r="H106" s="32"/>
      <c r="I106" s="32"/>
      <c r="J106" s="32"/>
      <c r="L106" s="32"/>
      <c r="M106" s="32"/>
      <c r="N106" s="32"/>
      <c r="O106" s="32"/>
      <c r="P106" s="32"/>
      <c r="Q106" s="105"/>
      <c r="S106" s="32"/>
      <c r="T106" s="32"/>
      <c r="U106" s="17"/>
      <c r="V106" s="32"/>
    </row>
    <row r="107" spans="1:22">
      <c r="H107" s="32"/>
      <c r="I107" s="32"/>
      <c r="J107" s="32"/>
      <c r="L107" s="32"/>
      <c r="M107" s="32"/>
      <c r="N107" s="32"/>
      <c r="O107" s="32"/>
      <c r="P107" s="32"/>
      <c r="Q107" s="105"/>
      <c r="S107" s="32"/>
      <c r="T107" s="32"/>
      <c r="U107" s="17"/>
      <c r="V107" s="32"/>
    </row>
    <row r="108" spans="1:22">
      <c r="H108" s="32"/>
      <c r="I108" s="32"/>
      <c r="J108" s="32"/>
      <c r="L108" s="32"/>
      <c r="M108" s="32"/>
      <c r="N108" s="32"/>
      <c r="O108" s="32"/>
      <c r="P108" s="32"/>
      <c r="Q108" s="105"/>
      <c r="S108" s="32"/>
      <c r="T108" s="32"/>
      <c r="U108" s="17"/>
      <c r="V108" s="32"/>
    </row>
    <row r="109" spans="1:22">
      <c r="A109" s="19"/>
      <c r="C109" s="19"/>
      <c r="D109" s="19"/>
      <c r="H109" s="32"/>
      <c r="I109" s="32"/>
      <c r="J109" s="32"/>
      <c r="L109" s="32"/>
      <c r="M109" s="32"/>
      <c r="N109" s="32"/>
      <c r="O109" s="32"/>
      <c r="P109" s="32"/>
      <c r="Q109" s="105"/>
      <c r="S109" s="32"/>
      <c r="T109" s="32"/>
      <c r="U109" s="17"/>
      <c r="V109" s="32"/>
    </row>
    <row r="110" spans="1:22">
      <c r="A110" s="19"/>
      <c r="C110" s="19"/>
      <c r="D110" s="19"/>
      <c r="H110" s="32"/>
      <c r="I110" s="32"/>
      <c r="J110" s="32"/>
      <c r="L110" s="32"/>
      <c r="M110" s="32"/>
      <c r="N110" s="32"/>
      <c r="O110" s="32"/>
      <c r="P110" s="32"/>
      <c r="Q110" s="105"/>
      <c r="S110" s="32"/>
      <c r="T110" s="32"/>
      <c r="U110" s="17"/>
      <c r="V110" s="32"/>
    </row>
    <row r="111" spans="1:22">
      <c r="A111" s="19"/>
      <c r="C111" s="19"/>
      <c r="D111" s="19"/>
      <c r="H111" s="32"/>
      <c r="I111" s="32"/>
      <c r="J111" s="32"/>
      <c r="L111" s="32"/>
      <c r="M111" s="32"/>
      <c r="N111" s="32"/>
      <c r="O111" s="32"/>
      <c r="P111" s="32"/>
      <c r="Q111" s="105"/>
      <c r="S111" s="32"/>
      <c r="T111" s="32"/>
      <c r="U111" s="17"/>
      <c r="V111" s="32"/>
    </row>
    <row r="112" spans="1:22">
      <c r="A112" s="19"/>
      <c r="C112" s="19"/>
      <c r="D112" s="19"/>
      <c r="H112" s="32"/>
      <c r="I112" s="32"/>
      <c r="J112" s="32"/>
      <c r="L112" s="32"/>
      <c r="M112" s="32"/>
      <c r="N112" s="32"/>
      <c r="O112" s="32"/>
      <c r="P112" s="32"/>
      <c r="Q112" s="105"/>
      <c r="S112" s="32"/>
      <c r="T112" s="32"/>
      <c r="U112" s="17"/>
      <c r="V112" s="32"/>
    </row>
    <row r="113" spans="1:22">
      <c r="A113" s="19"/>
      <c r="C113" s="19"/>
      <c r="D113" s="19"/>
      <c r="H113" s="32"/>
      <c r="I113" s="32"/>
      <c r="J113" s="32"/>
      <c r="L113" s="32"/>
      <c r="M113" s="32"/>
      <c r="N113" s="32"/>
      <c r="O113" s="32"/>
      <c r="P113" s="32"/>
      <c r="Q113" s="105"/>
      <c r="S113" s="32"/>
      <c r="T113" s="32"/>
      <c r="U113" s="17"/>
      <c r="V113" s="32"/>
    </row>
    <row r="114" spans="1:22">
      <c r="A114" s="19"/>
      <c r="C114" s="19"/>
      <c r="D114" s="19"/>
      <c r="H114" s="32"/>
      <c r="I114" s="32"/>
      <c r="J114" s="32"/>
      <c r="L114" s="32"/>
      <c r="M114" s="32"/>
      <c r="N114" s="32"/>
      <c r="O114" s="32"/>
      <c r="P114" s="32"/>
      <c r="Q114" s="105"/>
      <c r="S114" s="32"/>
      <c r="T114" s="32"/>
      <c r="U114" s="17"/>
      <c r="V114" s="32"/>
    </row>
    <row r="115" spans="1:22">
      <c r="A115" s="19"/>
      <c r="C115" s="19"/>
      <c r="D115" s="19"/>
      <c r="H115" s="32"/>
      <c r="I115" s="32"/>
      <c r="J115" s="32"/>
      <c r="L115" s="32"/>
      <c r="M115" s="32"/>
      <c r="N115" s="32"/>
      <c r="O115" s="32"/>
      <c r="P115" s="32"/>
      <c r="Q115" s="105"/>
      <c r="S115" s="32"/>
      <c r="T115" s="32"/>
      <c r="U115" s="17"/>
      <c r="V115" s="32"/>
    </row>
    <row r="116" spans="1:22">
      <c r="A116" s="19"/>
      <c r="C116" s="19"/>
      <c r="D116" s="19"/>
      <c r="H116" s="32"/>
      <c r="I116" s="32"/>
      <c r="J116" s="32"/>
      <c r="L116" s="32"/>
      <c r="M116" s="32"/>
      <c r="N116" s="32"/>
      <c r="O116" s="32"/>
      <c r="P116" s="32"/>
      <c r="Q116" s="105"/>
      <c r="S116" s="32"/>
      <c r="T116" s="32"/>
      <c r="U116" s="17"/>
      <c r="V116" s="32"/>
    </row>
    <row r="117" spans="1:22">
      <c r="A117" s="19"/>
      <c r="C117" s="19"/>
      <c r="D117" s="19"/>
      <c r="H117" s="32"/>
      <c r="I117" s="32"/>
      <c r="J117" s="32"/>
      <c r="L117" s="32"/>
      <c r="M117" s="32"/>
      <c r="N117" s="32"/>
      <c r="O117" s="32"/>
      <c r="P117" s="32"/>
      <c r="Q117" s="103"/>
      <c r="S117" s="32"/>
      <c r="T117" s="32"/>
      <c r="U117" s="17"/>
      <c r="V117" s="32"/>
    </row>
    <row r="118" spans="1:22">
      <c r="A118" s="19"/>
      <c r="C118" s="19"/>
      <c r="D118" s="19"/>
      <c r="H118" s="32"/>
      <c r="I118" s="32"/>
      <c r="J118" s="32"/>
      <c r="L118" s="32"/>
      <c r="M118" s="32"/>
      <c r="N118" s="32"/>
      <c r="O118" s="32"/>
      <c r="P118" s="32"/>
      <c r="Q118" s="105"/>
      <c r="S118" s="32"/>
      <c r="T118" s="32"/>
      <c r="U118" s="17"/>
      <c r="V118" s="32"/>
    </row>
    <row r="119" spans="1:22" ht="33">
      <c r="A119" s="19"/>
      <c r="C119" s="19"/>
      <c r="D119" s="19"/>
      <c r="H119" s="32"/>
      <c r="I119" s="32"/>
      <c r="J119" s="32"/>
      <c r="L119" s="32"/>
      <c r="M119" s="32"/>
      <c r="N119" s="32"/>
      <c r="O119" s="32"/>
      <c r="P119" s="32"/>
      <c r="Q119" s="95"/>
      <c r="S119" s="32"/>
      <c r="T119" s="32"/>
      <c r="U119" s="17"/>
      <c r="V119" s="32"/>
    </row>
    <row r="120" spans="1:22">
      <c r="A120" s="19"/>
      <c r="C120" s="19"/>
      <c r="D120" s="19"/>
      <c r="H120" s="32"/>
      <c r="I120" s="32"/>
      <c r="J120" s="32"/>
      <c r="L120" s="32"/>
      <c r="M120" s="32"/>
      <c r="N120" s="32"/>
      <c r="O120" s="32"/>
      <c r="P120" s="32"/>
      <c r="Q120" s="78"/>
      <c r="S120" s="32"/>
      <c r="T120" s="32"/>
      <c r="U120" s="17"/>
      <c r="V120" s="32"/>
    </row>
    <row r="121" spans="1:22" ht="29.25">
      <c r="A121" s="19"/>
      <c r="C121" s="19"/>
      <c r="D121" s="19"/>
      <c r="H121" s="32"/>
      <c r="I121" s="32"/>
      <c r="J121" s="32"/>
      <c r="L121" s="32"/>
      <c r="M121" s="32"/>
      <c r="N121" s="32"/>
      <c r="O121" s="32"/>
      <c r="P121" s="32"/>
      <c r="Q121" s="79"/>
      <c r="S121" s="32"/>
      <c r="T121" s="32"/>
      <c r="U121" s="17"/>
      <c r="V121" s="32"/>
    </row>
    <row r="122" spans="1:22" ht="29.25">
      <c r="A122" s="19"/>
      <c r="C122" s="19"/>
      <c r="D122" s="19"/>
      <c r="H122" s="32"/>
      <c r="I122" s="32"/>
      <c r="J122" s="32"/>
      <c r="L122" s="32"/>
      <c r="M122" s="32"/>
      <c r="N122" s="32"/>
      <c r="O122" s="32"/>
      <c r="P122" s="32"/>
      <c r="Q122" s="79"/>
      <c r="S122" s="32"/>
      <c r="T122" s="32"/>
      <c r="U122" s="17"/>
      <c r="V122" s="32"/>
    </row>
    <row r="123" spans="1:22" ht="33">
      <c r="A123" s="19"/>
      <c r="C123" s="19"/>
      <c r="D123" s="19"/>
      <c r="H123" s="32"/>
      <c r="I123" s="32"/>
      <c r="J123" s="32"/>
      <c r="L123" s="32"/>
      <c r="M123" s="32"/>
      <c r="N123" s="32"/>
      <c r="O123" s="32"/>
      <c r="P123" s="32"/>
      <c r="Q123" s="119"/>
      <c r="S123" s="32"/>
      <c r="T123" s="32"/>
      <c r="U123" s="17"/>
      <c r="V123" s="32"/>
    </row>
    <row r="124" spans="1:22">
      <c r="A124" s="19"/>
      <c r="C124" s="19"/>
      <c r="D124" s="19"/>
      <c r="H124" s="32"/>
      <c r="I124" s="32"/>
      <c r="J124" s="32"/>
      <c r="L124" s="32"/>
      <c r="M124" s="32"/>
      <c r="N124" s="32"/>
      <c r="O124" s="32"/>
      <c r="P124" s="32"/>
      <c r="Q124" s="8"/>
      <c r="S124" s="32"/>
      <c r="T124" s="32"/>
      <c r="U124" s="17"/>
      <c r="V124" s="32"/>
    </row>
    <row r="125" spans="1:22">
      <c r="A125" s="19"/>
      <c r="C125" s="19"/>
      <c r="D125" s="19"/>
      <c r="H125" s="32"/>
      <c r="I125" s="32"/>
      <c r="J125" s="32"/>
      <c r="L125" s="32"/>
      <c r="M125" s="32"/>
      <c r="N125" s="32"/>
      <c r="O125" s="32"/>
      <c r="P125" s="32"/>
      <c r="Q125" s="37"/>
      <c r="S125" s="32"/>
      <c r="T125" s="32"/>
      <c r="U125" s="17"/>
      <c r="V125" s="32"/>
    </row>
    <row r="126" spans="1:22">
      <c r="A126" s="19"/>
      <c r="C126" s="19"/>
      <c r="D126" s="19"/>
      <c r="H126" s="32"/>
      <c r="I126" s="32"/>
      <c r="J126" s="32"/>
      <c r="L126" s="32"/>
      <c r="M126" s="32"/>
      <c r="N126" s="32"/>
      <c r="O126" s="32"/>
      <c r="P126" s="32"/>
      <c r="Q126" s="59"/>
      <c r="S126" s="32"/>
      <c r="T126" s="32"/>
      <c r="U126" s="17"/>
      <c r="V126" s="32"/>
    </row>
    <row r="127" spans="1:22">
      <c r="A127" s="19"/>
      <c r="C127" s="19"/>
      <c r="D127" s="19"/>
      <c r="H127" s="32"/>
      <c r="I127" s="32"/>
      <c r="J127" s="32"/>
      <c r="L127" s="32"/>
      <c r="M127" s="32"/>
      <c r="N127" s="32"/>
      <c r="O127" s="32"/>
      <c r="P127" s="32"/>
      <c r="Q127" s="59"/>
      <c r="S127" s="32"/>
      <c r="T127" s="32"/>
      <c r="U127" s="17"/>
      <c r="V127" s="32"/>
    </row>
    <row r="128" spans="1:22">
      <c r="A128" s="19"/>
      <c r="C128" s="19"/>
      <c r="D128" s="19"/>
      <c r="H128" s="32"/>
      <c r="I128" s="32"/>
      <c r="J128" s="32"/>
      <c r="L128" s="32"/>
      <c r="M128" s="32"/>
      <c r="N128" s="32"/>
      <c r="O128" s="32"/>
      <c r="P128" s="32"/>
      <c r="Q128" s="59"/>
      <c r="S128" s="32"/>
      <c r="T128" s="32"/>
      <c r="U128" s="17"/>
      <c r="V128" s="32"/>
    </row>
    <row r="129" spans="1:22">
      <c r="A129" s="19"/>
      <c r="C129" s="19"/>
      <c r="D129" s="19"/>
      <c r="H129" s="32"/>
      <c r="I129" s="32"/>
      <c r="J129" s="32"/>
      <c r="L129" s="32"/>
      <c r="M129" s="32"/>
      <c r="N129" s="32"/>
      <c r="O129" s="32"/>
      <c r="P129" s="32"/>
      <c r="Q129" s="120"/>
      <c r="S129" s="32"/>
      <c r="T129" s="32"/>
      <c r="U129" s="17"/>
      <c r="V129" s="32"/>
    </row>
    <row r="130" spans="1:22">
      <c r="A130" s="19"/>
      <c r="C130" s="19"/>
      <c r="D130" s="19"/>
      <c r="H130" s="32"/>
      <c r="I130" s="32"/>
      <c r="J130" s="32"/>
      <c r="L130" s="32"/>
      <c r="M130" s="32"/>
      <c r="N130" s="32"/>
      <c r="O130" s="32"/>
      <c r="P130" s="32"/>
      <c r="Q130" s="23"/>
      <c r="S130" s="32"/>
      <c r="T130" s="32"/>
      <c r="U130" s="17"/>
      <c r="V130" s="32"/>
    </row>
    <row r="131" spans="1:22">
      <c r="A131" s="19"/>
      <c r="C131" s="19"/>
      <c r="D131" s="19"/>
      <c r="H131" s="32"/>
      <c r="I131" s="32"/>
      <c r="J131" s="32"/>
      <c r="L131" s="32"/>
      <c r="M131" s="32"/>
      <c r="N131" s="32"/>
      <c r="O131" s="32"/>
      <c r="P131" s="32"/>
      <c r="S131" s="32"/>
      <c r="T131" s="32"/>
      <c r="U131" s="17"/>
      <c r="V131" s="32"/>
    </row>
    <row r="132" spans="1:22">
      <c r="A132" s="19"/>
      <c r="C132" s="19"/>
      <c r="D132" s="19"/>
      <c r="H132" s="32"/>
      <c r="I132" s="32"/>
      <c r="J132" s="32"/>
      <c r="L132" s="32"/>
      <c r="M132" s="32"/>
      <c r="N132" s="32"/>
      <c r="O132" s="32"/>
      <c r="P132" s="32"/>
      <c r="S132" s="32"/>
      <c r="T132" s="32"/>
      <c r="U132" s="17"/>
      <c r="V132" s="32"/>
    </row>
    <row r="133" spans="1:22">
      <c r="A133" s="19"/>
      <c r="C133" s="19"/>
      <c r="D133" s="19"/>
      <c r="H133" s="32"/>
      <c r="I133" s="32"/>
      <c r="J133" s="32"/>
      <c r="L133" s="32"/>
      <c r="M133" s="32"/>
      <c r="N133" s="32"/>
      <c r="O133" s="32"/>
      <c r="P133" s="32"/>
      <c r="S133" s="32"/>
      <c r="T133" s="32"/>
      <c r="U133" s="17"/>
      <c r="V133" s="32"/>
    </row>
    <row r="134" spans="1:22">
      <c r="A134" s="19"/>
      <c r="C134" s="19"/>
      <c r="D134" s="19"/>
      <c r="H134" s="32"/>
      <c r="I134" s="32"/>
      <c r="J134" s="32"/>
      <c r="L134" s="32"/>
      <c r="M134" s="32"/>
      <c r="N134" s="32"/>
      <c r="O134" s="32"/>
      <c r="P134" s="32"/>
      <c r="S134" s="32"/>
      <c r="T134" s="32"/>
      <c r="U134" s="17"/>
      <c r="V134" s="32"/>
    </row>
    <row r="135" spans="1:22">
      <c r="A135" s="19"/>
      <c r="C135" s="19"/>
      <c r="D135" s="19"/>
      <c r="H135" s="32"/>
      <c r="I135" s="32"/>
      <c r="J135" s="32"/>
      <c r="L135" s="32"/>
      <c r="M135" s="32"/>
      <c r="N135" s="32"/>
      <c r="O135" s="32"/>
      <c r="P135" s="32"/>
      <c r="S135" s="32"/>
      <c r="T135" s="32"/>
      <c r="U135" s="17"/>
      <c r="V135" s="32"/>
    </row>
    <row r="136" spans="1:22">
      <c r="A136" s="19"/>
      <c r="C136" s="19"/>
      <c r="D136" s="19"/>
      <c r="H136" s="32"/>
      <c r="I136" s="32"/>
      <c r="J136" s="32"/>
      <c r="L136" s="32"/>
      <c r="M136" s="32"/>
      <c r="N136" s="32"/>
      <c r="O136" s="32"/>
      <c r="P136" s="32"/>
      <c r="S136" s="32"/>
      <c r="T136" s="32"/>
      <c r="U136" s="17"/>
      <c r="V136" s="32"/>
    </row>
    <row r="137" spans="1:22">
      <c r="A137" s="19"/>
      <c r="C137" s="19"/>
      <c r="D137" s="19"/>
      <c r="H137" s="32"/>
      <c r="I137" s="32"/>
      <c r="J137" s="32"/>
      <c r="L137" s="32"/>
      <c r="M137" s="32"/>
      <c r="N137" s="32"/>
      <c r="O137" s="32"/>
      <c r="P137" s="32"/>
      <c r="S137" s="32"/>
      <c r="T137" s="32"/>
      <c r="U137" s="17"/>
      <c r="V137" s="32"/>
    </row>
    <row r="138" spans="1:22">
      <c r="A138" s="19"/>
      <c r="C138" s="19"/>
      <c r="D138" s="19"/>
      <c r="H138" s="32"/>
      <c r="I138" s="32"/>
      <c r="J138" s="32"/>
      <c r="L138" s="32"/>
      <c r="M138" s="32"/>
      <c r="N138" s="32"/>
      <c r="O138" s="32"/>
      <c r="P138" s="32"/>
      <c r="S138" s="32"/>
      <c r="T138" s="32"/>
      <c r="U138" s="17"/>
      <c r="V138" s="32"/>
    </row>
    <row r="139" spans="1:22">
      <c r="A139" s="19"/>
      <c r="C139" s="19"/>
      <c r="D139" s="19"/>
      <c r="H139" s="32"/>
      <c r="I139" s="32"/>
      <c r="J139" s="32"/>
      <c r="L139" s="32"/>
      <c r="M139" s="32"/>
      <c r="N139" s="32"/>
      <c r="O139" s="32"/>
      <c r="P139" s="32"/>
      <c r="S139" s="32"/>
      <c r="T139" s="32"/>
      <c r="U139" s="17"/>
      <c r="V139" s="32"/>
    </row>
    <row r="140" spans="1:22">
      <c r="A140" s="19"/>
      <c r="C140" s="19"/>
      <c r="D140" s="19"/>
      <c r="H140" s="32"/>
      <c r="I140" s="32"/>
      <c r="J140" s="32"/>
      <c r="L140" s="32"/>
      <c r="M140" s="32"/>
      <c r="N140" s="32"/>
      <c r="O140" s="32"/>
      <c r="P140" s="32"/>
      <c r="S140" s="32"/>
      <c r="T140" s="32"/>
      <c r="U140" s="17"/>
      <c r="V140" s="32"/>
    </row>
    <row r="141" spans="1:22">
      <c r="A141" s="19"/>
      <c r="C141" s="19"/>
      <c r="D141" s="19"/>
      <c r="H141" s="32"/>
      <c r="I141" s="32"/>
      <c r="J141" s="32"/>
      <c r="L141" s="32"/>
      <c r="M141" s="32"/>
      <c r="N141" s="32"/>
      <c r="O141" s="32"/>
      <c r="P141" s="32"/>
      <c r="S141" s="32"/>
      <c r="T141" s="32"/>
      <c r="U141" s="17"/>
      <c r="V141" s="32"/>
    </row>
    <row r="142" spans="1:22">
      <c r="A142" s="19"/>
      <c r="C142" s="19"/>
      <c r="D142" s="19"/>
      <c r="H142" s="32"/>
      <c r="I142" s="32"/>
      <c r="J142" s="32"/>
      <c r="L142" s="32"/>
      <c r="M142" s="32"/>
      <c r="N142" s="32"/>
      <c r="O142" s="32"/>
      <c r="P142" s="32"/>
      <c r="S142" s="32"/>
      <c r="T142" s="32"/>
      <c r="U142" s="17"/>
      <c r="V142" s="32"/>
    </row>
    <row r="143" spans="1:22">
      <c r="A143" s="19"/>
      <c r="C143" s="19"/>
      <c r="D143" s="19"/>
      <c r="H143" s="32"/>
      <c r="I143" s="32"/>
      <c r="J143" s="32"/>
      <c r="L143" s="32"/>
      <c r="M143" s="32"/>
      <c r="N143" s="32"/>
      <c r="O143" s="32"/>
      <c r="P143" s="32"/>
      <c r="S143" s="32"/>
      <c r="T143" s="32"/>
      <c r="U143" s="17"/>
      <c r="V143" s="32"/>
    </row>
    <row r="144" spans="1:22">
      <c r="A144" s="19"/>
      <c r="C144" s="19"/>
      <c r="D144" s="19"/>
      <c r="H144" s="32"/>
      <c r="I144" s="32"/>
      <c r="J144" s="32"/>
      <c r="L144" s="32"/>
      <c r="M144" s="32"/>
      <c r="N144" s="32"/>
      <c r="O144" s="32"/>
      <c r="P144" s="32"/>
      <c r="S144" s="32"/>
      <c r="T144" s="32"/>
      <c r="U144" s="17"/>
      <c r="V144" s="32"/>
    </row>
    <row r="145" spans="1:22">
      <c r="A145" s="19"/>
      <c r="C145" s="19"/>
      <c r="D145" s="19"/>
      <c r="H145" s="32"/>
      <c r="I145" s="32"/>
      <c r="J145" s="32"/>
      <c r="L145" s="32"/>
      <c r="M145" s="32"/>
      <c r="N145" s="32"/>
      <c r="O145" s="32"/>
      <c r="P145" s="32"/>
      <c r="S145" s="32"/>
      <c r="T145" s="32"/>
      <c r="U145" s="17"/>
      <c r="V145" s="32"/>
    </row>
    <row r="146" spans="1:22">
      <c r="A146" s="19"/>
      <c r="C146" s="19"/>
      <c r="D146" s="19"/>
      <c r="H146" s="32"/>
      <c r="I146" s="32"/>
      <c r="J146" s="32"/>
      <c r="L146" s="32"/>
      <c r="M146" s="32"/>
      <c r="N146" s="32"/>
      <c r="O146" s="32"/>
      <c r="P146" s="32"/>
      <c r="S146" s="32"/>
      <c r="T146" s="32"/>
      <c r="U146" s="17"/>
      <c r="V146" s="32"/>
    </row>
    <row r="147" spans="1:22">
      <c r="A147" s="19"/>
      <c r="C147" s="19"/>
      <c r="D147" s="19"/>
      <c r="H147" s="32"/>
      <c r="I147" s="32"/>
      <c r="J147" s="32"/>
      <c r="L147" s="32"/>
      <c r="M147" s="32"/>
      <c r="N147" s="32"/>
      <c r="O147" s="32"/>
      <c r="P147" s="32"/>
      <c r="S147" s="32"/>
      <c r="T147" s="32"/>
      <c r="U147" s="17"/>
      <c r="V147" s="32"/>
    </row>
    <row r="148" spans="1:22">
      <c r="A148" s="19"/>
      <c r="C148" s="19"/>
      <c r="D148" s="19"/>
      <c r="H148" s="32"/>
      <c r="I148" s="32"/>
      <c r="J148" s="32"/>
      <c r="L148" s="32"/>
      <c r="M148" s="32"/>
      <c r="N148" s="32"/>
      <c r="O148" s="32"/>
      <c r="P148" s="32"/>
      <c r="S148" s="32"/>
      <c r="T148" s="32"/>
      <c r="U148" s="17"/>
      <c r="V148" s="32"/>
    </row>
    <row r="149" spans="1:22">
      <c r="A149" s="19"/>
      <c r="C149" s="19"/>
      <c r="D149" s="19"/>
      <c r="H149" s="32"/>
      <c r="I149" s="32"/>
      <c r="J149" s="32"/>
      <c r="L149" s="32"/>
      <c r="M149" s="32"/>
      <c r="N149" s="32"/>
      <c r="O149" s="32"/>
      <c r="P149" s="32"/>
      <c r="S149" s="32"/>
      <c r="T149" s="32"/>
      <c r="U149" s="17"/>
      <c r="V149" s="32"/>
    </row>
    <row r="150" spans="1:22">
      <c r="A150" s="19"/>
      <c r="C150" s="19"/>
      <c r="D150" s="19"/>
      <c r="H150" s="32"/>
      <c r="I150" s="32"/>
      <c r="J150" s="32"/>
      <c r="L150" s="32"/>
      <c r="M150" s="32"/>
      <c r="N150" s="32"/>
      <c r="O150" s="32"/>
      <c r="P150" s="32"/>
      <c r="S150" s="32"/>
      <c r="T150" s="32"/>
      <c r="U150" s="17"/>
      <c r="V150" s="32"/>
    </row>
    <row r="151" spans="1:22">
      <c r="A151" s="19"/>
      <c r="C151" s="19"/>
      <c r="D151" s="19"/>
      <c r="H151" s="32"/>
      <c r="I151" s="32"/>
      <c r="J151" s="32"/>
      <c r="L151" s="32"/>
      <c r="M151" s="32"/>
      <c r="N151" s="32"/>
      <c r="O151" s="32"/>
      <c r="P151" s="32"/>
      <c r="S151" s="32"/>
      <c r="T151" s="32"/>
      <c r="U151" s="17"/>
      <c r="V151" s="32"/>
    </row>
    <row r="152" spans="1:22">
      <c r="A152" s="19"/>
      <c r="C152" s="19"/>
      <c r="D152" s="19"/>
      <c r="H152" s="32"/>
      <c r="I152" s="32"/>
      <c r="J152" s="32"/>
      <c r="L152" s="32"/>
      <c r="M152" s="32"/>
      <c r="N152" s="32"/>
      <c r="O152" s="32"/>
      <c r="P152" s="32"/>
      <c r="S152" s="32"/>
      <c r="T152" s="32"/>
      <c r="U152" s="17"/>
      <c r="V152" s="32"/>
    </row>
    <row r="153" spans="1:22">
      <c r="A153" s="19"/>
      <c r="C153" s="19"/>
      <c r="D153" s="19"/>
      <c r="H153" s="32"/>
      <c r="I153" s="32"/>
      <c r="J153" s="32"/>
      <c r="L153" s="32"/>
      <c r="M153" s="32"/>
      <c r="N153" s="32"/>
      <c r="O153" s="32"/>
      <c r="P153" s="32"/>
      <c r="S153" s="32"/>
      <c r="T153" s="32"/>
      <c r="U153" s="17"/>
      <c r="V153" s="32"/>
    </row>
    <row r="154" spans="1:22">
      <c r="A154" s="19"/>
      <c r="C154" s="19"/>
      <c r="D154" s="19"/>
      <c r="H154" s="32"/>
      <c r="I154" s="32"/>
      <c r="J154" s="32"/>
      <c r="L154" s="32"/>
      <c r="M154" s="32"/>
      <c r="N154" s="32"/>
      <c r="O154" s="32"/>
      <c r="P154" s="32"/>
      <c r="S154" s="32"/>
      <c r="T154" s="32"/>
      <c r="U154" s="17"/>
      <c r="V154" s="32"/>
    </row>
    <row r="155" spans="1:22">
      <c r="A155" s="19"/>
      <c r="C155" s="19"/>
      <c r="D155" s="19"/>
      <c r="H155" s="32"/>
      <c r="I155" s="32"/>
      <c r="J155" s="32"/>
      <c r="L155" s="32"/>
      <c r="M155" s="32"/>
      <c r="N155" s="32"/>
      <c r="O155" s="32"/>
      <c r="P155" s="32"/>
      <c r="S155" s="32"/>
      <c r="T155" s="32"/>
      <c r="U155" s="17"/>
      <c r="V155" s="32"/>
    </row>
    <row r="156" spans="1:22">
      <c r="A156" s="19"/>
      <c r="C156" s="19"/>
      <c r="D156" s="19"/>
      <c r="H156" s="32"/>
      <c r="I156" s="32"/>
      <c r="J156" s="32"/>
      <c r="L156" s="32"/>
      <c r="M156" s="32"/>
      <c r="N156" s="32"/>
      <c r="O156" s="32"/>
      <c r="P156" s="32"/>
      <c r="S156" s="32"/>
      <c r="T156" s="32"/>
      <c r="U156" s="17"/>
      <c r="V156" s="32"/>
    </row>
    <row r="157" spans="1:22">
      <c r="A157" s="19"/>
      <c r="C157" s="19"/>
      <c r="D157" s="19"/>
      <c r="H157" s="32"/>
      <c r="I157" s="32"/>
      <c r="J157" s="32"/>
      <c r="L157" s="32"/>
      <c r="M157" s="32"/>
      <c r="N157" s="32"/>
      <c r="O157" s="32"/>
      <c r="P157" s="32"/>
      <c r="S157" s="32"/>
      <c r="T157" s="32"/>
      <c r="U157" s="17"/>
      <c r="V157" s="32"/>
    </row>
    <row r="158" spans="1:22">
      <c r="A158" s="19"/>
      <c r="C158" s="19"/>
      <c r="D158" s="19"/>
      <c r="H158" s="32"/>
      <c r="I158" s="32"/>
      <c r="J158" s="32"/>
      <c r="L158" s="32"/>
      <c r="M158" s="32"/>
      <c r="N158" s="32"/>
      <c r="O158" s="32"/>
      <c r="P158" s="32"/>
      <c r="S158" s="32"/>
      <c r="T158" s="32"/>
      <c r="U158" s="17"/>
      <c r="V158" s="32"/>
    </row>
    <row r="159" spans="1:22">
      <c r="A159" s="19"/>
      <c r="C159" s="19"/>
      <c r="D159" s="19"/>
      <c r="H159" s="32"/>
      <c r="I159" s="32"/>
      <c r="J159" s="32"/>
      <c r="L159" s="32"/>
      <c r="M159" s="32"/>
      <c r="N159" s="32"/>
      <c r="O159" s="32"/>
      <c r="P159" s="32"/>
      <c r="S159" s="32"/>
      <c r="T159" s="32"/>
      <c r="U159" s="17"/>
      <c r="V159" s="32"/>
    </row>
    <row r="160" spans="1:22">
      <c r="A160" s="19"/>
      <c r="C160" s="19"/>
      <c r="D160" s="19"/>
      <c r="H160" s="32"/>
      <c r="I160" s="32"/>
      <c r="J160" s="32"/>
      <c r="L160" s="32"/>
      <c r="M160" s="32"/>
      <c r="N160" s="32"/>
      <c r="O160" s="32"/>
      <c r="P160" s="32"/>
      <c r="S160" s="32"/>
      <c r="T160" s="32"/>
      <c r="U160" s="17"/>
      <c r="V160" s="32"/>
    </row>
    <row r="161" spans="1:22">
      <c r="A161" s="19"/>
      <c r="C161" s="19"/>
      <c r="D161" s="19"/>
      <c r="H161" s="32"/>
      <c r="I161" s="32"/>
      <c r="J161" s="32"/>
      <c r="L161" s="32"/>
      <c r="M161" s="32"/>
      <c r="N161" s="32"/>
      <c r="O161" s="32"/>
      <c r="P161" s="32"/>
      <c r="S161" s="32"/>
      <c r="T161" s="32"/>
      <c r="U161" s="17"/>
      <c r="V161" s="32"/>
    </row>
    <row r="162" spans="1:22">
      <c r="A162" s="19"/>
      <c r="C162" s="19"/>
      <c r="D162" s="19"/>
      <c r="H162" s="32"/>
      <c r="I162" s="32"/>
      <c r="J162" s="32"/>
      <c r="L162" s="32"/>
      <c r="M162" s="32"/>
      <c r="N162" s="32"/>
      <c r="O162" s="32"/>
      <c r="P162" s="32"/>
      <c r="S162" s="32"/>
      <c r="T162" s="32"/>
      <c r="U162" s="17"/>
      <c r="V162" s="32"/>
    </row>
    <row r="163" spans="1:22">
      <c r="A163" s="19"/>
      <c r="C163" s="19"/>
      <c r="D163" s="19"/>
      <c r="H163" s="32"/>
      <c r="I163" s="32"/>
      <c r="J163" s="32"/>
      <c r="L163" s="32"/>
      <c r="M163" s="32"/>
      <c r="N163" s="32"/>
      <c r="O163" s="32"/>
      <c r="P163" s="32"/>
      <c r="S163" s="32"/>
      <c r="T163" s="32"/>
      <c r="U163" s="17"/>
      <c r="V163" s="32"/>
    </row>
    <row r="164" spans="1:22">
      <c r="A164" s="19"/>
      <c r="C164" s="19"/>
      <c r="D164" s="19"/>
      <c r="H164" s="32"/>
      <c r="I164" s="32"/>
      <c r="J164" s="32"/>
      <c r="L164" s="32"/>
      <c r="M164" s="32"/>
      <c r="N164" s="32"/>
      <c r="O164" s="32"/>
      <c r="P164" s="32"/>
      <c r="S164" s="32"/>
      <c r="T164" s="32"/>
      <c r="U164" s="17"/>
      <c r="V164" s="32"/>
    </row>
    <row r="165" spans="1:22">
      <c r="A165" s="19"/>
      <c r="C165" s="19"/>
      <c r="D165" s="19"/>
      <c r="H165" s="32"/>
      <c r="I165" s="32"/>
      <c r="J165" s="32"/>
      <c r="L165" s="32"/>
      <c r="M165" s="32"/>
      <c r="N165" s="32"/>
      <c r="O165" s="32"/>
      <c r="P165" s="32"/>
      <c r="S165" s="32"/>
      <c r="T165" s="32"/>
      <c r="U165" s="17"/>
      <c r="V165" s="32"/>
    </row>
    <row r="166" spans="1:22">
      <c r="A166" s="19"/>
      <c r="C166" s="19"/>
      <c r="D166" s="19"/>
      <c r="H166" s="32"/>
      <c r="I166" s="32"/>
      <c r="J166" s="32"/>
      <c r="L166" s="32"/>
      <c r="M166" s="32"/>
      <c r="N166" s="32"/>
      <c r="O166" s="32"/>
      <c r="P166" s="32"/>
      <c r="S166" s="32"/>
      <c r="T166" s="32"/>
      <c r="U166" s="17"/>
      <c r="V166" s="32"/>
    </row>
    <row r="167" spans="1:22">
      <c r="A167" s="19"/>
      <c r="C167" s="19"/>
      <c r="D167" s="19"/>
      <c r="H167" s="32"/>
      <c r="I167" s="32"/>
      <c r="J167" s="32"/>
      <c r="L167" s="32"/>
      <c r="M167" s="32"/>
      <c r="N167" s="32"/>
      <c r="O167" s="32"/>
      <c r="P167" s="32"/>
      <c r="S167" s="32"/>
      <c r="T167" s="32"/>
      <c r="U167" s="17"/>
      <c r="V167" s="32"/>
    </row>
    <row r="168" spans="1:22">
      <c r="A168" s="19"/>
      <c r="C168" s="19"/>
      <c r="D168" s="19"/>
      <c r="H168" s="32"/>
      <c r="I168" s="32"/>
      <c r="J168" s="32"/>
      <c r="L168" s="32"/>
      <c r="M168" s="32"/>
      <c r="N168" s="32"/>
      <c r="O168" s="32"/>
      <c r="P168" s="32"/>
      <c r="S168" s="32"/>
      <c r="T168" s="32"/>
      <c r="U168" s="17"/>
      <c r="V168" s="32"/>
    </row>
    <row r="169" spans="1:22">
      <c r="A169" s="19"/>
      <c r="C169" s="19"/>
      <c r="D169" s="19"/>
      <c r="H169" s="32"/>
      <c r="I169" s="32"/>
      <c r="J169" s="32"/>
      <c r="L169" s="32"/>
      <c r="M169" s="32"/>
      <c r="N169" s="32"/>
      <c r="O169" s="32"/>
      <c r="P169" s="32"/>
      <c r="S169" s="32"/>
      <c r="T169" s="32"/>
      <c r="U169" s="17"/>
      <c r="V169" s="32"/>
    </row>
    <row r="170" spans="1:22">
      <c r="A170" s="19"/>
      <c r="C170" s="19"/>
      <c r="D170" s="19"/>
      <c r="H170" s="32"/>
      <c r="I170" s="32"/>
      <c r="J170" s="32"/>
      <c r="L170" s="32"/>
      <c r="M170" s="32"/>
      <c r="N170" s="32"/>
      <c r="O170" s="32"/>
      <c r="P170" s="32"/>
      <c r="S170" s="32"/>
      <c r="T170" s="32"/>
      <c r="U170" s="17"/>
      <c r="V170" s="32"/>
    </row>
    <row r="171" spans="1:22">
      <c r="A171" s="19"/>
      <c r="C171" s="19"/>
      <c r="D171" s="19"/>
      <c r="H171" s="32"/>
      <c r="I171" s="32"/>
      <c r="J171" s="32"/>
      <c r="L171" s="32"/>
      <c r="M171" s="32"/>
      <c r="N171" s="32"/>
      <c r="O171" s="32"/>
      <c r="P171" s="32"/>
      <c r="S171" s="32"/>
      <c r="T171" s="32"/>
      <c r="U171" s="17"/>
      <c r="V171" s="32"/>
    </row>
    <row r="172" spans="1:22">
      <c r="A172" s="19"/>
      <c r="C172" s="19"/>
      <c r="D172" s="19"/>
      <c r="H172" s="32"/>
      <c r="I172" s="32"/>
      <c r="J172" s="32"/>
      <c r="L172" s="32"/>
      <c r="M172" s="32"/>
      <c r="N172" s="32"/>
      <c r="O172" s="32"/>
      <c r="P172" s="32"/>
      <c r="S172" s="32"/>
      <c r="T172" s="32"/>
      <c r="U172" s="17"/>
      <c r="V172" s="32"/>
    </row>
    <row r="173" spans="1:22">
      <c r="A173" s="19"/>
      <c r="C173" s="19"/>
      <c r="D173" s="19"/>
      <c r="H173" s="32"/>
      <c r="I173" s="32"/>
      <c r="J173" s="32"/>
      <c r="L173" s="32"/>
      <c r="M173" s="32"/>
      <c r="N173" s="32"/>
      <c r="O173" s="32"/>
      <c r="P173" s="32"/>
      <c r="S173" s="32"/>
      <c r="T173" s="32"/>
      <c r="U173" s="17"/>
      <c r="V173" s="32"/>
    </row>
    <row r="174" spans="1:22">
      <c r="A174" s="19"/>
      <c r="C174" s="19"/>
      <c r="D174" s="19"/>
      <c r="H174" s="32"/>
      <c r="I174" s="32"/>
      <c r="J174" s="32"/>
      <c r="L174" s="32"/>
      <c r="M174" s="32"/>
      <c r="N174" s="32"/>
      <c r="O174" s="32"/>
      <c r="P174" s="32"/>
      <c r="S174" s="32"/>
      <c r="T174" s="32"/>
      <c r="U174" s="17"/>
      <c r="V174" s="32"/>
    </row>
    <row r="175" spans="1:22">
      <c r="A175" s="19"/>
      <c r="C175" s="19"/>
      <c r="D175" s="19"/>
      <c r="H175" s="32"/>
      <c r="I175" s="32"/>
      <c r="J175" s="32"/>
      <c r="L175" s="32"/>
      <c r="M175" s="32"/>
      <c r="N175" s="32"/>
      <c r="O175" s="32"/>
      <c r="P175" s="32"/>
      <c r="S175" s="32"/>
      <c r="T175" s="32"/>
      <c r="U175" s="17"/>
      <c r="V175" s="32"/>
    </row>
    <row r="176" spans="1:22">
      <c r="A176" s="19"/>
      <c r="C176" s="19"/>
      <c r="D176" s="19"/>
      <c r="H176" s="32"/>
      <c r="I176" s="32"/>
      <c r="J176" s="32"/>
      <c r="L176" s="32"/>
      <c r="M176" s="32"/>
      <c r="N176" s="32"/>
      <c r="O176" s="32"/>
      <c r="P176" s="32"/>
      <c r="S176" s="32"/>
      <c r="T176" s="32"/>
      <c r="U176" s="17"/>
      <c r="V176" s="32"/>
    </row>
    <row r="177" spans="1:22">
      <c r="A177" s="19"/>
      <c r="C177" s="19"/>
      <c r="D177" s="19"/>
      <c r="H177" s="32"/>
      <c r="I177" s="32"/>
      <c r="J177" s="32"/>
      <c r="L177" s="32"/>
      <c r="M177" s="32"/>
      <c r="N177" s="32"/>
      <c r="O177" s="32"/>
      <c r="P177" s="32"/>
      <c r="S177" s="32"/>
      <c r="T177" s="32"/>
      <c r="U177" s="17"/>
      <c r="V177" s="32"/>
    </row>
    <row r="178" spans="1:22">
      <c r="A178" s="19"/>
      <c r="C178" s="19"/>
      <c r="D178" s="19"/>
      <c r="H178" s="32"/>
      <c r="I178" s="32"/>
      <c r="J178" s="32"/>
      <c r="L178" s="32"/>
      <c r="M178" s="32"/>
      <c r="N178" s="32"/>
      <c r="O178" s="32"/>
      <c r="P178" s="32"/>
      <c r="S178" s="32"/>
      <c r="T178" s="32"/>
      <c r="U178" s="17"/>
      <c r="V178" s="32"/>
    </row>
    <row r="179" spans="1:22">
      <c r="A179" s="19"/>
      <c r="C179" s="19"/>
      <c r="D179" s="19"/>
      <c r="H179" s="32"/>
      <c r="I179" s="32"/>
      <c r="J179" s="32"/>
      <c r="L179" s="32"/>
      <c r="M179" s="32"/>
      <c r="N179" s="32"/>
      <c r="O179" s="32"/>
      <c r="P179" s="32"/>
      <c r="S179" s="32"/>
      <c r="T179" s="32"/>
      <c r="U179" s="17"/>
      <c r="V179" s="32"/>
    </row>
    <row r="180" spans="1:22">
      <c r="A180" s="19"/>
      <c r="C180" s="19"/>
      <c r="D180" s="19"/>
      <c r="H180" s="32"/>
      <c r="I180" s="32"/>
      <c r="J180" s="32"/>
      <c r="L180" s="32"/>
      <c r="M180" s="32"/>
      <c r="N180" s="32"/>
      <c r="O180" s="32"/>
      <c r="P180" s="32"/>
      <c r="S180" s="32"/>
      <c r="T180" s="32"/>
      <c r="U180" s="17"/>
      <c r="V180" s="32"/>
    </row>
    <row r="181" spans="1:22">
      <c r="A181" s="19"/>
      <c r="C181" s="19"/>
      <c r="D181" s="19"/>
      <c r="H181" s="32"/>
      <c r="I181" s="32"/>
      <c r="J181" s="32"/>
      <c r="L181" s="32"/>
      <c r="M181" s="32"/>
      <c r="N181" s="32"/>
      <c r="O181" s="32"/>
      <c r="P181" s="32"/>
      <c r="S181" s="32"/>
      <c r="T181" s="32"/>
      <c r="U181" s="17"/>
      <c r="V181" s="32"/>
    </row>
    <row r="182" spans="1:22">
      <c r="A182" s="19"/>
      <c r="C182" s="19"/>
      <c r="D182" s="19"/>
      <c r="H182" s="32"/>
      <c r="I182" s="32"/>
      <c r="J182" s="32"/>
      <c r="L182" s="32"/>
      <c r="M182" s="32"/>
      <c r="N182" s="32"/>
      <c r="O182" s="32"/>
      <c r="P182" s="32"/>
      <c r="S182" s="32"/>
      <c r="T182" s="32"/>
      <c r="U182" s="17"/>
      <c r="V182" s="32"/>
    </row>
    <row r="183" spans="1:22">
      <c r="A183" s="19"/>
      <c r="C183" s="19"/>
      <c r="D183" s="19"/>
      <c r="H183" s="32"/>
      <c r="I183" s="32"/>
      <c r="J183" s="32"/>
      <c r="L183" s="32"/>
      <c r="M183" s="32"/>
      <c r="N183" s="32"/>
      <c r="O183" s="32"/>
      <c r="P183" s="32"/>
      <c r="S183" s="32"/>
      <c r="T183" s="32"/>
      <c r="U183" s="17"/>
      <c r="V183" s="32"/>
    </row>
    <row r="184" spans="1:22">
      <c r="A184" s="19"/>
      <c r="C184" s="19"/>
      <c r="D184" s="19"/>
      <c r="H184" s="32"/>
      <c r="I184" s="32"/>
      <c r="J184" s="32"/>
      <c r="L184" s="32"/>
      <c r="M184" s="32"/>
      <c r="N184" s="32"/>
      <c r="O184" s="32"/>
      <c r="P184" s="32"/>
      <c r="S184" s="32"/>
      <c r="T184" s="32"/>
      <c r="U184" s="17"/>
      <c r="V184" s="32"/>
    </row>
    <row r="185" spans="1:22">
      <c r="A185" s="19"/>
      <c r="C185" s="19"/>
      <c r="D185" s="19"/>
      <c r="H185" s="32"/>
      <c r="I185" s="32"/>
      <c r="J185" s="32"/>
      <c r="L185" s="32"/>
      <c r="M185" s="32"/>
      <c r="N185" s="32"/>
      <c r="O185" s="32"/>
      <c r="P185" s="32"/>
      <c r="S185" s="32"/>
      <c r="T185" s="32"/>
      <c r="U185" s="17"/>
      <c r="V185" s="32"/>
    </row>
    <row r="186" spans="1:22">
      <c r="A186" s="19"/>
      <c r="C186" s="19"/>
      <c r="D186" s="19"/>
      <c r="H186" s="32"/>
      <c r="I186" s="32"/>
      <c r="J186" s="32"/>
      <c r="L186" s="32"/>
      <c r="M186" s="32"/>
      <c r="N186" s="32"/>
      <c r="O186" s="32"/>
      <c r="P186" s="32"/>
      <c r="S186" s="32"/>
      <c r="T186" s="32"/>
      <c r="U186" s="17"/>
      <c r="V186" s="32"/>
    </row>
    <row r="187" spans="1:22">
      <c r="A187" s="19"/>
      <c r="C187" s="19"/>
      <c r="D187" s="19"/>
      <c r="H187" s="32"/>
      <c r="I187" s="32"/>
      <c r="J187" s="32"/>
      <c r="L187" s="32"/>
      <c r="M187" s="32"/>
      <c r="N187" s="32"/>
      <c r="O187" s="32"/>
      <c r="P187" s="32"/>
      <c r="S187" s="32"/>
      <c r="T187" s="32"/>
      <c r="U187" s="17"/>
      <c r="V187" s="32"/>
    </row>
    <row r="188" spans="1:22">
      <c r="A188" s="19"/>
      <c r="C188" s="19"/>
      <c r="D188" s="19"/>
      <c r="H188" s="32"/>
      <c r="I188" s="32"/>
      <c r="J188" s="32"/>
      <c r="L188" s="32"/>
      <c r="M188" s="32"/>
      <c r="N188" s="32"/>
      <c r="O188" s="32"/>
      <c r="P188" s="32"/>
      <c r="S188" s="32"/>
      <c r="T188" s="32"/>
      <c r="U188" s="17"/>
      <c r="V188" s="32"/>
    </row>
    <row r="189" spans="1:22">
      <c r="A189" s="19"/>
      <c r="C189" s="19"/>
      <c r="D189" s="19"/>
      <c r="H189" s="32"/>
      <c r="I189" s="32"/>
      <c r="J189" s="32"/>
      <c r="L189" s="32"/>
      <c r="M189" s="32"/>
      <c r="N189" s="32"/>
      <c r="O189" s="32"/>
      <c r="P189" s="32"/>
      <c r="S189" s="32"/>
      <c r="T189" s="32"/>
      <c r="U189" s="17"/>
      <c r="V189" s="32"/>
    </row>
    <row r="190" spans="1:22">
      <c r="A190" s="19"/>
      <c r="C190" s="19"/>
      <c r="D190" s="19"/>
      <c r="H190" s="32"/>
      <c r="I190" s="32"/>
      <c r="J190" s="32"/>
      <c r="L190" s="32"/>
      <c r="M190" s="32"/>
      <c r="N190" s="32"/>
      <c r="O190" s="32"/>
      <c r="P190" s="32"/>
      <c r="S190" s="32"/>
      <c r="T190" s="32"/>
      <c r="U190" s="17"/>
      <c r="V190" s="32"/>
    </row>
    <row r="191" spans="1:22">
      <c r="A191" s="19"/>
      <c r="C191" s="19"/>
      <c r="D191" s="19"/>
      <c r="H191" s="32"/>
      <c r="I191" s="32"/>
      <c r="J191" s="32"/>
      <c r="L191" s="32"/>
      <c r="M191" s="32"/>
      <c r="N191" s="32"/>
      <c r="O191" s="32"/>
      <c r="P191" s="32"/>
      <c r="S191" s="32"/>
      <c r="T191" s="32"/>
      <c r="U191" s="17"/>
      <c r="V191" s="32"/>
    </row>
    <row r="192" spans="1:22">
      <c r="A192" s="19"/>
      <c r="C192" s="19"/>
      <c r="D192" s="19"/>
      <c r="H192" s="32"/>
      <c r="I192" s="32"/>
      <c r="J192" s="32"/>
      <c r="L192" s="32"/>
      <c r="M192" s="32"/>
      <c r="N192" s="32"/>
      <c r="O192" s="32"/>
      <c r="P192" s="32"/>
      <c r="S192" s="32"/>
      <c r="T192" s="32"/>
      <c r="U192" s="17"/>
      <c r="V192" s="32"/>
    </row>
    <row r="193" spans="1:22">
      <c r="A193" s="19"/>
      <c r="C193" s="19"/>
      <c r="D193" s="19"/>
      <c r="H193" s="32"/>
      <c r="I193" s="32"/>
      <c r="J193" s="32"/>
      <c r="L193" s="32"/>
      <c r="M193" s="32"/>
      <c r="N193" s="32"/>
      <c r="O193" s="32"/>
      <c r="P193" s="32"/>
      <c r="S193" s="32"/>
      <c r="T193" s="32"/>
      <c r="U193" s="17"/>
      <c r="V193" s="32"/>
    </row>
    <row r="194" spans="1:22">
      <c r="A194" s="19"/>
      <c r="C194" s="19"/>
      <c r="D194" s="19"/>
      <c r="H194" s="32"/>
      <c r="I194" s="32"/>
      <c r="J194" s="32"/>
      <c r="L194" s="32"/>
      <c r="M194" s="32"/>
      <c r="N194" s="32"/>
      <c r="O194" s="32"/>
      <c r="P194" s="32"/>
      <c r="S194" s="32"/>
      <c r="T194" s="32"/>
      <c r="U194" s="17"/>
      <c r="V194" s="32"/>
    </row>
    <row r="195" spans="1:22">
      <c r="A195" s="19"/>
      <c r="C195" s="19"/>
      <c r="D195" s="19"/>
      <c r="H195" s="32"/>
      <c r="I195" s="32"/>
      <c r="J195" s="32"/>
      <c r="L195" s="32"/>
      <c r="M195" s="32"/>
      <c r="N195" s="32"/>
      <c r="O195" s="32"/>
      <c r="P195" s="32"/>
      <c r="S195" s="32"/>
      <c r="T195" s="32"/>
      <c r="U195" s="17"/>
      <c r="V195" s="32"/>
    </row>
    <row r="196" spans="1:22">
      <c r="A196" s="19"/>
      <c r="C196" s="19"/>
      <c r="D196" s="19"/>
      <c r="H196" s="32"/>
      <c r="I196" s="32"/>
      <c r="J196" s="32"/>
      <c r="L196" s="32"/>
      <c r="M196" s="32"/>
      <c r="N196" s="32"/>
      <c r="O196" s="32"/>
      <c r="P196" s="32"/>
      <c r="S196" s="32"/>
      <c r="T196" s="32"/>
      <c r="U196" s="17"/>
      <c r="V196" s="32"/>
    </row>
    <row r="197" spans="1:22">
      <c r="A197" s="19"/>
      <c r="C197" s="19"/>
      <c r="D197" s="19"/>
      <c r="H197" s="32"/>
      <c r="I197" s="32"/>
      <c r="J197" s="32"/>
      <c r="L197" s="32"/>
      <c r="M197" s="32"/>
      <c r="N197" s="32"/>
      <c r="O197" s="32"/>
      <c r="P197" s="32"/>
      <c r="S197" s="32"/>
      <c r="T197" s="32"/>
      <c r="U197" s="17"/>
      <c r="V197" s="32"/>
    </row>
    <row r="198" spans="1:22">
      <c r="A198" s="19"/>
      <c r="C198" s="19"/>
      <c r="D198" s="19"/>
      <c r="H198" s="32"/>
      <c r="I198" s="32"/>
      <c r="J198" s="32"/>
      <c r="L198" s="32"/>
      <c r="M198" s="32"/>
      <c r="N198" s="32"/>
      <c r="O198" s="32"/>
      <c r="P198" s="32"/>
      <c r="S198" s="32"/>
      <c r="T198" s="32"/>
      <c r="U198" s="17"/>
      <c r="V198" s="32"/>
    </row>
    <row r="199" spans="1:22">
      <c r="A199" s="19"/>
      <c r="C199" s="19"/>
      <c r="D199" s="19"/>
      <c r="H199" s="32"/>
      <c r="I199" s="32"/>
      <c r="J199" s="32"/>
      <c r="L199" s="32"/>
      <c r="M199" s="32"/>
      <c r="N199" s="32"/>
      <c r="O199" s="32"/>
      <c r="P199" s="32"/>
      <c r="S199" s="32"/>
      <c r="T199" s="32"/>
      <c r="U199" s="17"/>
      <c r="V199" s="32"/>
    </row>
    <row r="200" spans="1:22">
      <c r="A200" s="19"/>
      <c r="C200" s="19"/>
      <c r="D200" s="19"/>
      <c r="H200" s="32"/>
      <c r="I200" s="32"/>
      <c r="J200" s="32"/>
      <c r="L200" s="32"/>
      <c r="M200" s="32"/>
      <c r="N200" s="32"/>
      <c r="O200" s="32"/>
      <c r="P200" s="32"/>
      <c r="S200" s="32"/>
      <c r="T200" s="32"/>
      <c r="U200" s="17"/>
      <c r="V200" s="32"/>
    </row>
    <row r="201" spans="1:22">
      <c r="A201" s="19"/>
      <c r="C201" s="19"/>
      <c r="D201" s="19"/>
      <c r="H201" s="32"/>
      <c r="I201" s="32"/>
      <c r="J201" s="32"/>
      <c r="L201" s="32"/>
      <c r="M201" s="32"/>
      <c r="N201" s="32"/>
      <c r="O201" s="32"/>
      <c r="P201" s="32"/>
      <c r="S201" s="32"/>
      <c r="T201" s="32"/>
      <c r="U201" s="17"/>
      <c r="V201" s="32"/>
    </row>
    <row r="202" spans="1:22">
      <c r="A202" s="19"/>
      <c r="C202" s="19"/>
      <c r="D202" s="19"/>
      <c r="H202" s="32"/>
      <c r="I202" s="32"/>
      <c r="J202" s="32"/>
      <c r="L202" s="32"/>
      <c r="M202" s="32"/>
      <c r="N202" s="32"/>
      <c r="O202" s="32"/>
      <c r="P202" s="32"/>
      <c r="S202" s="32"/>
      <c r="T202" s="32"/>
      <c r="U202" s="17"/>
      <c r="V202" s="32"/>
    </row>
    <row r="203" spans="1:22">
      <c r="A203" s="19"/>
      <c r="C203" s="19"/>
      <c r="D203" s="19"/>
      <c r="H203" s="32"/>
      <c r="I203" s="32"/>
      <c r="J203" s="32"/>
      <c r="L203" s="32"/>
      <c r="M203" s="32"/>
      <c r="N203" s="32"/>
      <c r="O203" s="32"/>
      <c r="P203" s="32"/>
      <c r="S203" s="32"/>
      <c r="T203" s="32"/>
      <c r="U203" s="17"/>
      <c r="V203" s="32"/>
    </row>
    <row r="204" spans="1:22">
      <c r="A204" s="19"/>
      <c r="C204" s="19"/>
      <c r="D204" s="19"/>
      <c r="H204" s="32"/>
      <c r="I204" s="32"/>
      <c r="J204" s="32"/>
      <c r="L204" s="32"/>
      <c r="M204" s="32"/>
      <c r="N204" s="32"/>
      <c r="O204" s="32"/>
      <c r="P204" s="32"/>
      <c r="S204" s="32"/>
      <c r="T204" s="32"/>
      <c r="U204" s="17"/>
      <c r="V204" s="32"/>
    </row>
    <row r="205" spans="1:22">
      <c r="A205" s="19"/>
      <c r="C205" s="19"/>
      <c r="D205" s="19"/>
      <c r="H205" s="32"/>
      <c r="I205" s="32"/>
      <c r="J205" s="32"/>
      <c r="L205" s="32"/>
      <c r="M205" s="32"/>
      <c r="N205" s="32"/>
      <c r="O205" s="32"/>
      <c r="P205" s="32"/>
      <c r="S205" s="32"/>
      <c r="T205" s="32"/>
      <c r="U205" s="17"/>
      <c r="V205" s="32"/>
    </row>
    <row r="206" spans="1:22">
      <c r="A206" s="19"/>
      <c r="C206" s="19"/>
      <c r="D206" s="19"/>
      <c r="H206" s="32"/>
      <c r="I206" s="32"/>
      <c r="J206" s="32"/>
      <c r="L206" s="32"/>
      <c r="M206" s="32"/>
      <c r="N206" s="32"/>
      <c r="O206" s="32"/>
      <c r="P206" s="32"/>
      <c r="S206" s="32"/>
      <c r="T206" s="32"/>
      <c r="U206" s="17"/>
      <c r="V206" s="32"/>
    </row>
    <row r="207" spans="1:22">
      <c r="A207" s="19"/>
      <c r="C207" s="19"/>
      <c r="D207" s="19"/>
      <c r="H207" s="32"/>
      <c r="I207" s="32"/>
      <c r="J207" s="32"/>
      <c r="L207" s="32"/>
      <c r="M207" s="32"/>
      <c r="N207" s="32"/>
      <c r="O207" s="32"/>
      <c r="P207" s="32"/>
      <c r="S207" s="32"/>
      <c r="T207" s="32"/>
      <c r="U207" s="17"/>
      <c r="V207" s="32"/>
    </row>
    <row r="208" spans="1:22">
      <c r="A208" s="19"/>
      <c r="C208" s="19"/>
      <c r="D208" s="19"/>
      <c r="H208" s="32"/>
      <c r="I208" s="32"/>
      <c r="J208" s="32"/>
      <c r="L208" s="32"/>
      <c r="M208" s="32"/>
      <c r="N208" s="32"/>
      <c r="O208" s="32"/>
      <c r="P208" s="32"/>
      <c r="S208" s="32"/>
      <c r="T208" s="32"/>
      <c r="U208" s="17"/>
      <c r="V208" s="32"/>
    </row>
    <row r="209" spans="1:22">
      <c r="A209" s="19"/>
      <c r="C209" s="19"/>
      <c r="D209" s="19"/>
      <c r="H209" s="32"/>
      <c r="I209" s="32"/>
      <c r="J209" s="32"/>
      <c r="L209" s="32"/>
      <c r="M209" s="32"/>
      <c r="N209" s="32"/>
      <c r="O209" s="32"/>
      <c r="P209" s="32"/>
      <c r="S209" s="32"/>
      <c r="T209" s="32"/>
      <c r="U209" s="17"/>
      <c r="V209" s="32"/>
    </row>
    <row r="210" spans="1:22">
      <c r="A210" s="19"/>
      <c r="C210" s="19"/>
      <c r="D210" s="19"/>
      <c r="H210" s="32"/>
      <c r="I210" s="32"/>
      <c r="J210" s="32"/>
      <c r="L210" s="32"/>
      <c r="M210" s="32"/>
      <c r="N210" s="32"/>
      <c r="O210" s="32"/>
      <c r="P210" s="32"/>
      <c r="S210" s="32"/>
      <c r="T210" s="32"/>
      <c r="U210" s="17"/>
      <c r="V210" s="32"/>
    </row>
    <row r="211" spans="1:22">
      <c r="A211" s="19"/>
      <c r="C211" s="19"/>
      <c r="D211" s="19"/>
      <c r="H211" s="32"/>
      <c r="I211" s="32"/>
      <c r="J211" s="32"/>
      <c r="L211" s="32"/>
      <c r="M211" s="32"/>
      <c r="N211" s="32"/>
      <c r="O211" s="32"/>
      <c r="P211" s="32"/>
      <c r="S211" s="32"/>
      <c r="T211" s="32"/>
      <c r="U211" s="17"/>
      <c r="V211" s="32"/>
    </row>
    <row r="212" spans="1:22">
      <c r="A212" s="19"/>
      <c r="C212" s="19"/>
      <c r="D212" s="19"/>
      <c r="H212" s="32"/>
      <c r="I212" s="32"/>
      <c r="J212" s="32"/>
      <c r="L212" s="32"/>
      <c r="M212" s="32"/>
      <c r="N212" s="32"/>
      <c r="O212" s="32"/>
      <c r="P212" s="32"/>
      <c r="S212" s="32"/>
      <c r="T212" s="32"/>
      <c r="U212" s="17"/>
      <c r="V212" s="32"/>
    </row>
    <row r="213" spans="1:22">
      <c r="A213" s="19"/>
      <c r="C213" s="19"/>
      <c r="D213" s="19"/>
      <c r="H213" s="32"/>
      <c r="I213" s="32"/>
      <c r="J213" s="32"/>
      <c r="L213" s="32"/>
      <c r="M213" s="32"/>
      <c r="N213" s="32"/>
      <c r="O213" s="32"/>
      <c r="P213" s="32"/>
      <c r="S213" s="32"/>
      <c r="T213" s="32"/>
      <c r="U213" s="17"/>
      <c r="V213" s="32"/>
    </row>
    <row r="214" spans="1:22">
      <c r="A214" s="19"/>
      <c r="C214" s="19"/>
      <c r="D214" s="19"/>
      <c r="H214" s="32"/>
      <c r="I214" s="32"/>
      <c r="J214" s="32"/>
      <c r="L214" s="32"/>
      <c r="M214" s="32"/>
      <c r="N214" s="32"/>
      <c r="O214" s="32"/>
      <c r="P214" s="32"/>
      <c r="S214" s="32"/>
      <c r="T214" s="32"/>
      <c r="U214" s="17"/>
      <c r="V214" s="32"/>
    </row>
    <row r="215" spans="1:22">
      <c r="A215" s="19"/>
      <c r="C215" s="19"/>
      <c r="D215" s="19"/>
      <c r="H215" s="32"/>
      <c r="I215" s="32"/>
      <c r="J215" s="32"/>
      <c r="L215" s="32"/>
      <c r="M215" s="32"/>
      <c r="N215" s="32"/>
      <c r="O215" s="32"/>
      <c r="P215" s="32"/>
      <c r="S215" s="32"/>
      <c r="T215" s="32"/>
      <c r="U215" s="17"/>
      <c r="V215" s="32"/>
    </row>
    <row r="216" spans="1:22">
      <c r="A216" s="19"/>
      <c r="C216" s="19"/>
      <c r="D216" s="19"/>
      <c r="H216" s="32"/>
      <c r="I216" s="32"/>
      <c r="J216" s="32"/>
      <c r="L216" s="32"/>
      <c r="M216" s="32"/>
      <c r="N216" s="32"/>
      <c r="O216" s="32"/>
      <c r="P216" s="32"/>
      <c r="S216" s="32"/>
      <c r="T216" s="32"/>
      <c r="U216" s="17"/>
      <c r="V216" s="32"/>
    </row>
    <row r="217" spans="1:22">
      <c r="A217" s="19"/>
      <c r="C217" s="19"/>
      <c r="D217" s="19"/>
      <c r="H217" s="32"/>
      <c r="I217" s="32"/>
      <c r="J217" s="32"/>
      <c r="L217" s="32"/>
      <c r="M217" s="32"/>
      <c r="N217" s="32"/>
      <c r="O217" s="32"/>
      <c r="P217" s="32"/>
      <c r="S217" s="32"/>
      <c r="T217" s="32"/>
      <c r="U217" s="17"/>
      <c r="V217" s="32"/>
    </row>
    <row r="218" spans="1:22">
      <c r="A218" s="19"/>
      <c r="C218" s="19"/>
      <c r="D218" s="19"/>
      <c r="H218" s="32"/>
      <c r="I218" s="32"/>
      <c r="J218" s="32"/>
      <c r="L218" s="32"/>
      <c r="M218" s="32"/>
      <c r="N218" s="32"/>
      <c r="O218" s="32"/>
      <c r="P218" s="32"/>
      <c r="S218" s="32"/>
      <c r="T218" s="32"/>
      <c r="U218" s="17"/>
      <c r="V218" s="32"/>
    </row>
    <row r="219" spans="1:22">
      <c r="A219" s="19"/>
      <c r="C219" s="19"/>
      <c r="D219" s="19"/>
      <c r="H219" s="32"/>
      <c r="I219" s="32"/>
      <c r="J219" s="32"/>
      <c r="L219" s="32"/>
      <c r="M219" s="32"/>
      <c r="N219" s="32"/>
      <c r="O219" s="32"/>
      <c r="P219" s="32"/>
      <c r="S219" s="32"/>
      <c r="T219" s="32"/>
      <c r="U219" s="17"/>
      <c r="V219" s="32"/>
    </row>
    <row r="220" spans="1:22">
      <c r="A220" s="19"/>
      <c r="C220" s="19"/>
      <c r="D220" s="19"/>
      <c r="H220" s="32"/>
      <c r="I220" s="32"/>
      <c r="J220" s="32"/>
      <c r="L220" s="32"/>
      <c r="M220" s="32"/>
      <c r="N220" s="32"/>
      <c r="O220" s="32"/>
      <c r="P220" s="32"/>
      <c r="S220" s="32"/>
      <c r="T220" s="32"/>
      <c r="U220" s="17"/>
      <c r="V220" s="32"/>
    </row>
    <row r="221" spans="1:22">
      <c r="A221" s="19"/>
      <c r="C221" s="19"/>
      <c r="D221" s="19"/>
      <c r="H221" s="32"/>
      <c r="I221" s="32"/>
      <c r="J221" s="32"/>
      <c r="L221" s="32"/>
      <c r="M221" s="32"/>
      <c r="N221" s="32"/>
      <c r="O221" s="32"/>
      <c r="P221" s="32"/>
      <c r="S221" s="32"/>
      <c r="T221" s="32"/>
      <c r="U221" s="17"/>
      <c r="V221" s="32"/>
    </row>
    <row r="222" spans="1:22">
      <c r="A222" s="19"/>
      <c r="C222" s="19"/>
      <c r="D222" s="19"/>
      <c r="H222" s="32"/>
      <c r="I222" s="32"/>
      <c r="J222" s="32"/>
      <c r="L222" s="32"/>
      <c r="M222" s="32"/>
      <c r="N222" s="32"/>
      <c r="O222" s="32"/>
      <c r="P222" s="32"/>
      <c r="S222" s="32"/>
      <c r="T222" s="32"/>
      <c r="U222" s="17"/>
      <c r="V222" s="32"/>
    </row>
    <row r="223" spans="1:22">
      <c r="A223" s="19"/>
      <c r="C223" s="19"/>
      <c r="D223" s="19"/>
      <c r="H223" s="32"/>
      <c r="I223" s="32"/>
      <c r="J223" s="32"/>
      <c r="L223" s="32"/>
      <c r="M223" s="32"/>
      <c r="N223" s="32"/>
      <c r="O223" s="32"/>
      <c r="P223" s="32"/>
      <c r="S223" s="32"/>
      <c r="T223" s="32"/>
      <c r="U223" s="17"/>
      <c r="V223" s="32"/>
    </row>
    <row r="224" spans="1:22">
      <c r="A224" s="19"/>
      <c r="C224" s="19"/>
      <c r="D224" s="19"/>
      <c r="H224" s="32"/>
      <c r="I224" s="32"/>
      <c r="J224" s="32"/>
      <c r="L224" s="32"/>
      <c r="M224" s="32"/>
      <c r="N224" s="32"/>
      <c r="O224" s="32"/>
      <c r="P224" s="32"/>
      <c r="S224" s="32"/>
      <c r="T224" s="32"/>
      <c r="U224" s="17"/>
      <c r="V224" s="32"/>
    </row>
    <row r="225" spans="1:22">
      <c r="A225" s="19"/>
      <c r="C225" s="19"/>
      <c r="D225" s="19"/>
      <c r="H225" s="32"/>
      <c r="I225" s="32"/>
      <c r="J225" s="32"/>
      <c r="L225" s="32"/>
      <c r="M225" s="32"/>
      <c r="N225" s="32"/>
      <c r="O225" s="32"/>
      <c r="P225" s="32"/>
      <c r="S225" s="32"/>
      <c r="T225" s="32"/>
      <c r="U225" s="17"/>
      <c r="V225" s="32"/>
    </row>
    <row r="226" spans="1:22">
      <c r="A226" s="19"/>
      <c r="C226" s="19"/>
      <c r="D226" s="19"/>
      <c r="H226" s="32"/>
      <c r="I226" s="32"/>
      <c r="J226" s="32"/>
      <c r="L226" s="32"/>
      <c r="M226" s="32"/>
      <c r="N226" s="32"/>
      <c r="O226" s="32"/>
      <c r="P226" s="32"/>
      <c r="S226" s="32"/>
      <c r="T226" s="32"/>
      <c r="U226" s="17"/>
      <c r="V226" s="32"/>
    </row>
    <row r="227" spans="1:22">
      <c r="A227" s="19"/>
      <c r="C227" s="19"/>
      <c r="D227" s="19"/>
      <c r="H227" s="32"/>
      <c r="I227" s="32"/>
      <c r="J227" s="32"/>
      <c r="L227" s="32"/>
      <c r="M227" s="32"/>
      <c r="N227" s="32"/>
      <c r="O227" s="32"/>
      <c r="P227" s="32"/>
      <c r="S227" s="32"/>
      <c r="T227" s="32"/>
      <c r="U227" s="17"/>
      <c r="V227" s="32"/>
    </row>
    <row r="228" spans="1:22">
      <c r="A228" s="19"/>
      <c r="C228" s="19"/>
      <c r="D228" s="19"/>
      <c r="H228" s="32"/>
      <c r="I228" s="32"/>
      <c r="J228" s="32"/>
      <c r="L228" s="32"/>
      <c r="M228" s="32"/>
      <c r="N228" s="32"/>
      <c r="O228" s="32"/>
      <c r="P228" s="32"/>
      <c r="S228" s="32"/>
      <c r="T228" s="32"/>
      <c r="U228" s="17"/>
      <c r="V228" s="32"/>
    </row>
    <row r="229" spans="1:22">
      <c r="A229" s="19"/>
      <c r="C229" s="19"/>
      <c r="D229" s="19"/>
      <c r="H229" s="32"/>
      <c r="I229" s="32"/>
      <c r="J229" s="32"/>
      <c r="L229" s="32"/>
      <c r="M229" s="32"/>
      <c r="N229" s="32"/>
      <c r="O229" s="32"/>
      <c r="P229" s="32"/>
      <c r="S229" s="32"/>
      <c r="T229" s="32"/>
      <c r="U229" s="17"/>
      <c r="V229" s="32"/>
    </row>
    <row r="230" spans="1:22">
      <c r="A230" s="19"/>
      <c r="C230" s="19"/>
      <c r="D230" s="19"/>
      <c r="H230" s="32"/>
      <c r="I230" s="32"/>
      <c r="J230" s="32"/>
      <c r="L230" s="32"/>
      <c r="M230" s="32"/>
      <c r="N230" s="32"/>
      <c r="O230" s="32"/>
      <c r="P230" s="32"/>
      <c r="S230" s="32"/>
      <c r="T230" s="32"/>
      <c r="U230" s="17"/>
      <c r="V230" s="32"/>
    </row>
    <row r="231" spans="1:22">
      <c r="A231" s="19"/>
      <c r="C231" s="19"/>
      <c r="D231" s="19"/>
      <c r="H231" s="32"/>
      <c r="I231" s="32"/>
      <c r="J231" s="32"/>
      <c r="L231" s="32"/>
      <c r="M231" s="32"/>
      <c r="N231" s="32"/>
      <c r="O231" s="32"/>
      <c r="P231" s="32"/>
      <c r="S231" s="32"/>
      <c r="T231" s="32"/>
      <c r="U231" s="17"/>
      <c r="V231" s="32"/>
    </row>
    <row r="232" spans="1:22">
      <c r="A232" s="19"/>
      <c r="C232" s="19"/>
      <c r="D232" s="19"/>
      <c r="H232" s="32"/>
      <c r="I232" s="32"/>
      <c r="J232" s="32"/>
      <c r="L232" s="32"/>
      <c r="M232" s="32"/>
      <c r="N232" s="32"/>
      <c r="O232" s="32"/>
      <c r="P232" s="32"/>
      <c r="S232" s="32"/>
      <c r="T232" s="32"/>
      <c r="U232" s="17"/>
      <c r="V232" s="32"/>
    </row>
    <row r="233" spans="1:22">
      <c r="A233" s="19"/>
      <c r="C233" s="19"/>
      <c r="D233" s="19"/>
      <c r="H233" s="32"/>
      <c r="I233" s="32"/>
      <c r="J233" s="32"/>
      <c r="L233" s="32"/>
      <c r="M233" s="32"/>
      <c r="N233" s="32"/>
      <c r="O233" s="32"/>
      <c r="P233" s="32"/>
      <c r="S233" s="32"/>
      <c r="T233" s="32"/>
      <c r="U233" s="17"/>
      <c r="V233" s="32"/>
    </row>
    <row r="234" spans="1:22">
      <c r="A234" s="19"/>
      <c r="C234" s="19"/>
      <c r="D234" s="19"/>
      <c r="H234" s="32"/>
      <c r="I234" s="32"/>
      <c r="J234" s="32"/>
      <c r="L234" s="32"/>
      <c r="M234" s="32"/>
      <c r="N234" s="32"/>
      <c r="O234" s="32"/>
      <c r="P234" s="32"/>
      <c r="S234" s="32"/>
      <c r="T234" s="32"/>
      <c r="U234" s="17"/>
      <c r="V234" s="32"/>
    </row>
    <row r="235" spans="1:22">
      <c r="A235" s="19"/>
      <c r="C235" s="19"/>
      <c r="D235" s="19"/>
      <c r="H235" s="32"/>
      <c r="I235" s="32"/>
      <c r="J235" s="32"/>
      <c r="L235" s="32"/>
      <c r="M235" s="32"/>
      <c r="N235" s="32"/>
      <c r="O235" s="32"/>
      <c r="P235" s="32"/>
      <c r="S235" s="32"/>
      <c r="T235" s="32"/>
      <c r="U235" s="17"/>
      <c r="V235" s="32"/>
    </row>
    <row r="236" spans="1:22">
      <c r="A236" s="19"/>
      <c r="C236" s="19"/>
      <c r="D236" s="19"/>
      <c r="H236" s="32"/>
      <c r="I236" s="32"/>
      <c r="J236" s="32"/>
      <c r="L236" s="32"/>
      <c r="M236" s="32"/>
      <c r="N236" s="32"/>
      <c r="O236" s="32"/>
      <c r="P236" s="32"/>
      <c r="S236" s="32"/>
      <c r="T236" s="32"/>
      <c r="U236" s="17"/>
      <c r="V236" s="32"/>
    </row>
    <row r="237" spans="1:22">
      <c r="A237" s="19"/>
      <c r="C237" s="19"/>
      <c r="D237" s="19"/>
      <c r="H237" s="32"/>
      <c r="I237" s="32"/>
      <c r="J237" s="32"/>
      <c r="L237" s="32"/>
      <c r="M237" s="32"/>
      <c r="N237" s="32"/>
      <c r="O237" s="32"/>
      <c r="P237" s="32"/>
      <c r="S237" s="32"/>
      <c r="T237" s="32"/>
      <c r="U237" s="17"/>
      <c r="V237" s="32"/>
    </row>
    <row r="238" spans="1:22">
      <c r="A238" s="19"/>
      <c r="C238" s="19"/>
      <c r="D238" s="19"/>
      <c r="H238" s="32"/>
      <c r="I238" s="32"/>
      <c r="J238" s="32"/>
      <c r="L238" s="32"/>
      <c r="M238" s="32"/>
      <c r="N238" s="32"/>
      <c r="O238" s="32"/>
      <c r="P238" s="32"/>
      <c r="S238" s="32"/>
      <c r="T238" s="32"/>
      <c r="U238" s="17"/>
      <c r="V238" s="32"/>
    </row>
    <row r="239" spans="1:22">
      <c r="A239" s="19"/>
      <c r="C239" s="19"/>
      <c r="D239" s="19"/>
      <c r="H239" s="32"/>
      <c r="I239" s="32"/>
      <c r="J239" s="32"/>
      <c r="L239" s="32"/>
      <c r="M239" s="32"/>
      <c r="N239" s="32"/>
      <c r="O239" s="32"/>
      <c r="P239" s="32"/>
      <c r="S239" s="32"/>
      <c r="T239" s="32"/>
      <c r="U239" s="17"/>
      <c r="V239" s="32"/>
    </row>
    <row r="240" spans="1:22">
      <c r="A240" s="19"/>
      <c r="C240" s="19"/>
      <c r="D240" s="19"/>
      <c r="H240" s="32"/>
      <c r="I240" s="32"/>
      <c r="J240" s="32"/>
      <c r="L240" s="32"/>
      <c r="M240" s="32"/>
      <c r="N240" s="32"/>
      <c r="O240" s="32"/>
      <c r="P240" s="32"/>
      <c r="S240" s="32"/>
      <c r="T240" s="32"/>
      <c r="U240" s="17"/>
      <c r="V240" s="32"/>
    </row>
    <row r="241" spans="1:22">
      <c r="A241" s="19"/>
      <c r="C241" s="19"/>
      <c r="D241" s="19"/>
      <c r="H241" s="32"/>
      <c r="I241" s="32"/>
      <c r="J241" s="32"/>
      <c r="L241" s="32"/>
      <c r="M241" s="32"/>
      <c r="N241" s="32"/>
      <c r="O241" s="32"/>
      <c r="P241" s="32"/>
      <c r="S241" s="32"/>
      <c r="T241" s="32"/>
      <c r="U241" s="17"/>
      <c r="V241" s="32"/>
    </row>
    <row r="242" spans="1:22">
      <c r="A242" s="19"/>
      <c r="C242" s="19"/>
      <c r="D242" s="19"/>
      <c r="H242" s="32"/>
      <c r="I242" s="32"/>
      <c r="J242" s="32"/>
      <c r="L242" s="32"/>
      <c r="M242" s="32"/>
      <c r="N242" s="32"/>
      <c r="O242" s="32"/>
      <c r="P242" s="32"/>
      <c r="S242" s="32"/>
      <c r="T242" s="32"/>
      <c r="U242" s="17"/>
      <c r="V242" s="32"/>
    </row>
    <row r="243" spans="1:22">
      <c r="A243" s="19"/>
      <c r="C243" s="19"/>
      <c r="D243" s="19"/>
      <c r="H243" s="32"/>
      <c r="I243" s="32"/>
      <c r="J243" s="32"/>
      <c r="L243" s="32"/>
      <c r="M243" s="32"/>
      <c r="N243" s="32"/>
      <c r="O243" s="32"/>
      <c r="P243" s="32"/>
      <c r="S243" s="32"/>
      <c r="T243" s="32"/>
      <c r="U243" s="17"/>
      <c r="V243" s="32"/>
    </row>
    <row r="244" spans="1:22">
      <c r="A244" s="19"/>
      <c r="C244" s="19"/>
      <c r="D244" s="19"/>
      <c r="H244" s="32"/>
      <c r="I244" s="32"/>
      <c r="J244" s="32"/>
      <c r="L244" s="32"/>
      <c r="M244" s="32"/>
      <c r="N244" s="32"/>
      <c r="O244" s="32"/>
      <c r="P244" s="32"/>
      <c r="S244" s="32"/>
      <c r="T244" s="32"/>
      <c r="U244" s="17"/>
      <c r="V244" s="32"/>
    </row>
    <row r="245" spans="1:22">
      <c r="A245" s="19"/>
      <c r="C245" s="19"/>
      <c r="D245" s="19"/>
      <c r="H245" s="32"/>
      <c r="I245" s="32"/>
      <c r="J245" s="32"/>
      <c r="L245" s="32"/>
      <c r="M245" s="32"/>
      <c r="N245" s="32"/>
      <c r="O245" s="32"/>
      <c r="P245" s="32"/>
      <c r="S245" s="32"/>
      <c r="T245" s="32"/>
      <c r="U245" s="17"/>
      <c r="V245" s="32"/>
    </row>
    <row r="246" spans="1:22">
      <c r="A246" s="19"/>
      <c r="C246" s="19"/>
      <c r="D246" s="19"/>
      <c r="H246" s="32"/>
      <c r="I246" s="32"/>
      <c r="J246" s="32"/>
      <c r="L246" s="32"/>
      <c r="M246" s="32"/>
      <c r="N246" s="32"/>
      <c r="O246" s="32"/>
      <c r="P246" s="32"/>
      <c r="S246" s="32"/>
      <c r="T246" s="32"/>
      <c r="U246" s="17"/>
      <c r="V246" s="32"/>
    </row>
    <row r="247" spans="1:22">
      <c r="A247" s="19"/>
      <c r="C247" s="19"/>
      <c r="D247" s="19"/>
      <c r="H247" s="32"/>
      <c r="I247" s="32"/>
      <c r="J247" s="32"/>
      <c r="L247" s="32"/>
      <c r="M247" s="32"/>
      <c r="N247" s="32"/>
      <c r="O247" s="32"/>
      <c r="P247" s="32"/>
      <c r="S247" s="32"/>
      <c r="T247" s="32"/>
      <c r="U247" s="17"/>
      <c r="V247" s="32"/>
    </row>
    <row r="248" spans="1:22">
      <c r="A248" s="19"/>
      <c r="C248" s="19"/>
      <c r="D248" s="19"/>
      <c r="H248" s="32"/>
      <c r="I248" s="32"/>
      <c r="J248" s="32"/>
      <c r="L248" s="32"/>
      <c r="M248" s="32"/>
      <c r="N248" s="32"/>
      <c r="O248" s="32"/>
      <c r="P248" s="32"/>
      <c r="S248" s="32"/>
      <c r="T248" s="32"/>
      <c r="U248" s="17"/>
      <c r="V248" s="32"/>
    </row>
    <row r="249" spans="1:22">
      <c r="A249" s="19"/>
      <c r="C249" s="19"/>
      <c r="D249" s="19"/>
      <c r="H249" s="32"/>
      <c r="I249" s="32"/>
      <c r="J249" s="32"/>
      <c r="L249" s="32"/>
      <c r="M249" s="32"/>
      <c r="N249" s="32"/>
      <c r="O249" s="32"/>
      <c r="P249" s="32"/>
      <c r="S249" s="32"/>
      <c r="T249" s="32"/>
      <c r="U249" s="17"/>
      <c r="V249" s="32"/>
    </row>
    <row r="250" spans="1:22">
      <c r="A250" s="19"/>
      <c r="C250" s="19"/>
      <c r="D250" s="19"/>
      <c r="H250" s="32"/>
      <c r="I250" s="32"/>
      <c r="J250" s="32"/>
      <c r="L250" s="32"/>
      <c r="M250" s="32"/>
      <c r="N250" s="32"/>
      <c r="O250" s="32"/>
      <c r="P250" s="32"/>
      <c r="S250" s="32"/>
      <c r="T250" s="32"/>
      <c r="U250" s="17"/>
      <c r="V250" s="32"/>
    </row>
    <row r="251" spans="1:22">
      <c r="A251" s="19"/>
      <c r="C251" s="19"/>
      <c r="D251" s="19"/>
      <c r="H251" s="32"/>
      <c r="I251" s="32"/>
      <c r="J251" s="32"/>
      <c r="L251" s="32"/>
      <c r="M251" s="32"/>
      <c r="N251" s="32"/>
      <c r="O251" s="32"/>
      <c r="P251" s="32"/>
      <c r="S251" s="32"/>
      <c r="T251" s="32"/>
      <c r="U251" s="17"/>
      <c r="V251" s="32"/>
    </row>
    <row r="252" spans="1:22">
      <c r="A252" s="19"/>
      <c r="C252" s="19"/>
      <c r="D252" s="19"/>
    </row>
    <row r="253" spans="1:22">
      <c r="A253" s="19"/>
      <c r="C253" s="19"/>
      <c r="D253" s="19"/>
      <c r="K253" s="19"/>
      <c r="Q253" s="19"/>
      <c r="R253" s="19"/>
      <c r="U253" s="19"/>
    </row>
    <row r="254" spans="1:22">
      <c r="A254" s="19"/>
      <c r="C254" s="19"/>
      <c r="D254" s="19"/>
      <c r="K254" s="19"/>
      <c r="Q254" s="19"/>
      <c r="R254" s="19"/>
      <c r="U254" s="19"/>
    </row>
    <row r="255" spans="1:22">
      <c r="A255" s="19"/>
      <c r="C255" s="19"/>
      <c r="D255" s="19"/>
      <c r="K255" s="19"/>
      <c r="Q255" s="19"/>
      <c r="R255" s="19"/>
      <c r="U255" s="19"/>
    </row>
    <row r="256" spans="1:22">
      <c r="A256" s="19"/>
      <c r="C256" s="19"/>
      <c r="D256" s="19"/>
      <c r="K256" s="19"/>
      <c r="Q256" s="19"/>
      <c r="R256" s="19"/>
      <c r="U256" s="19"/>
    </row>
    <row r="257" spans="1:21">
      <c r="A257" s="19"/>
      <c r="C257" s="19"/>
      <c r="D257" s="19"/>
      <c r="K257" s="19"/>
      <c r="Q257" s="19"/>
      <c r="R257" s="19"/>
      <c r="U257" s="19"/>
    </row>
    <row r="258" spans="1:21">
      <c r="A258" s="19"/>
      <c r="C258" s="19"/>
      <c r="D258" s="19"/>
      <c r="K258" s="19"/>
      <c r="Q258" s="19"/>
      <c r="R258" s="19"/>
      <c r="U258" s="19"/>
    </row>
    <row r="259" spans="1:21">
      <c r="A259" s="19"/>
      <c r="C259" s="19"/>
      <c r="D259" s="19"/>
      <c r="K259" s="19"/>
      <c r="Q259" s="19"/>
      <c r="R259" s="19"/>
      <c r="U259" s="19"/>
    </row>
  </sheetData>
  <mergeCells count="36">
    <mergeCell ref="A101:L101"/>
    <mergeCell ref="A10:A11"/>
    <mergeCell ref="D10:D11"/>
    <mergeCell ref="E10:E11"/>
    <mergeCell ref="J10:J11"/>
    <mergeCell ref="K10:K11"/>
    <mergeCell ref="A84:E84"/>
    <mergeCell ref="A88:E88"/>
    <mergeCell ref="B91:D91"/>
    <mergeCell ref="A86:S86"/>
    <mergeCell ref="A87:S87"/>
    <mergeCell ref="L10:P10"/>
    <mergeCell ref="O88:R88"/>
    <mergeCell ref="O91:R91"/>
    <mergeCell ref="U10:U11"/>
    <mergeCell ref="V10:V11"/>
    <mergeCell ref="A93:D93"/>
    <mergeCell ref="A100:L100"/>
    <mergeCell ref="A1:D1"/>
    <mergeCell ref="P1:S1"/>
    <mergeCell ref="A2:D2"/>
    <mergeCell ref="P2:S2"/>
    <mergeCell ref="A3:D3"/>
    <mergeCell ref="P3:S3"/>
    <mergeCell ref="A8:S8"/>
    <mergeCell ref="B10:C10"/>
    <mergeCell ref="F10:G10"/>
    <mergeCell ref="H10:I10"/>
    <mergeCell ref="A4:D4"/>
    <mergeCell ref="P4:S4"/>
    <mergeCell ref="A5:S5"/>
    <mergeCell ref="A6:S6"/>
    <mergeCell ref="A7:S7"/>
    <mergeCell ref="Q10:Q11"/>
    <mergeCell ref="R10:R11"/>
    <mergeCell ref="S10:S11"/>
  </mergeCells>
  <printOptions horizontalCentered="1"/>
  <pageMargins left="0.19685039370078741" right="0.19685039370078741" top="0.39370078740157483" bottom="0.39370078740157483" header="0.23622047244094491" footer="0.23622047244094491"/>
  <pageSetup paperSize="9" scale="68" fitToWidth="0" fitToHeight="0" orientation="landscape" r:id="rId1"/>
  <colBreaks count="1" manualBreakCount="1">
    <brk id="22" max="12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BCD D1T1</vt:lpstr>
      <vt:lpstr>BPTL D1T1</vt:lpstr>
      <vt:lpstr>BCC D1(26)</vt:lpstr>
      <vt:lpstr>BTHKL D1 T1 (26)</vt:lpstr>
      <vt:lpstr>BPHAN CHIA </vt:lpstr>
      <vt:lpstr>KLCN t1 dot 1</vt:lpstr>
      <vt:lpstr>TTL dot​2 (31947)</vt:lpstr>
      <vt:lpstr>'KLCN t1 dot 1'!Print_Area</vt:lpstr>
      <vt:lpstr>'TTL dot​2 (31947)'!Print_Area</vt:lpstr>
      <vt:lpstr>'BCC D1(26)'!Print_Titles</vt:lpstr>
      <vt:lpstr>'BPTL D1T1'!Print_Titles</vt:lpstr>
      <vt:lpstr>'BTHKL D1 T1 (26)'!Print_Titles</vt:lpstr>
      <vt:lpstr>'KLCN t1 dot 1'!Print_Titles</vt:lpstr>
      <vt:lpstr>'TTL dot​2 (31947)'!Print_Titles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cp:lastPrinted>2026-01-18T01:08:41Z</cp:lastPrinted>
  <dcterms:created xsi:type="dcterms:W3CDTF">2025-08-01T02:19:00Z</dcterms:created>
  <dcterms:modified xsi:type="dcterms:W3CDTF">2026-01-18T01:14:34Z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698754FC6A4C41689E80767044A1DC05_13</vt:lpwstr>
  </property>
  <property fmtid="{D5CDD505-2E9C-101B-9397-08002B2CF9AE}" pid="3" name="KSOProductBuildVer">
    <vt:lpwstr>1033-12.2.0.21931</vt:lpwstr>
  </property>
</Properties>
</file>