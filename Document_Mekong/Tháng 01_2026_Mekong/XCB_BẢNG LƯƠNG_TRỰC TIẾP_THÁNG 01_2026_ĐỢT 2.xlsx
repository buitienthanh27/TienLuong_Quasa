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EKONG_CPC\Hồ sơ_Báo cáo\Lao động - Tiền lương\Năm 2026\"/>
    </mc:Choice>
  </mc:AlternateContent>
  <bookViews>
    <workbookView xWindow="0" yWindow="0" windowWidth="20730" windowHeight="8235" firstSheet="1" activeTab="1"/>
  </bookViews>
  <sheets>
    <sheet name="BCD D1T1" sheetId="1" r:id="rId1"/>
    <sheet name="BPTL D1T1" sheetId="2" r:id="rId2"/>
    <sheet name="BCC D1(26)" sheetId="39" r:id="rId3"/>
    <sheet name="BTHKL D1 T1 (26)" sheetId="38" r:id="rId4"/>
    <sheet name="BPHAN CHIA " sheetId="37" r:id="rId5"/>
    <sheet name="KLCN t1 dot 1" sheetId="40" r:id="rId6"/>
    <sheet name="KLCN t1 dot 2" sheetId="32" r:id="rId7"/>
    <sheet name="TTL dot​2 (31947)" sheetId="4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2" hidden="1">'BCC D1(26)'!$A$11:$AE$85</definedName>
    <definedName name="_xlnm._FilterDatabase" localSheetId="4" hidden="1">'BPHAN CHIA '!$A$10:$U$21</definedName>
    <definedName name="_xlnm._FilterDatabase" localSheetId="5" hidden="1">'KLCN t1 dot 1'!$A$11:$AA$84</definedName>
    <definedName name="_xlnm._FilterDatabase" localSheetId="6" hidden="1">'KLCN t1 dot 2'!$A$11:$AC$84</definedName>
    <definedName name="_xlnm.Print_Area" localSheetId="5">'KLCN t1 dot 1'!$A$1:$AA$89</definedName>
    <definedName name="_xlnm.Print_Area" localSheetId="6">'KLCN t1 dot 2'!$A$1:$AC$89</definedName>
    <definedName name="_xlnm.Print_Area" localSheetId="7">'TTL dot​2 (31947)'!$A$1:$AQ$117</definedName>
    <definedName name="_xlnm.Print_Titles" localSheetId="2">'BCC D1(26)'!$11:$11</definedName>
    <definedName name="_xlnm.Print_Titles" localSheetId="1">'BPTL D1T1'!$11:$13</definedName>
    <definedName name="_xlnm.Print_Titles" localSheetId="3">'BTHKL D1 T1 (26)'!$10:$11</definedName>
    <definedName name="_xlnm.Print_Titles" localSheetId="5">'KLCN t1 dot 1'!$11:$12</definedName>
    <definedName name="_xlnm.Print_Titles" localSheetId="6">'KLCN t1 dot 2'!$11:$12</definedName>
    <definedName name="_xlnm.Print_Titles" localSheetId="7">'TTL dot​2 (31947)'!$10:$12</definedName>
  </definedNames>
  <calcPr calcId="162913"/>
</workbook>
</file>

<file path=xl/calcChain.xml><?xml version="1.0" encoding="utf-8"?>
<calcChain xmlns="http://schemas.openxmlformats.org/spreadsheetml/2006/main">
  <c r="L14" i="4" l="1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13" i="4"/>
  <c r="Y84" i="40" l="1"/>
  <c r="X84" i="40"/>
  <c r="D83" i="40"/>
  <c r="E83" i="40" s="1"/>
  <c r="Z83" i="40" s="1"/>
  <c r="F83" i="4" s="1"/>
  <c r="D82" i="40"/>
  <c r="E82" i="40" s="1"/>
  <c r="Z82" i="40" s="1"/>
  <c r="F82" i="4" s="1"/>
  <c r="D81" i="40"/>
  <c r="E81" i="40" s="1"/>
  <c r="Z81" i="40" s="1"/>
  <c r="F81" i="4" s="1"/>
  <c r="D80" i="40"/>
  <c r="E80" i="40" s="1"/>
  <c r="Z80" i="40" s="1"/>
  <c r="F80" i="4" s="1"/>
  <c r="D79" i="40"/>
  <c r="E79" i="40" s="1"/>
  <c r="Z79" i="40" s="1"/>
  <c r="F79" i="4" s="1"/>
  <c r="D78" i="40"/>
  <c r="E78" i="40" s="1"/>
  <c r="Z78" i="40" s="1"/>
  <c r="F78" i="4" s="1"/>
  <c r="D77" i="40"/>
  <c r="E77" i="40" s="1"/>
  <c r="Z77" i="40" s="1"/>
  <c r="F77" i="4" s="1"/>
  <c r="D76" i="40"/>
  <c r="E76" i="40" s="1"/>
  <c r="Z76" i="40" s="1"/>
  <c r="F76" i="4" s="1"/>
  <c r="D75" i="40"/>
  <c r="E75" i="40" s="1"/>
  <c r="Z75" i="40" s="1"/>
  <c r="F75" i="4" s="1"/>
  <c r="F74" i="40"/>
  <c r="G74" i="40" s="1"/>
  <c r="Z74" i="40" s="1"/>
  <c r="F74" i="4" s="1"/>
  <c r="V73" i="40"/>
  <c r="W73" i="40" s="1"/>
  <c r="U73" i="40"/>
  <c r="F73" i="40"/>
  <c r="G73" i="40" s="1"/>
  <c r="D73" i="40"/>
  <c r="E73" i="40" s="1"/>
  <c r="F72" i="40"/>
  <c r="G72" i="40" s="1"/>
  <c r="Z72" i="40" s="1"/>
  <c r="F72" i="4" s="1"/>
  <c r="F71" i="40"/>
  <c r="G71" i="40" s="1"/>
  <c r="D71" i="40"/>
  <c r="E71" i="40" s="1"/>
  <c r="V70" i="40"/>
  <c r="W70" i="40" s="1"/>
  <c r="F70" i="40"/>
  <c r="G70" i="40" s="1"/>
  <c r="Z70" i="40" s="1"/>
  <c r="F70" i="4" s="1"/>
  <c r="D70" i="40"/>
  <c r="E70" i="40" s="1"/>
  <c r="U69" i="40"/>
  <c r="F69" i="40"/>
  <c r="G69" i="40" s="1"/>
  <c r="F68" i="40"/>
  <c r="G68" i="40" s="1"/>
  <c r="Z68" i="40" s="1"/>
  <c r="F68" i="4" s="1"/>
  <c r="F67" i="40"/>
  <c r="G67" i="40" s="1"/>
  <c r="E67" i="40"/>
  <c r="D67" i="40"/>
  <c r="G66" i="40"/>
  <c r="Z66" i="40" s="1"/>
  <c r="F66" i="4" s="1"/>
  <c r="F66" i="40"/>
  <c r="D66" i="40"/>
  <c r="E66" i="40" s="1"/>
  <c r="F65" i="40"/>
  <c r="G65" i="40" s="1"/>
  <c r="E65" i="40"/>
  <c r="D65" i="40"/>
  <c r="G64" i="40"/>
  <c r="Z64" i="40" s="1"/>
  <c r="F64" i="4" s="1"/>
  <c r="F64" i="40"/>
  <c r="U63" i="40"/>
  <c r="F63" i="40"/>
  <c r="G63" i="40" s="1"/>
  <c r="D63" i="40"/>
  <c r="E63" i="40" s="1"/>
  <c r="V62" i="40"/>
  <c r="W62" i="40" s="1"/>
  <c r="U62" i="40"/>
  <c r="F62" i="40"/>
  <c r="G62" i="40" s="1"/>
  <c r="E62" i="40"/>
  <c r="D62" i="40"/>
  <c r="G61" i="40"/>
  <c r="Z61" i="40" s="1"/>
  <c r="F61" i="4" s="1"/>
  <c r="F61" i="40"/>
  <c r="D61" i="40"/>
  <c r="E61" i="40" s="1"/>
  <c r="U60" i="40"/>
  <c r="F60" i="40"/>
  <c r="G60" i="40" s="1"/>
  <c r="D60" i="40"/>
  <c r="E60" i="40" s="1"/>
  <c r="F59" i="40"/>
  <c r="G59" i="40" s="1"/>
  <c r="D59" i="40"/>
  <c r="E59" i="40" s="1"/>
  <c r="F58" i="40"/>
  <c r="G58" i="40" s="1"/>
  <c r="Z58" i="40" s="1"/>
  <c r="F58" i="4" s="1"/>
  <c r="F57" i="40"/>
  <c r="G57" i="40" s="1"/>
  <c r="D57" i="40"/>
  <c r="E57" i="40" s="1"/>
  <c r="F56" i="40"/>
  <c r="G56" i="40" s="1"/>
  <c r="Z56" i="40" s="1"/>
  <c r="F56" i="4" s="1"/>
  <c r="V55" i="40"/>
  <c r="W55" i="40" s="1"/>
  <c r="U55" i="40"/>
  <c r="F55" i="40"/>
  <c r="G55" i="40" s="1"/>
  <c r="D55" i="40"/>
  <c r="E55" i="40" s="1"/>
  <c r="P54" i="40"/>
  <c r="Q54" i="40" s="1"/>
  <c r="Z54" i="40" s="1"/>
  <c r="F54" i="4" s="1"/>
  <c r="L53" i="40"/>
  <c r="M53" i="40" s="1"/>
  <c r="Z53" i="40" s="1"/>
  <c r="F53" i="4" s="1"/>
  <c r="L52" i="40"/>
  <c r="M52" i="40" s="1"/>
  <c r="Z52" i="40" s="1"/>
  <c r="F52" i="4" s="1"/>
  <c r="N51" i="40"/>
  <c r="O51" i="40" s="1"/>
  <c r="Z51" i="40" s="1"/>
  <c r="F51" i="4" s="1"/>
  <c r="R50" i="40"/>
  <c r="S50" i="40" s="1"/>
  <c r="J50" i="40"/>
  <c r="K50" i="40" s="1"/>
  <c r="D49" i="40"/>
  <c r="E49" i="40" s="1"/>
  <c r="Z49" i="40" s="1"/>
  <c r="F49" i="4" s="1"/>
  <c r="D48" i="40"/>
  <c r="E48" i="40" s="1"/>
  <c r="Z48" i="40" s="1"/>
  <c r="F48" i="4" s="1"/>
  <c r="D47" i="40"/>
  <c r="E47" i="40" s="1"/>
  <c r="Z47" i="40" s="1"/>
  <c r="F47" i="4" s="1"/>
  <c r="D46" i="40"/>
  <c r="E46" i="40" s="1"/>
  <c r="Z46" i="40" s="1"/>
  <c r="F46" i="4" s="1"/>
  <c r="D45" i="40"/>
  <c r="E45" i="40" s="1"/>
  <c r="Z45" i="40" s="1"/>
  <c r="F45" i="4" s="1"/>
  <c r="D44" i="40"/>
  <c r="E44" i="40" s="1"/>
  <c r="Z44" i="40" s="1"/>
  <c r="F44" i="4" s="1"/>
  <c r="D43" i="40"/>
  <c r="E43" i="40" s="1"/>
  <c r="Z43" i="40" s="1"/>
  <c r="F43" i="4" s="1"/>
  <c r="D42" i="40"/>
  <c r="E42" i="40" s="1"/>
  <c r="Z42" i="40" s="1"/>
  <c r="F42" i="4" s="1"/>
  <c r="E41" i="40"/>
  <c r="Z41" i="40" s="1"/>
  <c r="F41" i="4" s="1"/>
  <c r="D41" i="40"/>
  <c r="G40" i="40"/>
  <c r="F40" i="40"/>
  <c r="D40" i="40"/>
  <c r="E40" i="40" s="1"/>
  <c r="F39" i="40"/>
  <c r="G39" i="40" s="1"/>
  <c r="E39" i="40"/>
  <c r="D39" i="40"/>
  <c r="U38" i="40"/>
  <c r="T38" i="40"/>
  <c r="F38" i="40"/>
  <c r="G38" i="40" s="1"/>
  <c r="D38" i="40"/>
  <c r="E38" i="40" s="1"/>
  <c r="F37" i="40"/>
  <c r="G37" i="40" s="1"/>
  <c r="Z37" i="40" s="1"/>
  <c r="F37" i="4" s="1"/>
  <c r="F36" i="40"/>
  <c r="G36" i="40" s="1"/>
  <c r="Z36" i="40" s="1"/>
  <c r="F36" i="4" s="1"/>
  <c r="G35" i="40"/>
  <c r="Z35" i="40" s="1"/>
  <c r="F35" i="4" s="1"/>
  <c r="F35" i="40"/>
  <c r="F34" i="40"/>
  <c r="G34" i="40" s="1"/>
  <c r="Z34" i="40" s="1"/>
  <c r="F34" i="4" s="1"/>
  <c r="U33" i="40"/>
  <c r="G33" i="40"/>
  <c r="F33" i="40"/>
  <c r="D33" i="40"/>
  <c r="E33" i="40" s="1"/>
  <c r="F32" i="40"/>
  <c r="G32" i="40" s="1"/>
  <c r="D32" i="40"/>
  <c r="E32" i="40" s="1"/>
  <c r="T31" i="40"/>
  <c r="T84" i="40" s="1"/>
  <c r="F31" i="40"/>
  <c r="G31" i="40" s="1"/>
  <c r="D31" i="40"/>
  <c r="E31" i="40" s="1"/>
  <c r="G30" i="40"/>
  <c r="Z30" i="40" s="1"/>
  <c r="F30" i="4" s="1"/>
  <c r="F30" i="40"/>
  <c r="F29" i="40"/>
  <c r="G29" i="40" s="1"/>
  <c r="Z29" i="40" s="1"/>
  <c r="F29" i="4" s="1"/>
  <c r="F28" i="40"/>
  <c r="G28" i="40" s="1"/>
  <c r="D28" i="40"/>
  <c r="E28" i="40" s="1"/>
  <c r="Z28" i="40" s="1"/>
  <c r="F28" i="4" s="1"/>
  <c r="F27" i="40"/>
  <c r="G27" i="40" s="1"/>
  <c r="Z27" i="40" s="1"/>
  <c r="F27" i="4" s="1"/>
  <c r="G26" i="40"/>
  <c r="Z26" i="40" s="1"/>
  <c r="F26" i="4" s="1"/>
  <c r="F26" i="40"/>
  <c r="G25" i="40"/>
  <c r="Z25" i="40" s="1"/>
  <c r="F25" i="4" s="1"/>
  <c r="F25" i="40"/>
  <c r="G24" i="40"/>
  <c r="F24" i="40"/>
  <c r="E24" i="40"/>
  <c r="D24" i="40"/>
  <c r="G23" i="40"/>
  <c r="F23" i="40"/>
  <c r="E23" i="40"/>
  <c r="D23" i="40"/>
  <c r="F22" i="40"/>
  <c r="G22" i="40" s="1"/>
  <c r="Z22" i="40" s="1"/>
  <c r="F22" i="4" s="1"/>
  <c r="F21" i="40"/>
  <c r="G21" i="40" s="1"/>
  <c r="Z21" i="40" s="1"/>
  <c r="F21" i="4" s="1"/>
  <c r="G20" i="40"/>
  <c r="Z20" i="40" s="1"/>
  <c r="F20" i="4" s="1"/>
  <c r="F20" i="40"/>
  <c r="E20" i="40"/>
  <c r="D20" i="40"/>
  <c r="U19" i="40"/>
  <c r="F19" i="40"/>
  <c r="D19" i="40"/>
  <c r="P18" i="40"/>
  <c r="L17" i="40"/>
  <c r="M17" i="40" s="1"/>
  <c r="Z17" i="40" s="1"/>
  <c r="F17" i="4" s="1"/>
  <c r="L16" i="40"/>
  <c r="L84" i="40" s="1"/>
  <c r="N15" i="40"/>
  <c r="N84" i="40" s="1"/>
  <c r="R14" i="40"/>
  <c r="S14" i="40" s="1"/>
  <c r="J14" i="40"/>
  <c r="A14" i="40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A42" i="40" s="1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A53" i="40" s="1"/>
  <c r="A54" i="40" s="1"/>
  <c r="A55" i="40" s="1"/>
  <c r="A56" i="40" s="1"/>
  <c r="A57" i="40" s="1"/>
  <c r="A58" i="40" s="1"/>
  <c r="A59" i="40" s="1"/>
  <c r="A60" i="40" s="1"/>
  <c r="A61" i="40" s="1"/>
  <c r="A62" i="40" s="1"/>
  <c r="A63" i="40" s="1"/>
  <c r="A64" i="40" s="1"/>
  <c r="A65" i="40" s="1"/>
  <c r="A66" i="40" s="1"/>
  <c r="A67" i="40" s="1"/>
  <c r="A68" i="40" s="1"/>
  <c r="A69" i="40" s="1"/>
  <c r="A70" i="40" s="1"/>
  <c r="A71" i="40" s="1"/>
  <c r="A72" i="40" s="1"/>
  <c r="A73" i="40" s="1"/>
  <c r="A74" i="40" s="1"/>
  <c r="A75" i="40" s="1"/>
  <c r="A76" i="40" s="1"/>
  <c r="A77" i="40" s="1"/>
  <c r="A78" i="40" s="1"/>
  <c r="A79" i="40" s="1"/>
  <c r="A80" i="40" s="1"/>
  <c r="A81" i="40" s="1"/>
  <c r="A82" i="40" s="1"/>
  <c r="A83" i="40" s="1"/>
  <c r="H13" i="40"/>
  <c r="I13" i="40" s="1"/>
  <c r="I84" i="40" s="1"/>
  <c r="Z55" i="40" l="1"/>
  <c r="F55" i="4" s="1"/>
  <c r="Z24" i="40"/>
  <c r="F24" i="4" s="1"/>
  <c r="Z13" i="40"/>
  <c r="F13" i="4" s="1"/>
  <c r="O15" i="40"/>
  <c r="O84" i="40" s="1"/>
  <c r="D84" i="40"/>
  <c r="Z32" i="40"/>
  <c r="F32" i="4" s="1"/>
  <c r="Z60" i="40"/>
  <c r="F60" i="4" s="1"/>
  <c r="R84" i="40"/>
  <c r="Z15" i="40"/>
  <c r="F15" i="4" s="1"/>
  <c r="E19" i="40"/>
  <c r="U31" i="40"/>
  <c r="Z31" i="40" s="1"/>
  <c r="F31" i="4" s="1"/>
  <c r="Z65" i="40"/>
  <c r="F65" i="4" s="1"/>
  <c r="Z69" i="40"/>
  <c r="F69" i="4" s="1"/>
  <c r="Z50" i="40"/>
  <c r="F50" i="4" s="1"/>
  <c r="S84" i="40"/>
  <c r="P84" i="40"/>
  <c r="Z23" i="40"/>
  <c r="F23" i="4" s="1"/>
  <c r="Z33" i="40"/>
  <c r="F33" i="4" s="1"/>
  <c r="Z38" i="40"/>
  <c r="F38" i="4" s="1"/>
  <c r="Z40" i="40"/>
  <c r="F40" i="4" s="1"/>
  <c r="M16" i="40"/>
  <c r="Z16" i="40" s="1"/>
  <c r="F16" i="4" s="1"/>
  <c r="Q18" i="40"/>
  <c r="Q84" i="40" s="1"/>
  <c r="Z39" i="40"/>
  <c r="F39" i="4" s="1"/>
  <c r="Z59" i="40"/>
  <c r="F59" i="4" s="1"/>
  <c r="Z67" i="40"/>
  <c r="F67" i="4" s="1"/>
  <c r="Z71" i="40"/>
  <c r="F71" i="4" s="1"/>
  <c r="U84" i="40"/>
  <c r="W84" i="40"/>
  <c r="F84" i="40"/>
  <c r="G19" i="40"/>
  <c r="J84" i="40"/>
  <c r="K14" i="40"/>
  <c r="K84" i="40" s="1"/>
  <c r="AD84" i="40" s="1"/>
  <c r="M84" i="40"/>
  <c r="Z57" i="40"/>
  <c r="F57" i="4" s="1"/>
  <c r="Z62" i="40"/>
  <c r="F62" i="4" s="1"/>
  <c r="Z63" i="40"/>
  <c r="F63" i="4" s="1"/>
  <c r="Z73" i="40"/>
  <c r="F73" i="4" s="1"/>
  <c r="H84" i="40"/>
  <c r="E84" i="40"/>
  <c r="V84" i="40"/>
  <c r="Z18" i="40" l="1"/>
  <c r="F18" i="4" s="1"/>
  <c r="G84" i="40"/>
  <c r="Z19" i="40"/>
  <c r="F19" i="4" s="1"/>
  <c r="Z14" i="40"/>
  <c r="Z84" i="40" l="1"/>
  <c r="F14" i="4"/>
  <c r="AA48" i="39"/>
  <c r="W48" i="39" s="1"/>
  <c r="Z46" i="32" s="1"/>
  <c r="AA46" i="32" s="1"/>
  <c r="AA49" i="39"/>
  <c r="AA54" i="39"/>
  <c r="AA75" i="39"/>
  <c r="AA76" i="39"/>
  <c r="AA84" i="39"/>
  <c r="W84" i="39" s="1"/>
  <c r="Z79" i="32" s="1"/>
  <c r="AA79" i="32" s="1"/>
  <c r="AA85" i="39"/>
  <c r="AA86" i="39"/>
  <c r="AA87" i="39"/>
  <c r="W87" i="39" s="1"/>
  <c r="Z82" i="32" s="1"/>
  <c r="AA82" i="32" s="1"/>
  <c r="AA88" i="39"/>
  <c r="W88" i="39" s="1"/>
  <c r="Z83" i="32" s="1"/>
  <c r="AA83" i="32" s="1"/>
  <c r="AA21" i="39"/>
  <c r="AA22" i="39"/>
  <c r="AA23" i="39"/>
  <c r="AA24" i="39"/>
  <c r="AA25" i="39"/>
  <c r="W25" i="39" s="1"/>
  <c r="Z23" i="32" s="1"/>
  <c r="AA26" i="39"/>
  <c r="W26" i="39" s="1"/>
  <c r="AA27" i="39"/>
  <c r="W27" i="39" s="1"/>
  <c r="AA28" i="39"/>
  <c r="AA29" i="39"/>
  <c r="AA30" i="39"/>
  <c r="AA31" i="39"/>
  <c r="AA32" i="39"/>
  <c r="W32" i="39" s="1"/>
  <c r="Z30" i="32" s="1"/>
  <c r="AA33" i="39"/>
  <c r="W33" i="39" s="1"/>
  <c r="AA34" i="39"/>
  <c r="AA35" i="39"/>
  <c r="W35" i="39" s="1"/>
  <c r="AA36" i="39"/>
  <c r="W36" i="39" s="1"/>
  <c r="AA37" i="39"/>
  <c r="W37" i="39" s="1"/>
  <c r="AA38" i="39"/>
  <c r="W38" i="39" s="1"/>
  <c r="AA39" i="39"/>
  <c r="AA40" i="39"/>
  <c r="AA41" i="39"/>
  <c r="W41" i="39" s="1"/>
  <c r="W86" i="39"/>
  <c r="Z81" i="32" s="1"/>
  <c r="AA81" i="32" s="1"/>
  <c r="W85" i="39"/>
  <c r="Z80" i="32" s="1"/>
  <c r="AA80" i="32" s="1"/>
  <c r="W76" i="39"/>
  <c r="Z71" i="32" s="1"/>
  <c r="AA71" i="32" s="1"/>
  <c r="W54" i="39"/>
  <c r="Z52" i="32" s="1"/>
  <c r="AA52" i="32" s="1"/>
  <c r="AA13" i="39"/>
  <c r="W13" i="39" s="1"/>
  <c r="Z14" i="32" s="1"/>
  <c r="AA14" i="39"/>
  <c r="W14" i="39" s="1"/>
  <c r="AA12" i="39"/>
  <c r="W12" i="39" s="1"/>
  <c r="X76" i="32"/>
  <c r="Y76" i="32" s="1"/>
  <c r="X77" i="32"/>
  <c r="Y77" i="32" s="1"/>
  <c r="X78" i="32"/>
  <c r="Y78" i="32" s="1"/>
  <c r="X79" i="32"/>
  <c r="Y79" i="32" s="1"/>
  <c r="X80" i="32"/>
  <c r="Y80" i="32" s="1"/>
  <c r="X81" i="32"/>
  <c r="Y81" i="32" s="1"/>
  <c r="X82" i="32"/>
  <c r="Y82" i="32" s="1"/>
  <c r="X83" i="32"/>
  <c r="Y83" i="32" s="1"/>
  <c r="X75" i="32"/>
  <c r="Y75" i="32" s="1"/>
  <c r="X14" i="32"/>
  <c r="Y14" i="32" s="1"/>
  <c r="X15" i="32"/>
  <c r="Y15" i="32" s="1"/>
  <c r="X16" i="32"/>
  <c r="Y16" i="32" s="1"/>
  <c r="X17" i="32"/>
  <c r="Y17" i="32" s="1"/>
  <c r="X18" i="32"/>
  <c r="Y18" i="32" s="1"/>
  <c r="X19" i="32"/>
  <c r="Y19" i="32" s="1"/>
  <c r="X20" i="32"/>
  <c r="Y20" i="32" s="1"/>
  <c r="X21" i="32"/>
  <c r="Y21" i="32" s="1"/>
  <c r="X22" i="32"/>
  <c r="Y22" i="32" s="1"/>
  <c r="X23" i="32"/>
  <c r="Y23" i="32" s="1"/>
  <c r="X24" i="32"/>
  <c r="Y24" i="32" s="1"/>
  <c r="X25" i="32"/>
  <c r="Y25" i="32" s="1"/>
  <c r="X26" i="32"/>
  <c r="Y26" i="32" s="1"/>
  <c r="X27" i="32"/>
  <c r="Y27" i="32" s="1"/>
  <c r="X28" i="32"/>
  <c r="Y28" i="32" s="1"/>
  <c r="X29" i="32"/>
  <c r="Y29" i="32" s="1"/>
  <c r="X30" i="32"/>
  <c r="Y30" i="32" s="1"/>
  <c r="X31" i="32"/>
  <c r="Y31" i="32" s="1"/>
  <c r="X32" i="32"/>
  <c r="Y32" i="32" s="1"/>
  <c r="X33" i="32"/>
  <c r="Y33" i="32" s="1"/>
  <c r="X34" i="32"/>
  <c r="Y34" i="32" s="1"/>
  <c r="X35" i="32"/>
  <c r="Y35" i="32" s="1"/>
  <c r="X36" i="32"/>
  <c r="Y36" i="32" s="1"/>
  <c r="X37" i="32"/>
  <c r="Y37" i="32" s="1"/>
  <c r="X38" i="32"/>
  <c r="Y38" i="32" s="1"/>
  <c r="X39" i="32"/>
  <c r="Y39" i="32" s="1"/>
  <c r="X40" i="32"/>
  <c r="Y40" i="32" s="1"/>
  <c r="X41" i="32"/>
  <c r="Y41" i="32" s="1"/>
  <c r="X42" i="32"/>
  <c r="Y42" i="32" s="1"/>
  <c r="X43" i="32"/>
  <c r="Y43" i="32" s="1"/>
  <c r="X44" i="32"/>
  <c r="Y44" i="32" s="1"/>
  <c r="X45" i="32"/>
  <c r="Y45" i="32" s="1"/>
  <c r="X46" i="32"/>
  <c r="Y46" i="32" s="1"/>
  <c r="X47" i="32"/>
  <c r="Y47" i="32" s="1"/>
  <c r="X48" i="32"/>
  <c r="Y48" i="32" s="1"/>
  <c r="X49" i="32"/>
  <c r="Y49" i="32" s="1"/>
  <c r="X50" i="32"/>
  <c r="Y50" i="32" s="1"/>
  <c r="X51" i="32"/>
  <c r="Y51" i="32" s="1"/>
  <c r="X52" i="32"/>
  <c r="Y52" i="32" s="1"/>
  <c r="X53" i="32"/>
  <c r="Y53" i="32" s="1"/>
  <c r="X54" i="32"/>
  <c r="Y54" i="32" s="1"/>
  <c r="X55" i="32"/>
  <c r="Y55" i="32" s="1"/>
  <c r="X56" i="32"/>
  <c r="Y56" i="32" s="1"/>
  <c r="X57" i="32"/>
  <c r="Y57" i="32" s="1"/>
  <c r="X58" i="32"/>
  <c r="Y58" i="32" s="1"/>
  <c r="X59" i="32"/>
  <c r="Y59" i="32" s="1"/>
  <c r="X60" i="32"/>
  <c r="Y60" i="32" s="1"/>
  <c r="X61" i="32"/>
  <c r="Y61" i="32" s="1"/>
  <c r="X62" i="32"/>
  <c r="Y62" i="32" s="1"/>
  <c r="X63" i="32"/>
  <c r="Y63" i="32" s="1"/>
  <c r="X64" i="32"/>
  <c r="Y64" i="32" s="1"/>
  <c r="X65" i="32"/>
  <c r="Y65" i="32" s="1"/>
  <c r="X66" i="32"/>
  <c r="Y66" i="32" s="1"/>
  <c r="X67" i="32"/>
  <c r="Y67" i="32" s="1"/>
  <c r="X68" i="32"/>
  <c r="Y68" i="32" s="1"/>
  <c r="X69" i="32"/>
  <c r="Y69" i="32" s="1"/>
  <c r="X70" i="32"/>
  <c r="Y70" i="32" s="1"/>
  <c r="X71" i="32"/>
  <c r="Y71" i="32" s="1"/>
  <c r="X72" i="32"/>
  <c r="Y72" i="32" s="1"/>
  <c r="X73" i="32"/>
  <c r="Y73" i="32" s="1"/>
  <c r="X74" i="32"/>
  <c r="Y74" i="32" s="1"/>
  <c r="X13" i="32"/>
  <c r="Y13" i="32" s="1"/>
  <c r="V115" i="39"/>
  <c r="X114" i="39"/>
  <c r="V39" i="32" s="1"/>
  <c r="W39" i="32" s="1"/>
  <c r="X113" i="39"/>
  <c r="V73" i="32" s="1"/>
  <c r="W73" i="32" s="1"/>
  <c r="X112" i="39"/>
  <c r="V66" i="32" s="1"/>
  <c r="W66" i="32" s="1"/>
  <c r="X111" i="39"/>
  <c r="V62" i="32" s="1"/>
  <c r="W62" i="32" s="1"/>
  <c r="X110" i="39"/>
  <c r="V60" i="32" s="1"/>
  <c r="W60" i="32" s="1"/>
  <c r="X109" i="39"/>
  <c r="V58" i="32" s="1"/>
  <c r="W58" i="32" s="1"/>
  <c r="X108" i="39"/>
  <c r="V55" i="32" s="1"/>
  <c r="W55" i="32" s="1"/>
  <c r="X107" i="39"/>
  <c r="V40" i="32" s="1"/>
  <c r="W40" i="32" s="1"/>
  <c r="X106" i="39"/>
  <c r="V38" i="32" s="1"/>
  <c r="W38" i="32" s="1"/>
  <c r="X105" i="39"/>
  <c r="V35" i="32" s="1"/>
  <c r="W35" i="32" s="1"/>
  <c r="X104" i="39"/>
  <c r="V31" i="32" s="1"/>
  <c r="W31" i="32" s="1"/>
  <c r="X103" i="39"/>
  <c r="V28" i="32" s="1"/>
  <c r="W28" i="32" s="1"/>
  <c r="A103" i="39"/>
  <c r="A104" i="39" s="1"/>
  <c r="A105" i="39" s="1"/>
  <c r="A106" i="39" s="1"/>
  <c r="A107" i="39" s="1"/>
  <c r="A108" i="39" s="1"/>
  <c r="A109" i="39" s="1"/>
  <c r="A110" i="39" s="1"/>
  <c r="A111" i="39" s="1"/>
  <c r="A112" i="39" s="1"/>
  <c r="A113" i="39" s="1"/>
  <c r="A114" i="39" s="1"/>
  <c r="X102" i="39"/>
  <c r="X100" i="39"/>
  <c r="T70" i="32" s="1"/>
  <c r="U70" i="32" s="1"/>
  <c r="X99" i="39"/>
  <c r="T67" i="32" s="1"/>
  <c r="U67" i="32" s="1"/>
  <c r="X98" i="39"/>
  <c r="T62" i="32" s="1"/>
  <c r="X97" i="39"/>
  <c r="T61" i="32" s="1"/>
  <c r="U61" i="32" s="1"/>
  <c r="X96" i="39"/>
  <c r="T55" i="32" s="1"/>
  <c r="X95" i="39"/>
  <c r="T34" i="32" s="1"/>
  <c r="U34" i="32" s="1"/>
  <c r="X94" i="39"/>
  <c r="T22" i="32" s="1"/>
  <c r="U22" i="32" s="1"/>
  <c r="X93" i="39"/>
  <c r="T19" i="32" s="1"/>
  <c r="X91" i="39"/>
  <c r="R14" i="32" s="1"/>
  <c r="S14" i="32" s="1"/>
  <c r="X90" i="39"/>
  <c r="R50" i="32" s="1"/>
  <c r="S50" i="32" s="1"/>
  <c r="X88" i="39"/>
  <c r="X87" i="39"/>
  <c r="X86" i="39"/>
  <c r="X85" i="39"/>
  <c r="X84" i="39"/>
  <c r="X83" i="39"/>
  <c r="X82" i="39"/>
  <c r="X81" i="39"/>
  <c r="A81" i="39"/>
  <c r="A82" i="39" s="1"/>
  <c r="A83" i="39" s="1"/>
  <c r="A84" i="39" s="1"/>
  <c r="A85" i="39" s="1"/>
  <c r="A86" i="39" s="1"/>
  <c r="A87" i="39" s="1"/>
  <c r="A88" i="39" s="1"/>
  <c r="X80" i="39"/>
  <c r="X79" i="39"/>
  <c r="X78" i="39"/>
  <c r="X77" i="39"/>
  <c r="X76" i="39"/>
  <c r="X75" i="39"/>
  <c r="X74" i="39"/>
  <c r="X73" i="39"/>
  <c r="X72" i="39"/>
  <c r="X71" i="39"/>
  <c r="X70" i="39"/>
  <c r="X69" i="39"/>
  <c r="X68" i="39"/>
  <c r="X67" i="39"/>
  <c r="X66" i="39"/>
  <c r="X65" i="39"/>
  <c r="X64" i="39"/>
  <c r="X63" i="39"/>
  <c r="X62" i="39"/>
  <c r="X61" i="39"/>
  <c r="X60" i="39"/>
  <c r="X59" i="39"/>
  <c r="X58" i="39"/>
  <c r="X57" i="39"/>
  <c r="X56" i="39"/>
  <c r="X55" i="39"/>
  <c r="X54" i="39"/>
  <c r="X53" i="39"/>
  <c r="N51" i="32" s="1"/>
  <c r="O51" i="32" s="1"/>
  <c r="X52" i="39"/>
  <c r="J50" i="32" s="1"/>
  <c r="K50" i="32" s="1"/>
  <c r="X51" i="39"/>
  <c r="X50" i="39"/>
  <c r="X49" i="39"/>
  <c r="X48" i="39"/>
  <c r="X47" i="39"/>
  <c r="X46" i="39"/>
  <c r="X45" i="39"/>
  <c r="X44" i="39"/>
  <c r="X43" i="39"/>
  <c r="X42" i="39"/>
  <c r="X41" i="39"/>
  <c r="X40" i="39"/>
  <c r="X39" i="39"/>
  <c r="X38" i="39"/>
  <c r="X37" i="39"/>
  <c r="X36" i="39"/>
  <c r="X35" i="39"/>
  <c r="X34" i="39"/>
  <c r="X33" i="39"/>
  <c r="X32" i="39"/>
  <c r="X31" i="39"/>
  <c r="X30" i="39"/>
  <c r="X29" i="39"/>
  <c r="X28" i="39"/>
  <c r="X27" i="39"/>
  <c r="X26" i="39"/>
  <c r="X25" i="39"/>
  <c r="X24" i="39"/>
  <c r="X23" i="39"/>
  <c r="X22" i="39"/>
  <c r="X21" i="39"/>
  <c r="A21" i="39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6" i="39" s="1"/>
  <c r="A58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X20" i="39"/>
  <c r="X19" i="39"/>
  <c r="X18" i="39"/>
  <c r="X17" i="39"/>
  <c r="X16" i="39"/>
  <c r="X15" i="39"/>
  <c r="X14" i="39"/>
  <c r="N15" i="32" s="1"/>
  <c r="O15" i="32" s="1"/>
  <c r="X13" i="39"/>
  <c r="J14" i="32" s="1"/>
  <c r="K14" i="32" s="1"/>
  <c r="A13" i="39"/>
  <c r="A14" i="39" s="1"/>
  <c r="A15" i="39" s="1"/>
  <c r="X12" i="39"/>
  <c r="H13" i="32" s="1"/>
  <c r="I13" i="32" s="1"/>
  <c r="G11" i="39"/>
  <c r="H11" i="39" s="1"/>
  <c r="I11" i="39" s="1"/>
  <c r="J11" i="39" s="1"/>
  <c r="K11" i="39" s="1"/>
  <c r="L11" i="39" s="1"/>
  <c r="M11" i="39" s="1"/>
  <c r="N11" i="39" s="1"/>
  <c r="O11" i="39" s="1"/>
  <c r="P11" i="39" s="1"/>
  <c r="Q11" i="39" s="1"/>
  <c r="R11" i="39" s="1"/>
  <c r="S11" i="39" s="1"/>
  <c r="T11" i="39" s="1"/>
  <c r="U11" i="39" s="1"/>
  <c r="E105" i="37"/>
  <c r="F105" i="37"/>
  <c r="G105" i="37"/>
  <c r="H105" i="37"/>
  <c r="I105" i="37"/>
  <c r="J105" i="37"/>
  <c r="K105" i="37"/>
  <c r="L105" i="37"/>
  <c r="M105" i="37"/>
  <c r="N105" i="37"/>
  <c r="O105" i="37"/>
  <c r="P105" i="37"/>
  <c r="Q105" i="37"/>
  <c r="R105" i="37"/>
  <c r="T105" i="37"/>
  <c r="E18" i="38" l="1"/>
  <c r="L52" i="32"/>
  <c r="M52" i="32" s="1"/>
  <c r="L53" i="32"/>
  <c r="M53" i="32" s="1"/>
  <c r="X89" i="39"/>
  <c r="AB52" i="32"/>
  <c r="H52" i="4" s="1"/>
  <c r="I52" i="4" s="1"/>
  <c r="X101" i="39"/>
  <c r="V19" i="32"/>
  <c r="L17" i="32"/>
  <c r="M17" i="32" s="1"/>
  <c r="P54" i="32"/>
  <c r="Q54" i="32" s="1"/>
  <c r="L16" i="32"/>
  <c r="M16" i="32" s="1"/>
  <c r="P18" i="32"/>
  <c r="Q18" i="32" s="1"/>
  <c r="X92" i="39"/>
  <c r="W19" i="32" l="1"/>
  <c r="W84" i="32" s="1"/>
  <c r="V84" i="32"/>
  <c r="T242" i="37"/>
  <c r="R242" i="37"/>
  <c r="Q242" i="37"/>
  <c r="P242" i="37"/>
  <c r="O242" i="37"/>
  <c r="N242" i="37"/>
  <c r="M242" i="37"/>
  <c r="L242" i="37"/>
  <c r="K242" i="37"/>
  <c r="J242" i="37"/>
  <c r="I242" i="37"/>
  <c r="H242" i="37"/>
  <c r="G242" i="37"/>
  <c r="F242" i="37"/>
  <c r="E242" i="37"/>
  <c r="V241" i="37"/>
  <c r="U241" i="37" s="1"/>
  <c r="F74" i="32" s="1"/>
  <c r="G74" i="32" s="1"/>
  <c r="V240" i="37"/>
  <c r="U240" i="37" s="1"/>
  <c r="F73" i="32" s="1"/>
  <c r="G73" i="32" s="1"/>
  <c r="V239" i="37"/>
  <c r="U239" i="37" s="1"/>
  <c r="F72" i="32" s="1"/>
  <c r="G72" i="32" s="1"/>
  <c r="V238" i="37"/>
  <c r="U238" i="37" s="1"/>
  <c r="F71" i="32" s="1"/>
  <c r="G71" i="32" s="1"/>
  <c r="AB71" i="32" s="1"/>
  <c r="H71" i="4" s="1"/>
  <c r="I71" i="4" s="1"/>
  <c r="V237" i="37"/>
  <c r="U237" i="37" s="1"/>
  <c r="F70" i="32" s="1"/>
  <c r="G70" i="32" s="1"/>
  <c r="V236" i="37"/>
  <c r="U236" i="37" s="1"/>
  <c r="F69" i="32" s="1"/>
  <c r="G69" i="32" s="1"/>
  <c r="V235" i="37"/>
  <c r="U235" i="37" s="1"/>
  <c r="F68" i="32" s="1"/>
  <c r="G68" i="32" s="1"/>
  <c r="V234" i="37"/>
  <c r="U234" i="37" s="1"/>
  <c r="F67" i="32" s="1"/>
  <c r="G67" i="32" s="1"/>
  <c r="V233" i="37"/>
  <c r="U233" i="37" s="1"/>
  <c r="F66" i="32" s="1"/>
  <c r="G66" i="32" s="1"/>
  <c r="V232" i="37"/>
  <c r="U232" i="37" s="1"/>
  <c r="F65" i="32" s="1"/>
  <c r="G65" i="32" s="1"/>
  <c r="V231" i="37"/>
  <c r="U231" i="37" s="1"/>
  <c r="F64" i="32" s="1"/>
  <c r="G64" i="32" s="1"/>
  <c r="V230" i="37"/>
  <c r="U230" i="37" s="1"/>
  <c r="F63" i="32" s="1"/>
  <c r="G63" i="32" s="1"/>
  <c r="V229" i="37"/>
  <c r="U229" i="37" s="1"/>
  <c r="F62" i="32" s="1"/>
  <c r="G62" i="32" s="1"/>
  <c r="V228" i="37"/>
  <c r="U228" i="37" s="1"/>
  <c r="F61" i="32" s="1"/>
  <c r="G61" i="32" s="1"/>
  <c r="V227" i="37"/>
  <c r="U227" i="37" s="1"/>
  <c r="F60" i="32" s="1"/>
  <c r="G60" i="32" s="1"/>
  <c r="V226" i="37"/>
  <c r="U226" i="37" s="1"/>
  <c r="F59" i="32" s="1"/>
  <c r="G59" i="32" s="1"/>
  <c r="V225" i="37"/>
  <c r="U225" i="37" s="1"/>
  <c r="F58" i="32" s="1"/>
  <c r="G58" i="32" s="1"/>
  <c r="V224" i="37"/>
  <c r="U224" i="37" s="1"/>
  <c r="F57" i="32" s="1"/>
  <c r="G57" i="32" s="1"/>
  <c r="V223" i="37"/>
  <c r="U223" i="37" s="1"/>
  <c r="F56" i="32" s="1"/>
  <c r="G56" i="32" s="1"/>
  <c r="A223" i="37"/>
  <c r="A224" i="37" s="1"/>
  <c r="A225" i="37" s="1"/>
  <c r="A226" i="37" s="1"/>
  <c r="A227" i="37" s="1"/>
  <c r="A228" i="37" s="1"/>
  <c r="A229" i="37" s="1"/>
  <c r="A230" i="37" s="1"/>
  <c r="A231" i="37" s="1"/>
  <c r="A232" i="37" s="1"/>
  <c r="A233" i="37" s="1"/>
  <c r="A234" i="37" s="1"/>
  <c r="A235" i="37" s="1"/>
  <c r="A236" i="37" s="1"/>
  <c r="A237" i="37" s="1"/>
  <c r="A238" i="37" s="1"/>
  <c r="A239" i="37" s="1"/>
  <c r="A240" i="37" s="1"/>
  <c r="A241" i="37" s="1"/>
  <c r="V222" i="37"/>
  <c r="T204" i="37"/>
  <c r="R204" i="37"/>
  <c r="Q204" i="37"/>
  <c r="P204" i="37"/>
  <c r="O204" i="37"/>
  <c r="N204" i="37"/>
  <c r="M204" i="37"/>
  <c r="L204" i="37"/>
  <c r="K204" i="37"/>
  <c r="J204" i="37"/>
  <c r="I204" i="37"/>
  <c r="H204" i="37"/>
  <c r="G204" i="37"/>
  <c r="F204" i="37"/>
  <c r="E204" i="37"/>
  <c r="U203" i="37"/>
  <c r="T201" i="37"/>
  <c r="R201" i="37"/>
  <c r="Q201" i="37"/>
  <c r="P201" i="37"/>
  <c r="O201" i="37"/>
  <c r="N201" i="37"/>
  <c r="M201" i="37"/>
  <c r="L201" i="37"/>
  <c r="K201" i="37"/>
  <c r="J201" i="37"/>
  <c r="I201" i="37"/>
  <c r="H201" i="37"/>
  <c r="G201" i="37"/>
  <c r="F201" i="37"/>
  <c r="E201" i="37"/>
  <c r="V200" i="37"/>
  <c r="U200" i="37" s="1"/>
  <c r="F40" i="32" s="1"/>
  <c r="G40" i="32" s="1"/>
  <c r="V199" i="37"/>
  <c r="U199" i="37" s="1"/>
  <c r="F39" i="32" s="1"/>
  <c r="G39" i="32" s="1"/>
  <c r="V198" i="37"/>
  <c r="U198" i="37" s="1"/>
  <c r="F38" i="32" s="1"/>
  <c r="G38" i="32" s="1"/>
  <c r="V197" i="37"/>
  <c r="U197" i="37" s="1"/>
  <c r="F37" i="32" s="1"/>
  <c r="G37" i="32" s="1"/>
  <c r="V196" i="37"/>
  <c r="U196" i="37" s="1"/>
  <c r="F36" i="32" s="1"/>
  <c r="G36" i="32" s="1"/>
  <c r="V195" i="37"/>
  <c r="U195" i="37"/>
  <c r="F35" i="32" s="1"/>
  <c r="G35" i="32" s="1"/>
  <c r="V194" i="37"/>
  <c r="U194" i="37" s="1"/>
  <c r="F34" i="32" s="1"/>
  <c r="G34" i="32" s="1"/>
  <c r="V193" i="37"/>
  <c r="U193" i="37" s="1"/>
  <c r="F33" i="32" s="1"/>
  <c r="G33" i="32" s="1"/>
  <c r="V192" i="37"/>
  <c r="U192" i="37" s="1"/>
  <c r="F32" i="32" s="1"/>
  <c r="G32" i="32" s="1"/>
  <c r="V191" i="37"/>
  <c r="U191" i="37" s="1"/>
  <c r="F31" i="32" s="1"/>
  <c r="G31" i="32" s="1"/>
  <c r="V190" i="37"/>
  <c r="U190" i="37" s="1"/>
  <c r="F30" i="32" s="1"/>
  <c r="G30" i="32" s="1"/>
  <c r="V189" i="37"/>
  <c r="U189" i="37" s="1"/>
  <c r="F29" i="32" s="1"/>
  <c r="G29" i="32" s="1"/>
  <c r="V188" i="37"/>
  <c r="U188" i="37"/>
  <c r="F28" i="32" s="1"/>
  <c r="G28" i="32" s="1"/>
  <c r="V187" i="37"/>
  <c r="U187" i="37" s="1"/>
  <c r="F27" i="32" s="1"/>
  <c r="G27" i="32" s="1"/>
  <c r="V186" i="37"/>
  <c r="U186" i="37"/>
  <c r="F26" i="32" s="1"/>
  <c r="G26" i="32" s="1"/>
  <c r="V185" i="37"/>
  <c r="U185" i="37" s="1"/>
  <c r="F25" i="32" s="1"/>
  <c r="G25" i="32" s="1"/>
  <c r="V184" i="37"/>
  <c r="U184" i="37" s="1"/>
  <c r="F24" i="32" s="1"/>
  <c r="G24" i="32" s="1"/>
  <c r="V183" i="37"/>
  <c r="U183" i="37"/>
  <c r="F23" i="32" s="1"/>
  <c r="G23" i="32" s="1"/>
  <c r="V182" i="37"/>
  <c r="U182" i="37" s="1"/>
  <c r="F22" i="32" s="1"/>
  <c r="G22" i="32" s="1"/>
  <c r="V181" i="37"/>
  <c r="U181" i="37" s="1"/>
  <c r="F21" i="32" s="1"/>
  <c r="G21" i="32" s="1"/>
  <c r="A181" i="37"/>
  <c r="A182" i="37" s="1"/>
  <c r="A183" i="37" s="1"/>
  <c r="A184" i="37" s="1"/>
  <c r="A185" i="37" s="1"/>
  <c r="A186" i="37" s="1"/>
  <c r="A187" i="37" s="1"/>
  <c r="A188" i="37" s="1"/>
  <c r="A189" i="37" s="1"/>
  <c r="A190" i="37" s="1"/>
  <c r="A191" i="37" s="1"/>
  <c r="A192" i="37" s="1"/>
  <c r="A193" i="37" s="1"/>
  <c r="A194" i="37" s="1"/>
  <c r="A195" i="37" s="1"/>
  <c r="A196" i="37" s="1"/>
  <c r="A197" i="37" s="1"/>
  <c r="A198" i="37" s="1"/>
  <c r="A199" i="37" s="1"/>
  <c r="A200" i="37" s="1"/>
  <c r="V180" i="37"/>
  <c r="U180" i="37" s="1"/>
  <c r="F20" i="32" s="1"/>
  <c r="G20" i="32" s="1"/>
  <c r="A180" i="37"/>
  <c r="V179" i="37"/>
  <c r="U179" i="37"/>
  <c r="T145" i="37"/>
  <c r="R145" i="37"/>
  <c r="Q145" i="37"/>
  <c r="P145" i="37"/>
  <c r="O145" i="37"/>
  <c r="N145" i="37"/>
  <c r="M145" i="37"/>
  <c r="L145" i="37"/>
  <c r="K145" i="37"/>
  <c r="J145" i="37"/>
  <c r="I145" i="37"/>
  <c r="H145" i="37"/>
  <c r="G145" i="37"/>
  <c r="F145" i="37"/>
  <c r="E145" i="37"/>
  <c r="T143" i="37"/>
  <c r="R143" i="37"/>
  <c r="Q143" i="37"/>
  <c r="P143" i="37"/>
  <c r="O143" i="37"/>
  <c r="N143" i="37"/>
  <c r="M143" i="37"/>
  <c r="L143" i="37"/>
  <c r="K143" i="37"/>
  <c r="J143" i="37"/>
  <c r="I143" i="37"/>
  <c r="H143" i="37"/>
  <c r="G143" i="37"/>
  <c r="F143" i="37"/>
  <c r="E143" i="37"/>
  <c r="V142" i="37"/>
  <c r="U142" i="37"/>
  <c r="V141" i="37"/>
  <c r="U141" i="37" s="1"/>
  <c r="V140" i="37"/>
  <c r="U140" i="37" s="1"/>
  <c r="V139" i="37"/>
  <c r="U139" i="37" s="1"/>
  <c r="V138" i="37"/>
  <c r="U138" i="37" s="1"/>
  <c r="V137" i="37"/>
  <c r="U137" i="37" s="1"/>
  <c r="V136" i="37"/>
  <c r="U136" i="37" s="1"/>
  <c r="V135" i="37"/>
  <c r="U135" i="37" s="1"/>
  <c r="V134" i="37"/>
  <c r="U134" i="37" s="1"/>
  <c r="V133" i="37"/>
  <c r="V132" i="37"/>
  <c r="U132" i="37" s="1"/>
  <c r="V131" i="37"/>
  <c r="U131" i="37"/>
  <c r="A131" i="37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V130" i="37"/>
  <c r="U130" i="37" s="1"/>
  <c r="U107" i="37"/>
  <c r="V104" i="37"/>
  <c r="U104" i="37" s="1"/>
  <c r="V103" i="37"/>
  <c r="U103" i="37" s="1"/>
  <c r="V102" i="37"/>
  <c r="U102" i="37" s="1"/>
  <c r="V101" i="37"/>
  <c r="U101" i="37" s="1"/>
  <c r="V100" i="37"/>
  <c r="U100" i="37" s="1"/>
  <c r="V99" i="37"/>
  <c r="U99" i="37" s="1"/>
  <c r="V98" i="37"/>
  <c r="U98" i="37" s="1"/>
  <c r="V97" i="37"/>
  <c r="U97" i="37" s="1"/>
  <c r="V96" i="37"/>
  <c r="U96" i="37" s="1"/>
  <c r="V95" i="37"/>
  <c r="U95" i="37" s="1"/>
  <c r="A95" i="37"/>
  <c r="A96" i="37" s="1"/>
  <c r="A97" i="37" s="1"/>
  <c r="A98" i="37" s="1"/>
  <c r="A99" i="37" s="1"/>
  <c r="A100" i="37" s="1"/>
  <c r="A101" i="37" s="1"/>
  <c r="A102" i="37" s="1"/>
  <c r="A103" i="37" s="1"/>
  <c r="A104" i="37" s="1"/>
  <c r="V94" i="37"/>
  <c r="U94" i="37" s="1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T75" i="37"/>
  <c r="T73" i="37"/>
  <c r="T78" i="37" s="1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V72" i="37"/>
  <c r="U72" i="37" s="1"/>
  <c r="D83" i="32" s="1"/>
  <c r="E83" i="32" s="1"/>
  <c r="AB83" i="32" s="1"/>
  <c r="H83" i="4" s="1"/>
  <c r="I83" i="4" s="1"/>
  <c r="V71" i="37"/>
  <c r="U71" i="37" s="1"/>
  <c r="D82" i="32" s="1"/>
  <c r="E82" i="32" s="1"/>
  <c r="AB82" i="32" s="1"/>
  <c r="H82" i="4" s="1"/>
  <c r="I82" i="4" s="1"/>
  <c r="V70" i="37"/>
  <c r="U70" i="37" s="1"/>
  <c r="D81" i="32" s="1"/>
  <c r="E81" i="32" s="1"/>
  <c r="AB81" i="32" s="1"/>
  <c r="H81" i="4" s="1"/>
  <c r="I81" i="4" s="1"/>
  <c r="V69" i="37"/>
  <c r="U69" i="37"/>
  <c r="D80" i="32" s="1"/>
  <c r="V68" i="37"/>
  <c r="U68" i="37" s="1"/>
  <c r="D79" i="32" s="1"/>
  <c r="V67" i="37"/>
  <c r="U67" i="37" s="1"/>
  <c r="D78" i="32" s="1"/>
  <c r="V66" i="37"/>
  <c r="U66" i="37" s="1"/>
  <c r="D77" i="32" s="1"/>
  <c r="V65" i="37"/>
  <c r="U65" i="37"/>
  <c r="D76" i="32" s="1"/>
  <c r="V64" i="37"/>
  <c r="E63" i="37"/>
  <c r="E93" i="37" s="1"/>
  <c r="A59" i="37"/>
  <c r="A174" i="37" s="1"/>
  <c r="A217" i="37" s="1"/>
  <c r="A53" i="37"/>
  <c r="P25" i="37"/>
  <c r="T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E21" i="37"/>
  <c r="E25" i="37" s="1"/>
  <c r="T20" i="37"/>
  <c r="S20" i="37"/>
  <c r="R20" i="37"/>
  <c r="Q20" i="37"/>
  <c r="P20" i="37"/>
  <c r="P22" i="37" s="1"/>
  <c r="O20" i="37"/>
  <c r="N20" i="37"/>
  <c r="M20" i="37"/>
  <c r="L20" i="37"/>
  <c r="K20" i="37"/>
  <c r="J20" i="37"/>
  <c r="I20" i="37"/>
  <c r="H20" i="37"/>
  <c r="G20" i="37"/>
  <c r="F20" i="37"/>
  <c r="E20" i="37"/>
  <c r="V19" i="37"/>
  <c r="U19" i="37" s="1"/>
  <c r="D49" i="32" s="1"/>
  <c r="V18" i="37"/>
  <c r="U18" i="37"/>
  <c r="D48" i="32" s="1"/>
  <c r="V17" i="37"/>
  <c r="U17" i="37" s="1"/>
  <c r="D47" i="32" s="1"/>
  <c r="V16" i="37"/>
  <c r="U16" i="37" s="1"/>
  <c r="D46" i="32" s="1"/>
  <c r="V15" i="37"/>
  <c r="U15" i="37" s="1"/>
  <c r="D45" i="32" s="1"/>
  <c r="V14" i="37"/>
  <c r="U14" i="37"/>
  <c r="D44" i="32" s="1"/>
  <c r="V13" i="37"/>
  <c r="U13" i="37" s="1"/>
  <c r="D43" i="32" s="1"/>
  <c r="V12" i="37"/>
  <c r="U12" i="37" s="1"/>
  <c r="D42" i="32" s="1"/>
  <c r="V11" i="37"/>
  <c r="F10" i="37"/>
  <c r="G10" i="37" s="1"/>
  <c r="A8" i="37"/>
  <c r="A61" i="37" s="1"/>
  <c r="A176" i="37" s="1"/>
  <c r="A219" i="37" s="1"/>
  <c r="F63" i="37" l="1"/>
  <c r="F74" i="37" s="1"/>
  <c r="E74" i="37"/>
  <c r="F21" i="37"/>
  <c r="V73" i="37"/>
  <c r="E108" i="37"/>
  <c r="E106" i="37"/>
  <c r="U201" i="37"/>
  <c r="F19" i="32"/>
  <c r="G19" i="32" s="1"/>
  <c r="H10" i="37"/>
  <c r="G21" i="37"/>
  <c r="F75" i="37"/>
  <c r="U133" i="37"/>
  <c r="U145" i="37" s="1"/>
  <c r="V143" i="37"/>
  <c r="U11" i="37"/>
  <c r="V20" i="37"/>
  <c r="E78" i="37"/>
  <c r="A91" i="37"/>
  <c r="A127" i="37" s="1"/>
  <c r="U105" i="37"/>
  <c r="F78" i="37"/>
  <c r="V105" i="37"/>
  <c r="E178" i="37"/>
  <c r="F22" i="37"/>
  <c r="F178" i="37"/>
  <c r="F202" i="37" s="1"/>
  <c r="F93" i="37"/>
  <c r="G63" i="37"/>
  <c r="E75" i="37"/>
  <c r="F25" i="37"/>
  <c r="F26" i="37" s="1"/>
  <c r="E129" i="37"/>
  <c r="U64" i="37"/>
  <c r="V242" i="37"/>
  <c r="U222" i="37"/>
  <c r="U143" i="37"/>
  <c r="V201" i="37"/>
  <c r="E22" i="37"/>
  <c r="A89" i="37"/>
  <c r="A125" i="37" s="1"/>
  <c r="U20" i="37" l="1"/>
  <c r="D41" i="32"/>
  <c r="U242" i="37"/>
  <c r="F55" i="32"/>
  <c r="G55" i="32" s="1"/>
  <c r="U73" i="37"/>
  <c r="D75" i="32"/>
  <c r="F108" i="37"/>
  <c r="F106" i="37"/>
  <c r="E110" i="37"/>
  <c r="E109" i="37"/>
  <c r="F206" i="37"/>
  <c r="F205" i="37"/>
  <c r="F207" i="37" s="1"/>
  <c r="G178" i="37"/>
  <c r="G202" i="37" s="1"/>
  <c r="G93" i="37"/>
  <c r="H63" i="37"/>
  <c r="G74" i="37"/>
  <c r="G22" i="37"/>
  <c r="G25" i="37"/>
  <c r="G26" i="37" s="1"/>
  <c r="E144" i="37"/>
  <c r="F129" i="37"/>
  <c r="E202" i="37"/>
  <c r="E221" i="37"/>
  <c r="F221" i="37" s="1"/>
  <c r="G221" i="37" s="1"/>
  <c r="H221" i="37" s="1"/>
  <c r="I221" i="37" s="1"/>
  <c r="J221" i="37" s="1"/>
  <c r="K221" i="37" s="1"/>
  <c r="L221" i="37" s="1"/>
  <c r="M221" i="37" s="1"/>
  <c r="N221" i="37" s="1"/>
  <c r="O221" i="37" s="1"/>
  <c r="P221" i="37" s="1"/>
  <c r="Q221" i="37" s="1"/>
  <c r="R221" i="37" s="1"/>
  <c r="S221" i="37" s="1"/>
  <c r="T221" i="37" s="1"/>
  <c r="I10" i="37"/>
  <c r="H21" i="37"/>
  <c r="G106" i="37" l="1"/>
  <c r="G108" i="37"/>
  <c r="F109" i="37"/>
  <c r="F110" i="37"/>
  <c r="H74" i="37"/>
  <c r="H178" i="37"/>
  <c r="H202" i="37" s="1"/>
  <c r="H93" i="37"/>
  <c r="I63" i="37"/>
  <c r="E205" i="37"/>
  <c r="E206" i="37"/>
  <c r="E146" i="37"/>
  <c r="E148" i="37"/>
  <c r="G205" i="37"/>
  <c r="G207" i="37" s="1"/>
  <c r="G206" i="37"/>
  <c r="I21" i="37"/>
  <c r="J10" i="37"/>
  <c r="F144" i="37"/>
  <c r="G129" i="37"/>
  <c r="H25" i="37"/>
  <c r="H26" i="37" s="1"/>
  <c r="H22" i="37"/>
  <c r="G75" i="37"/>
  <c r="G78" i="37"/>
  <c r="H108" i="37" l="1"/>
  <c r="H106" i="37"/>
  <c r="G109" i="37"/>
  <c r="G110" i="37"/>
  <c r="I178" i="37"/>
  <c r="I202" i="37" s="1"/>
  <c r="I93" i="37"/>
  <c r="I74" i="37"/>
  <c r="J63" i="37"/>
  <c r="H205" i="37"/>
  <c r="H206" i="37"/>
  <c r="J21" i="37"/>
  <c r="K10" i="37"/>
  <c r="I25" i="37"/>
  <c r="I26" i="37" s="1"/>
  <c r="I22" i="37"/>
  <c r="G144" i="37"/>
  <c r="H129" i="37"/>
  <c r="F146" i="37"/>
  <c r="F149" i="37" s="1"/>
  <c r="F148" i="37"/>
  <c r="H75" i="37"/>
  <c r="H78" i="37"/>
  <c r="I108" i="37" l="1"/>
  <c r="I106" i="37"/>
  <c r="H109" i="37"/>
  <c r="H110" i="37"/>
  <c r="I75" i="37"/>
  <c r="I78" i="37"/>
  <c r="J178" i="37"/>
  <c r="J202" i="37" s="1"/>
  <c r="J93" i="37"/>
  <c r="K63" i="37"/>
  <c r="J74" i="37"/>
  <c r="J22" i="37"/>
  <c r="J25" i="37"/>
  <c r="I129" i="37"/>
  <c r="H144" i="37"/>
  <c r="L10" i="37"/>
  <c r="K21" i="37"/>
  <c r="G146" i="37"/>
  <c r="G148" i="37"/>
  <c r="I205" i="37"/>
  <c r="I206" i="37"/>
  <c r="J106" i="37" l="1"/>
  <c r="J108" i="37"/>
  <c r="I110" i="37"/>
  <c r="I109" i="37"/>
  <c r="I111" i="37" s="1"/>
  <c r="J206" i="37"/>
  <c r="J205" i="37"/>
  <c r="J75" i="37"/>
  <c r="J78" i="37"/>
  <c r="K22" i="37"/>
  <c r="K25" i="37"/>
  <c r="K26" i="37" s="1"/>
  <c r="H148" i="37"/>
  <c r="H146" i="37"/>
  <c r="H149" i="37" s="1"/>
  <c r="M10" i="37"/>
  <c r="L21" i="37"/>
  <c r="J129" i="37"/>
  <c r="I144" i="37"/>
  <c r="K178" i="37"/>
  <c r="K202" i="37" s="1"/>
  <c r="K93" i="37"/>
  <c r="L63" i="37"/>
  <c r="K74" i="37"/>
  <c r="K106" i="37" l="1"/>
  <c r="K108" i="37"/>
  <c r="J110" i="37"/>
  <c r="J109" i="37"/>
  <c r="L178" i="37"/>
  <c r="L202" i="37" s="1"/>
  <c r="L74" i="37"/>
  <c r="L93" i="37"/>
  <c r="M63" i="37"/>
  <c r="J144" i="37"/>
  <c r="K129" i="37"/>
  <c r="K75" i="37"/>
  <c r="K78" i="37"/>
  <c r="I148" i="37"/>
  <c r="I146" i="37"/>
  <c r="L25" i="37"/>
  <c r="L22" i="37"/>
  <c r="K205" i="37"/>
  <c r="K206" i="37"/>
  <c r="M21" i="37"/>
  <c r="N10" i="37"/>
  <c r="L108" i="37" l="1"/>
  <c r="L106" i="37"/>
  <c r="K109" i="37"/>
  <c r="K110" i="37"/>
  <c r="K144" i="37"/>
  <c r="L129" i="37"/>
  <c r="L75" i="37"/>
  <c r="L78" i="37"/>
  <c r="O10" i="37"/>
  <c r="N21" i="37"/>
  <c r="J146" i="37"/>
  <c r="J148" i="37"/>
  <c r="L205" i="37"/>
  <c r="L207" i="37" s="1"/>
  <c r="L206" i="37"/>
  <c r="M25" i="37"/>
  <c r="M22" i="37"/>
  <c r="M93" i="37"/>
  <c r="M178" i="37"/>
  <c r="M202" i="37" s="1"/>
  <c r="N63" i="37"/>
  <c r="M74" i="37"/>
  <c r="M108" i="37" l="1"/>
  <c r="M106" i="37"/>
  <c r="L109" i="37"/>
  <c r="L110" i="37"/>
  <c r="N25" i="37"/>
  <c r="N26" i="37" s="1"/>
  <c r="N22" i="37"/>
  <c r="M129" i="37"/>
  <c r="L144" i="37"/>
  <c r="P10" i="37"/>
  <c r="Q10" i="37" s="1"/>
  <c r="O21" i="37"/>
  <c r="K146" i="37"/>
  <c r="K148" i="37"/>
  <c r="M75" i="37"/>
  <c r="M78" i="37"/>
  <c r="M205" i="37"/>
  <c r="M206" i="37"/>
  <c r="N178" i="37"/>
  <c r="N202" i="37" s="1"/>
  <c r="N93" i="37"/>
  <c r="O63" i="37"/>
  <c r="N74" i="37"/>
  <c r="N108" i="37" l="1"/>
  <c r="N106" i="37"/>
  <c r="M110" i="37"/>
  <c r="M109" i="37"/>
  <c r="O178" i="37"/>
  <c r="O202" i="37" s="1"/>
  <c r="O93" i="37"/>
  <c r="P63" i="37"/>
  <c r="O74" i="37"/>
  <c r="O25" i="37"/>
  <c r="O26" i="37" s="1"/>
  <c r="O22" i="37"/>
  <c r="L148" i="37"/>
  <c r="L146" i="37"/>
  <c r="Q21" i="37"/>
  <c r="R10" i="37"/>
  <c r="M144" i="37"/>
  <c r="N129" i="37"/>
  <c r="N206" i="37"/>
  <c r="N205" i="37"/>
  <c r="N207" i="37" s="1"/>
  <c r="N75" i="37"/>
  <c r="N78" i="37"/>
  <c r="O106" i="37" l="1"/>
  <c r="O108" i="37"/>
  <c r="N110" i="37"/>
  <c r="N109" i="37"/>
  <c r="M146" i="37"/>
  <c r="M148" i="37"/>
  <c r="R21" i="37"/>
  <c r="S10" i="37"/>
  <c r="O75" i="37"/>
  <c r="O78" i="37"/>
  <c r="Q25" i="37"/>
  <c r="Q26" i="37" s="1"/>
  <c r="Q22" i="37"/>
  <c r="P74" i="37"/>
  <c r="P178" i="37"/>
  <c r="P202" i="37" s="1"/>
  <c r="Q63" i="37"/>
  <c r="P93" i="37"/>
  <c r="N144" i="37"/>
  <c r="O129" i="37"/>
  <c r="O206" i="37"/>
  <c r="O205" i="37"/>
  <c r="O207" i="37" s="1"/>
  <c r="P108" i="37" l="1"/>
  <c r="P106" i="37"/>
  <c r="O109" i="37"/>
  <c r="O110" i="37"/>
  <c r="O144" i="37"/>
  <c r="P129" i="37"/>
  <c r="P205" i="37"/>
  <c r="P206" i="37"/>
  <c r="T10" i="37"/>
  <c r="T21" i="37" s="1"/>
  <c r="S21" i="37"/>
  <c r="Q178" i="37"/>
  <c r="Q202" i="37" s="1"/>
  <c r="Q93" i="37"/>
  <c r="Q74" i="37"/>
  <c r="R63" i="37"/>
  <c r="R25" i="37"/>
  <c r="R26" i="37" s="1"/>
  <c r="R22" i="37"/>
  <c r="N146" i="37"/>
  <c r="N148" i="37"/>
  <c r="P75" i="37"/>
  <c r="P78" i="37"/>
  <c r="Q108" i="37" l="1"/>
  <c r="Q106" i="37"/>
  <c r="P109" i="37"/>
  <c r="P110" i="37"/>
  <c r="R178" i="37"/>
  <c r="R202" i="37" s="1"/>
  <c r="R93" i="37"/>
  <c r="S63" i="37"/>
  <c r="S93" i="37" s="1"/>
  <c r="R74" i="37"/>
  <c r="S25" i="37"/>
  <c r="S22" i="37"/>
  <c r="Q75" i="37"/>
  <c r="Q78" i="37"/>
  <c r="T25" i="37"/>
  <c r="T26" i="37" s="1"/>
  <c r="T22" i="37"/>
  <c r="U21" i="37"/>
  <c r="U22" i="37" s="1"/>
  <c r="Q129" i="37"/>
  <c r="P144" i="37"/>
  <c r="Q205" i="37"/>
  <c r="Q206" i="37"/>
  <c r="O146" i="37"/>
  <c r="O149" i="37" s="1"/>
  <c r="O148" i="37"/>
  <c r="R106" i="37" l="1"/>
  <c r="R108" i="37"/>
  <c r="Q110" i="37"/>
  <c r="Q109" i="37"/>
  <c r="R129" i="37"/>
  <c r="Q144" i="37"/>
  <c r="R75" i="37"/>
  <c r="R78" i="37"/>
  <c r="S178" i="37"/>
  <c r="T63" i="37"/>
  <c r="S74" i="37"/>
  <c r="P148" i="37"/>
  <c r="P146" i="37"/>
  <c r="R206" i="37"/>
  <c r="R205" i="37"/>
  <c r="R110" i="37" l="1"/>
  <c r="R109" i="37"/>
  <c r="Q148" i="37"/>
  <c r="Q146" i="37"/>
  <c r="T178" i="37"/>
  <c r="T202" i="37" s="1"/>
  <c r="T93" i="37"/>
  <c r="R207" i="37"/>
  <c r="U207" i="37"/>
  <c r="S75" i="37"/>
  <c r="S78" i="37"/>
  <c r="V74" i="37"/>
  <c r="U74" i="37"/>
  <c r="R144" i="37"/>
  <c r="T129" i="37"/>
  <c r="T144" i="37" s="1"/>
  <c r="T106" i="37" l="1"/>
  <c r="T108" i="37"/>
  <c r="U77" i="37"/>
  <c r="U78" i="37"/>
  <c r="T146" i="37"/>
  <c r="T148" i="37"/>
  <c r="U144" i="37"/>
  <c r="R146" i="37"/>
  <c r="R149" i="37" s="1"/>
  <c r="R148" i="37"/>
  <c r="T205" i="37"/>
  <c r="T207" i="37" s="1"/>
  <c r="T206" i="37"/>
  <c r="U202" i="37"/>
  <c r="U205" i="37" s="1"/>
  <c r="T109" i="37" l="1"/>
  <c r="T110" i="37"/>
  <c r="U106" i="37"/>
  <c r="U109" i="37" s="1"/>
  <c r="D26" i="38" l="1"/>
  <c r="E25" i="38"/>
  <c r="F25" i="38" s="1"/>
  <c r="D25" i="38"/>
  <c r="E24" i="38"/>
  <c r="F24" i="38" s="1"/>
  <c r="E23" i="38"/>
  <c r="F23" i="38" s="1"/>
  <c r="E22" i="38"/>
  <c r="F22" i="38" s="1"/>
  <c r="E20" i="38"/>
  <c r="F20" i="38" s="1"/>
  <c r="E19" i="38"/>
  <c r="F19" i="38" s="1"/>
  <c r="E16" i="38"/>
  <c r="F16" i="38" s="1"/>
  <c r="F15" i="38"/>
  <c r="F14" i="38" s="1"/>
  <c r="E15" i="38"/>
  <c r="E13" i="38"/>
  <c r="D13" i="38"/>
  <c r="E12" i="38"/>
  <c r="F12" i="38" s="1"/>
  <c r="D15" i="2" s="1"/>
  <c r="D12" i="38"/>
  <c r="F13" i="38" l="1"/>
  <c r="AA83" i="39"/>
  <c r="W83" i="39" s="1"/>
  <c r="Z78" i="32" s="1"/>
  <c r="AA78" i="32" s="1"/>
  <c r="AA82" i="39"/>
  <c r="W82" i="39" s="1"/>
  <c r="Z77" i="32" s="1"/>
  <c r="AA77" i="32" s="1"/>
  <c r="AA81" i="39"/>
  <c r="W81" i="39" s="1"/>
  <c r="Z76" i="32" s="1"/>
  <c r="AA76" i="32" s="1"/>
  <c r="AA80" i="39"/>
  <c r="W80" i="39" s="1"/>
  <c r="Z75" i="32" s="1"/>
  <c r="AA75" i="32" s="1"/>
  <c r="AA79" i="39"/>
  <c r="W79" i="39" s="1"/>
  <c r="Z74" i="32" s="1"/>
  <c r="AA74" i="32" s="1"/>
  <c r="AB74" i="32" s="1"/>
  <c r="H74" i="4" s="1"/>
  <c r="I74" i="4" s="1"/>
  <c r="AA78" i="39"/>
  <c r="W78" i="39" s="1"/>
  <c r="Z73" i="32" s="1"/>
  <c r="AA73" i="32" s="1"/>
  <c r="AB73" i="32" s="1"/>
  <c r="H73" i="4" s="1"/>
  <c r="I73" i="4" s="1"/>
  <c r="AA77" i="39"/>
  <c r="W77" i="39" s="1"/>
  <c r="Z72" i="32" s="1"/>
  <c r="AA72" i="32" s="1"/>
  <c r="AB72" i="32" s="1"/>
  <c r="H72" i="4" s="1"/>
  <c r="I72" i="4" s="1"/>
  <c r="W75" i="39"/>
  <c r="Z70" i="32" s="1"/>
  <c r="AA70" i="32" s="1"/>
  <c r="AB70" i="32" s="1"/>
  <c r="H70" i="4" s="1"/>
  <c r="I70" i="4" s="1"/>
  <c r="AA74" i="39"/>
  <c r="W74" i="39" s="1"/>
  <c r="Z69" i="32" s="1"/>
  <c r="AA69" i="32" s="1"/>
  <c r="AB69" i="32" s="1"/>
  <c r="H69" i="4" s="1"/>
  <c r="I69" i="4" s="1"/>
  <c r="AA73" i="39"/>
  <c r="W73" i="39" s="1"/>
  <c r="Z68" i="32" s="1"/>
  <c r="AA68" i="32" s="1"/>
  <c r="AB68" i="32" s="1"/>
  <c r="H68" i="4" s="1"/>
  <c r="I68" i="4" s="1"/>
  <c r="AA72" i="39"/>
  <c r="W72" i="39" s="1"/>
  <c r="Z67" i="32" s="1"/>
  <c r="AA67" i="32" s="1"/>
  <c r="AB67" i="32" s="1"/>
  <c r="H67" i="4" s="1"/>
  <c r="I67" i="4" s="1"/>
  <c r="AA71" i="39"/>
  <c r="W71" i="39" s="1"/>
  <c r="Z66" i="32" s="1"/>
  <c r="AA66" i="32" s="1"/>
  <c r="AB66" i="32" s="1"/>
  <c r="H66" i="4" s="1"/>
  <c r="I66" i="4" s="1"/>
  <c r="AA70" i="39"/>
  <c r="W70" i="39" s="1"/>
  <c r="Z65" i="32" s="1"/>
  <c r="AA65" i="32" s="1"/>
  <c r="AB65" i="32" s="1"/>
  <c r="H65" i="4" s="1"/>
  <c r="I65" i="4" s="1"/>
  <c r="AA69" i="39"/>
  <c r="W69" i="39" s="1"/>
  <c r="Z64" i="32" s="1"/>
  <c r="AA64" i="32" s="1"/>
  <c r="AB64" i="32" s="1"/>
  <c r="H64" i="4" s="1"/>
  <c r="I64" i="4" s="1"/>
  <c r="AA68" i="39"/>
  <c r="W68" i="39" s="1"/>
  <c r="Z63" i="32" s="1"/>
  <c r="AA63" i="32" s="1"/>
  <c r="AB63" i="32" s="1"/>
  <c r="H63" i="4" s="1"/>
  <c r="I63" i="4" s="1"/>
  <c r="AA67" i="39"/>
  <c r="W67" i="39" s="1"/>
  <c r="Z62" i="32" s="1"/>
  <c r="AA62" i="32" s="1"/>
  <c r="AA66" i="39"/>
  <c r="W66" i="39" s="1"/>
  <c r="Z61" i="32" s="1"/>
  <c r="AA61" i="32" s="1"/>
  <c r="AB61" i="32" s="1"/>
  <c r="H61" i="4" s="1"/>
  <c r="I61" i="4" s="1"/>
  <c r="AA65" i="39"/>
  <c r="W65" i="39" s="1"/>
  <c r="Z60" i="32" s="1"/>
  <c r="AA60" i="32" s="1"/>
  <c r="AB60" i="32" s="1"/>
  <c r="H60" i="4" s="1"/>
  <c r="I60" i="4" s="1"/>
  <c r="AA64" i="39"/>
  <c r="W64" i="39" s="1"/>
  <c r="Z59" i="32" s="1"/>
  <c r="AA59" i="32" s="1"/>
  <c r="AB59" i="32" s="1"/>
  <c r="H59" i="4" s="1"/>
  <c r="I59" i="4" s="1"/>
  <c r="AA63" i="39"/>
  <c r="W63" i="39" s="1"/>
  <c r="Z58" i="32" s="1"/>
  <c r="AA58" i="32" s="1"/>
  <c r="AB58" i="32" s="1"/>
  <c r="H58" i="4" s="1"/>
  <c r="I58" i="4" s="1"/>
  <c r="AA62" i="39"/>
  <c r="W62" i="39" s="1"/>
  <c r="Z57" i="32" s="1"/>
  <c r="AA57" i="32" s="1"/>
  <c r="AB57" i="32" s="1"/>
  <c r="H57" i="4" s="1"/>
  <c r="I57" i="4" s="1"/>
  <c r="AA61" i="39"/>
  <c r="W61" i="39" s="1"/>
  <c r="Z56" i="32" s="1"/>
  <c r="AA56" i="32" s="1"/>
  <c r="AB56" i="32" s="1"/>
  <c r="H56" i="4" s="1"/>
  <c r="I56" i="4" s="1"/>
  <c r="AA60" i="39"/>
  <c r="W60" i="39" s="1"/>
  <c r="Z55" i="32" s="1"/>
  <c r="AA55" i="32" s="1"/>
  <c r="AA59" i="39"/>
  <c r="AA58" i="39"/>
  <c r="W58" i="39" s="1"/>
  <c r="Z54" i="32" s="1"/>
  <c r="AA54" i="32" s="1"/>
  <c r="AB54" i="32" s="1"/>
  <c r="H54" i="4" s="1"/>
  <c r="I54" i="4" s="1"/>
  <c r="AA57" i="39"/>
  <c r="AA56" i="39"/>
  <c r="W56" i="39" s="1"/>
  <c r="Z53" i="32" s="1"/>
  <c r="AA53" i="32" s="1"/>
  <c r="AA55" i="39"/>
  <c r="AA53" i="39"/>
  <c r="W53" i="39" s="1"/>
  <c r="Z51" i="32" s="1"/>
  <c r="AA51" i="32" s="1"/>
  <c r="AB51" i="32" s="1"/>
  <c r="H51" i="4" s="1"/>
  <c r="I51" i="4" s="1"/>
  <c r="AA52" i="39"/>
  <c r="W52" i="39" s="1"/>
  <c r="Z50" i="32" s="1"/>
  <c r="AA50" i="32" s="1"/>
  <c r="AA51" i="39"/>
  <c r="W51" i="39" s="1"/>
  <c r="Z49" i="32" s="1"/>
  <c r="AA49" i="32" s="1"/>
  <c r="AA50" i="39"/>
  <c r="W50" i="39" s="1"/>
  <c r="Z48" i="32" s="1"/>
  <c r="AA48" i="32" s="1"/>
  <c r="W49" i="39"/>
  <c r="Z47" i="32" s="1"/>
  <c r="AA47" i="32" s="1"/>
  <c r="AA47" i="39"/>
  <c r="AA46" i="39"/>
  <c r="W46" i="39" s="1"/>
  <c r="Z44" i="32" s="1"/>
  <c r="AA44" i="32" s="1"/>
  <c r="AA45" i="39"/>
  <c r="W45" i="39" s="1"/>
  <c r="Z43" i="32" s="1"/>
  <c r="AA43" i="32" s="1"/>
  <c r="AA44" i="39"/>
  <c r="W44" i="39" s="1"/>
  <c r="Z42" i="32" s="1"/>
  <c r="AA42" i="32" s="1"/>
  <c r="AA43" i="39"/>
  <c r="W43" i="39" s="1"/>
  <c r="Z41" i="32" s="1"/>
  <c r="AA41" i="32" s="1"/>
  <c r="AA42" i="39"/>
  <c r="Z39" i="32"/>
  <c r="AA39" i="32" s="1"/>
  <c r="AB39" i="32" s="1"/>
  <c r="H39" i="4" s="1"/>
  <c r="I39" i="4" s="1"/>
  <c r="W40" i="39"/>
  <c r="Z38" i="32" s="1"/>
  <c r="AA38" i="32" s="1"/>
  <c r="AB38" i="32" s="1"/>
  <c r="H38" i="4" s="1"/>
  <c r="I38" i="4" s="1"/>
  <c r="W39" i="39"/>
  <c r="Z37" i="32" s="1"/>
  <c r="AA37" i="32" s="1"/>
  <c r="AB37" i="32" s="1"/>
  <c r="H37" i="4" s="1"/>
  <c r="I37" i="4" s="1"/>
  <c r="Z36" i="32"/>
  <c r="AA36" i="32" s="1"/>
  <c r="AB36" i="32" s="1"/>
  <c r="H36" i="4" s="1"/>
  <c r="I36" i="4" s="1"/>
  <c r="Z35" i="32"/>
  <c r="AA35" i="32" s="1"/>
  <c r="AB35" i="32" s="1"/>
  <c r="H35" i="4" s="1"/>
  <c r="I35" i="4" s="1"/>
  <c r="Z34" i="32"/>
  <c r="AA34" i="32" s="1"/>
  <c r="AB34" i="32" s="1"/>
  <c r="H34" i="4" s="1"/>
  <c r="I34" i="4" s="1"/>
  <c r="Z33" i="32"/>
  <c r="AA33" i="32" s="1"/>
  <c r="AB33" i="32" s="1"/>
  <c r="H33" i="4" s="1"/>
  <c r="I33" i="4" s="1"/>
  <c r="W34" i="39"/>
  <c r="Z32" i="32" s="1"/>
  <c r="AA32" i="32" s="1"/>
  <c r="AB32" i="32" s="1"/>
  <c r="H32" i="4" s="1"/>
  <c r="I32" i="4" s="1"/>
  <c r="Z31" i="32"/>
  <c r="AA31" i="32" s="1"/>
  <c r="AB31" i="32" s="1"/>
  <c r="H31" i="4" s="1"/>
  <c r="I31" i="4" s="1"/>
  <c r="AA30" i="32"/>
  <c r="AB30" i="32" s="1"/>
  <c r="H30" i="4" s="1"/>
  <c r="I30" i="4" s="1"/>
  <c r="W31" i="39"/>
  <c r="Z29" i="32" s="1"/>
  <c r="AA29" i="32" s="1"/>
  <c r="AB29" i="32" s="1"/>
  <c r="H29" i="4" s="1"/>
  <c r="I29" i="4" s="1"/>
  <c r="W30" i="39"/>
  <c r="Z28" i="32" s="1"/>
  <c r="AA28" i="32" s="1"/>
  <c r="AB28" i="32" s="1"/>
  <c r="H28" i="4" s="1"/>
  <c r="I28" i="4" s="1"/>
  <c r="W29" i="39"/>
  <c r="W28" i="39"/>
  <c r="Z26" i="32" s="1"/>
  <c r="AA26" i="32" s="1"/>
  <c r="AB26" i="32" s="1"/>
  <c r="H26" i="4" s="1"/>
  <c r="I26" i="4" s="1"/>
  <c r="Z25" i="32"/>
  <c r="AA25" i="32" s="1"/>
  <c r="AB25" i="32" s="1"/>
  <c r="H25" i="4" s="1"/>
  <c r="I25" i="4" s="1"/>
  <c r="Z24" i="32"/>
  <c r="AA24" i="32" s="1"/>
  <c r="AB24" i="32" s="1"/>
  <c r="H24" i="4" s="1"/>
  <c r="I24" i="4" s="1"/>
  <c r="AA23" i="32"/>
  <c r="AB23" i="32" s="1"/>
  <c r="H23" i="4" s="1"/>
  <c r="I23" i="4" s="1"/>
  <c r="W24" i="39"/>
  <c r="Z22" i="32" s="1"/>
  <c r="AA22" i="32" s="1"/>
  <c r="AB22" i="32" s="1"/>
  <c r="H22" i="4" s="1"/>
  <c r="I22" i="4" s="1"/>
  <c r="W23" i="39"/>
  <c r="Z21" i="32" s="1"/>
  <c r="AA21" i="32" s="1"/>
  <c r="AB21" i="32" s="1"/>
  <c r="H21" i="4" s="1"/>
  <c r="I21" i="4" s="1"/>
  <c r="W22" i="39"/>
  <c r="Z20" i="32" s="1"/>
  <c r="AA20" i="32" s="1"/>
  <c r="AB20" i="32" s="1"/>
  <c r="H20" i="4" s="1"/>
  <c r="I20" i="4" s="1"/>
  <c r="W21" i="39"/>
  <c r="Z19" i="32" s="1"/>
  <c r="AA19" i="32" s="1"/>
  <c r="AB20" i="39"/>
  <c r="AA19" i="39"/>
  <c r="W19" i="39" s="1"/>
  <c r="AB18" i="39"/>
  <c r="AE18" i="39" s="1"/>
  <c r="AA17" i="39"/>
  <c r="W17" i="39" s="1"/>
  <c r="AB16" i="39"/>
  <c r="AE16" i="39" s="1"/>
  <c r="AA15" i="39"/>
  <c r="W15" i="39" s="1"/>
  <c r="AD15" i="39"/>
  <c r="AD14" i="39"/>
  <c r="AD13" i="39"/>
  <c r="AD12" i="39"/>
  <c r="Z9" i="39"/>
  <c r="J30" i="38"/>
  <c r="I29" i="38"/>
  <c r="L22" i="38"/>
  <c r="D21" i="2"/>
  <c r="E21" i="2" s="1"/>
  <c r="A13" i="38"/>
  <c r="A14" i="38" s="1"/>
  <c r="A17" i="38" s="1"/>
  <c r="A18" i="38" s="1"/>
  <c r="A19" i="38" s="1"/>
  <c r="A20" i="38" s="1"/>
  <c r="A21" i="38" s="1"/>
  <c r="U257" i="37"/>
  <c r="S257" i="37"/>
  <c r="R257" i="37"/>
  <c r="Q257" i="37"/>
  <c r="P257" i="37"/>
  <c r="O257" i="37"/>
  <c r="N257" i="37"/>
  <c r="M257" i="37"/>
  <c r="L257" i="37"/>
  <c r="K257" i="37"/>
  <c r="J257" i="37"/>
  <c r="I257" i="37"/>
  <c r="H257" i="37"/>
  <c r="G257" i="37"/>
  <c r="F257" i="37"/>
  <c r="E257" i="37"/>
  <c r="S256" i="37"/>
  <c r="S260" i="37" s="1"/>
  <c r="R256" i="37"/>
  <c r="R258" i="37" s="1"/>
  <c r="R261" i="37" s="1"/>
  <c r="Q256" i="37"/>
  <c r="Q258" i="37" s="1"/>
  <c r="P256" i="37"/>
  <c r="P258" i="37" s="1"/>
  <c r="O256" i="37"/>
  <c r="O260" i="37" s="1"/>
  <c r="N256" i="37"/>
  <c r="N258" i="37" s="1"/>
  <c r="M256" i="37"/>
  <c r="M258" i="37" s="1"/>
  <c r="L256" i="37"/>
  <c r="L258" i="37" s="1"/>
  <c r="K256" i="37"/>
  <c r="K260" i="37" s="1"/>
  <c r="J256" i="37"/>
  <c r="J258" i="37" s="1"/>
  <c r="I256" i="37"/>
  <c r="I258" i="37" s="1"/>
  <c r="H256" i="37"/>
  <c r="H258" i="37" s="1"/>
  <c r="H261" i="37" s="1"/>
  <c r="G256" i="37"/>
  <c r="G260" i="37" s="1"/>
  <c r="F256" i="37"/>
  <c r="F258" i="37" s="1"/>
  <c r="F261" i="37" s="1"/>
  <c r="E256" i="37"/>
  <c r="S244" i="37"/>
  <c r="R244" i="37"/>
  <c r="Q244" i="37"/>
  <c r="P244" i="37"/>
  <c r="O244" i="37"/>
  <c r="N244" i="37"/>
  <c r="M244" i="37"/>
  <c r="L244" i="37"/>
  <c r="K244" i="37"/>
  <c r="J244" i="37"/>
  <c r="I244" i="37"/>
  <c r="H244" i="37"/>
  <c r="G244" i="37"/>
  <c r="F244" i="37"/>
  <c r="E244" i="37"/>
  <c r="Z222" i="37"/>
  <c r="X203" i="37"/>
  <c r="X205" i="37" s="1"/>
  <c r="X201" i="37"/>
  <c r="Y196" i="37"/>
  <c r="Y195" i="37"/>
  <c r="Y192" i="37"/>
  <c r="Y190" i="37"/>
  <c r="Y189" i="37"/>
  <c r="Y188" i="37"/>
  <c r="Y187" i="37"/>
  <c r="Y186" i="37"/>
  <c r="Y185" i="37"/>
  <c r="Y184" i="37"/>
  <c r="Y183" i="37"/>
  <c r="Y182" i="37"/>
  <c r="Y181" i="37"/>
  <c r="Y180" i="37"/>
  <c r="Y178" i="37"/>
  <c r="E78" i="32"/>
  <c r="AB78" i="32" s="1"/>
  <c r="H78" i="4" s="1"/>
  <c r="I78" i="4" s="1"/>
  <c r="E76" i="32"/>
  <c r="E75" i="32"/>
  <c r="E243" i="37"/>
  <c r="AB75" i="32" l="1"/>
  <c r="H75" i="4" s="1"/>
  <c r="I75" i="4" s="1"/>
  <c r="AB50" i="32"/>
  <c r="H50" i="4" s="1"/>
  <c r="I50" i="4" s="1"/>
  <c r="Z27" i="32"/>
  <c r="AA27" i="32" s="1"/>
  <c r="AB53" i="32"/>
  <c r="H53" i="4" s="1"/>
  <c r="I53" i="4" s="1"/>
  <c r="AB76" i="32"/>
  <c r="H76" i="4" s="1"/>
  <c r="I76" i="4" s="1"/>
  <c r="Z40" i="32"/>
  <c r="AA40" i="32" s="1"/>
  <c r="AB40" i="32" s="1"/>
  <c r="H40" i="4" s="1"/>
  <c r="I40" i="4" s="1"/>
  <c r="W42" i="39"/>
  <c r="W47" i="39"/>
  <c r="H260" i="37"/>
  <c r="L260" i="37"/>
  <c r="P260" i="37"/>
  <c r="L15" i="38"/>
  <c r="K15" i="38"/>
  <c r="I15" i="38" s="1"/>
  <c r="Z27" i="37"/>
  <c r="L16" i="38"/>
  <c r="D17" i="2"/>
  <c r="E17" i="2" s="1"/>
  <c r="G258" i="37"/>
  <c r="D16" i="2"/>
  <c r="E16" i="2" s="1"/>
  <c r="L19" i="38"/>
  <c r="D20" i="2"/>
  <c r="E20" i="2" s="1"/>
  <c r="AC20" i="39"/>
  <c r="AD17" i="39"/>
  <c r="AB17" i="39" s="1"/>
  <c r="Z17" i="32" s="1"/>
  <c r="AA17" i="32" s="1"/>
  <c r="AB17" i="32" s="1"/>
  <c r="H17" i="4" s="1"/>
  <c r="I17" i="4" s="1"/>
  <c r="AC19" i="39"/>
  <c r="AE14" i="39"/>
  <c r="AB14" i="39"/>
  <c r="Z15" i="32" s="1"/>
  <c r="AA15" i="32" s="1"/>
  <c r="AE15" i="39"/>
  <c r="AB15" i="39"/>
  <c r="Z16" i="32" s="1"/>
  <c r="AA16" i="32" s="1"/>
  <c r="AB16" i="32" s="1"/>
  <c r="H16" i="4" s="1"/>
  <c r="AE13" i="39"/>
  <c r="AB13" i="39"/>
  <c r="AA14" i="32" s="1"/>
  <c r="AB14" i="32" s="1"/>
  <c r="H14" i="4" s="1"/>
  <c r="AB12" i="39"/>
  <c r="AE12" i="39"/>
  <c r="AB19" i="39"/>
  <c r="Z18" i="32" s="1"/>
  <c r="AA18" i="32" s="1"/>
  <c r="K23" i="38"/>
  <c r="I23" i="38" s="1"/>
  <c r="L23" i="38"/>
  <c r="L20" i="38"/>
  <c r="K20" i="38"/>
  <c r="I20" i="38" s="1"/>
  <c r="K16" i="38"/>
  <c r="I16" i="38" s="1"/>
  <c r="K19" i="38"/>
  <c r="K22" i="38"/>
  <c r="I22" i="38" s="1"/>
  <c r="E247" i="37"/>
  <c r="Y11" i="37"/>
  <c r="Z136" i="37"/>
  <c r="AA136" i="37" s="1"/>
  <c r="E245" i="37"/>
  <c r="Z11" i="37"/>
  <c r="AA11" i="37" s="1"/>
  <c r="Z64" i="37"/>
  <c r="AA64" i="37" s="1"/>
  <c r="Z100" i="37"/>
  <c r="AA100" i="37" s="1"/>
  <c r="U244" i="37"/>
  <c r="K258" i="37"/>
  <c r="O258" i="37"/>
  <c r="O261" i="37" s="1"/>
  <c r="S258" i="37"/>
  <c r="AA222" i="37"/>
  <c r="U256" i="37"/>
  <c r="E260" i="37"/>
  <c r="I260" i="37"/>
  <c r="M260" i="37"/>
  <c r="Q260" i="37"/>
  <c r="F260" i="37"/>
  <c r="J260" i="37"/>
  <c r="N260" i="37"/>
  <c r="R260" i="37"/>
  <c r="I14" i="4" l="1"/>
  <c r="AD16" i="4"/>
  <c r="I16" i="4"/>
  <c r="AD18" i="4"/>
  <c r="AB27" i="32"/>
  <c r="H27" i="4" s="1"/>
  <c r="I27" i="4" s="1"/>
  <c r="AE17" i="39"/>
  <c r="AB15" i="32"/>
  <c r="H15" i="4" s="1"/>
  <c r="AB18" i="32"/>
  <c r="H18" i="4" s="1"/>
  <c r="Z45" i="32"/>
  <c r="AA45" i="32" s="1"/>
  <c r="W115" i="39"/>
  <c r="Z13" i="32"/>
  <c r="AA13" i="32" s="1"/>
  <c r="M19" i="38"/>
  <c r="I19" i="38"/>
  <c r="F243" i="37"/>
  <c r="Z20" i="37"/>
  <c r="Z179" i="37"/>
  <c r="AA179" i="37" s="1"/>
  <c r="Y64" i="37"/>
  <c r="I18" i="4" l="1"/>
  <c r="AD17" i="4"/>
  <c r="I15" i="4"/>
  <c r="AD19" i="4"/>
  <c r="AB13" i="32"/>
  <c r="H13" i="4" s="1"/>
  <c r="G243" i="37"/>
  <c r="F245" i="37"/>
  <c r="F248" i="37" s="1"/>
  <c r="F247" i="37"/>
  <c r="A14" i="32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U19" i="32"/>
  <c r="AB19" i="32" s="1"/>
  <c r="H19" i="4" s="1"/>
  <c r="E41" i="32"/>
  <c r="AB41" i="32" s="1"/>
  <c r="H41" i="4" s="1"/>
  <c r="I41" i="4" s="1"/>
  <c r="E42" i="32"/>
  <c r="E43" i="32"/>
  <c r="AB43" i="32" s="1"/>
  <c r="H43" i="4" s="1"/>
  <c r="I43" i="4" s="1"/>
  <c r="E44" i="32"/>
  <c r="AB44" i="32" s="1"/>
  <c r="H44" i="4" s="1"/>
  <c r="I44" i="4" s="1"/>
  <c r="E45" i="32"/>
  <c r="AB45" i="32" s="1"/>
  <c r="H45" i="4" s="1"/>
  <c r="I45" i="4" s="1"/>
  <c r="E46" i="32"/>
  <c r="AB46" i="32" s="1"/>
  <c r="H46" i="4" s="1"/>
  <c r="I46" i="4" s="1"/>
  <c r="E47" i="32"/>
  <c r="AB47" i="32" s="1"/>
  <c r="H47" i="4" s="1"/>
  <c r="I47" i="4" s="1"/>
  <c r="E48" i="32"/>
  <c r="AB48" i="32" s="1"/>
  <c r="H48" i="4" s="1"/>
  <c r="I48" i="4" s="1"/>
  <c r="E49" i="32"/>
  <c r="AB49" i="32" s="1"/>
  <c r="H49" i="4" s="1"/>
  <c r="I49" i="4" s="1"/>
  <c r="J84" i="32"/>
  <c r="U55" i="32"/>
  <c r="AB55" i="32" s="1"/>
  <c r="H55" i="4" s="1"/>
  <c r="I55" i="4" s="1"/>
  <c r="U62" i="32"/>
  <c r="AB62" i="32" s="1"/>
  <c r="H62" i="4" s="1"/>
  <c r="I62" i="4" s="1"/>
  <c r="E77" i="32"/>
  <c r="AB77" i="32" s="1"/>
  <c r="H77" i="4" s="1"/>
  <c r="I77" i="4" s="1"/>
  <c r="E79" i="32"/>
  <c r="AB79" i="32" s="1"/>
  <c r="H79" i="4" s="1"/>
  <c r="I79" i="4" s="1"/>
  <c r="E80" i="32"/>
  <c r="AB80" i="32" s="1"/>
  <c r="H80" i="4" s="1"/>
  <c r="I80" i="4" s="1"/>
  <c r="H84" i="32"/>
  <c r="X84" i="32"/>
  <c r="Y84" i="32"/>
  <c r="Z84" i="32"/>
  <c r="AA84" i="32"/>
  <c r="I19" i="4" l="1"/>
  <c r="I13" i="4"/>
  <c r="AD20" i="4"/>
  <c r="AC21" i="4"/>
  <c r="AB42" i="32"/>
  <c r="H42" i="4" s="1"/>
  <c r="I42" i="4" s="1"/>
  <c r="H243" i="37"/>
  <c r="G245" i="37"/>
  <c r="G247" i="37"/>
  <c r="G67" i="4"/>
  <c r="G79" i="4"/>
  <c r="G71" i="4"/>
  <c r="G75" i="4"/>
  <c r="I84" i="32"/>
  <c r="G53" i="4"/>
  <c r="G35" i="4"/>
  <c r="G58" i="4"/>
  <c r="G32" i="4"/>
  <c r="G28" i="4"/>
  <c r="O84" i="32"/>
  <c r="G45" i="4"/>
  <c r="G22" i="4"/>
  <c r="G76" i="4"/>
  <c r="G65" i="4"/>
  <c r="G43" i="4"/>
  <c r="G37" i="4"/>
  <c r="Q84" i="32"/>
  <c r="S84" i="32"/>
  <c r="G78" i="4"/>
  <c r="G16" i="4"/>
  <c r="G60" i="4"/>
  <c r="G30" i="4"/>
  <c r="G17" i="4"/>
  <c r="G80" i="4"/>
  <c r="G72" i="4"/>
  <c r="G68" i="4"/>
  <c r="G64" i="4"/>
  <c r="G56" i="4"/>
  <c r="G51" i="4"/>
  <c r="G47" i="4"/>
  <c r="G39" i="4"/>
  <c r="G31" i="4"/>
  <c r="G27" i="4"/>
  <c r="G23" i="4"/>
  <c r="G59" i="4"/>
  <c r="G54" i="4"/>
  <c r="G46" i="4"/>
  <c r="G38" i="4"/>
  <c r="G34" i="4"/>
  <c r="G26" i="4"/>
  <c r="G83" i="4"/>
  <c r="P84" i="32"/>
  <c r="G63" i="4"/>
  <c r="G82" i="4"/>
  <c r="G74" i="4"/>
  <c r="G70" i="4"/>
  <c r="G66" i="4"/>
  <c r="G49" i="4"/>
  <c r="G41" i="4"/>
  <c r="G29" i="4"/>
  <c r="G25" i="4"/>
  <c r="G21" i="4"/>
  <c r="R84" i="32"/>
  <c r="G81" i="4"/>
  <c r="G77" i="4"/>
  <c r="G69" i="4"/>
  <c r="G61" i="4"/>
  <c r="G57" i="4"/>
  <c r="G52" i="4"/>
  <c r="G48" i="4"/>
  <c r="G44" i="4"/>
  <c r="G40" i="4"/>
  <c r="G36" i="4"/>
  <c r="G24" i="4"/>
  <c r="G20" i="4"/>
  <c r="E84" i="32"/>
  <c r="U84" i="32"/>
  <c r="T84" i="32"/>
  <c r="D84" i="32"/>
  <c r="F84" i="32"/>
  <c r="N84" i="32"/>
  <c r="M84" i="32"/>
  <c r="L84" i="32"/>
  <c r="G84" i="32"/>
  <c r="K84" i="32"/>
  <c r="AD15" i="4" l="1"/>
  <c r="AD21" i="4" s="1"/>
  <c r="AB84" i="32"/>
  <c r="G73" i="4"/>
  <c r="H245" i="37"/>
  <c r="H248" i="37" s="1"/>
  <c r="H247" i="37"/>
  <c r="I243" i="37"/>
  <c r="AF84" i="32"/>
  <c r="G42" i="4"/>
  <c r="G19" i="4"/>
  <c r="G14" i="4"/>
  <c r="G15" i="4"/>
  <c r="G33" i="4"/>
  <c r="G62" i="4"/>
  <c r="G18" i="4"/>
  <c r="G55" i="4"/>
  <c r="I247" i="37" l="1"/>
  <c r="I245" i="37"/>
  <c r="J243" i="37"/>
  <c r="G50" i="4"/>
  <c r="K243" i="37" l="1"/>
  <c r="J245" i="37"/>
  <c r="J247" i="37"/>
  <c r="E15" i="2"/>
  <c r="L243" i="37" l="1"/>
  <c r="K245" i="37"/>
  <c r="K247" i="37"/>
  <c r="J84" i="4"/>
  <c r="M243" i="37" l="1"/>
  <c r="L245" i="37"/>
  <c r="L247" i="37"/>
  <c r="L84" i="4"/>
  <c r="N243" i="37" l="1"/>
  <c r="M247" i="37"/>
  <c r="M245" i="37"/>
  <c r="O243" i="37" l="1"/>
  <c r="N245" i="37"/>
  <c r="N247" i="37"/>
  <c r="M74" i="4"/>
  <c r="M75" i="4"/>
  <c r="P243" i="37" l="1"/>
  <c r="O245" i="37"/>
  <c r="O248" i="37" s="1"/>
  <c r="O247" i="37"/>
  <c r="K74" i="4"/>
  <c r="N74" i="4" s="1"/>
  <c r="O74" i="4" s="1"/>
  <c r="Q243" i="37" l="1"/>
  <c r="P245" i="37"/>
  <c r="P247" i="37"/>
  <c r="Q247" i="37" l="1"/>
  <c r="Q245" i="37"/>
  <c r="R243" i="37"/>
  <c r="S243" i="37"/>
  <c r="M45" i="4"/>
  <c r="M49" i="4"/>
  <c r="M29" i="4"/>
  <c r="M21" i="4"/>
  <c r="M57" i="4"/>
  <c r="A16" i="2"/>
  <c r="A17" i="2" s="1"/>
  <c r="A18" i="2" s="1"/>
  <c r="A19" i="2" s="1"/>
  <c r="A20" i="2" s="1"/>
  <c r="A21" i="2" s="1"/>
  <c r="A22" i="2" s="1"/>
  <c r="S245" i="37" l="1"/>
  <c r="S247" i="37"/>
  <c r="U243" i="37"/>
  <c r="R245" i="37"/>
  <c r="R248" i="37" s="1"/>
  <c r="R247" i="37"/>
  <c r="M82" i="4"/>
  <c r="M40" i="4"/>
  <c r="M39" i="4"/>
  <c r="M69" i="4"/>
  <c r="M30" i="4"/>
  <c r="M23" i="4"/>
  <c r="M83" i="4"/>
  <c r="M54" i="4"/>
  <c r="M31" i="4"/>
  <c r="M36" i="4"/>
  <c r="M37" i="4"/>
  <c r="M24" i="4"/>
  <c r="M65" i="4"/>
  <c r="M44" i="4"/>
  <c r="M22" i="4"/>
  <c r="M59" i="4"/>
  <c r="M58" i="4"/>
  <c r="M70" i="4"/>
  <c r="M51" i="4"/>
  <c r="M71" i="4"/>
  <c r="M53" i="4"/>
  <c r="M76" i="4"/>
  <c r="M43" i="4"/>
  <c r="M33" i="4"/>
  <c r="M61" i="4"/>
  <c r="M19" i="4"/>
  <c r="M38" i="4"/>
  <c r="M46" i="4"/>
  <c r="M35" i="4"/>
  <c r="M28" i="4"/>
  <c r="M48" i="4"/>
  <c r="M47" i="4"/>
  <c r="M52" i="4"/>
  <c r="M32" i="4"/>
  <c r="M27" i="4"/>
  <c r="M73" i="4"/>
  <c r="M26" i="4"/>
  <c r="M72" i="4"/>
  <c r="M42" i="4"/>
  <c r="M67" i="4"/>
  <c r="M60" i="4"/>
  <c r="M56" i="4"/>
  <c r="M66" i="4"/>
  <c r="M34" i="4"/>
  <c r="M81" i="4"/>
  <c r="M25" i="4"/>
  <c r="M64" i="4"/>
  <c r="M68" i="4"/>
  <c r="K76" i="4" l="1"/>
  <c r="N76" i="4" s="1"/>
  <c r="O76" i="4" s="1"/>
  <c r="M55" i="4"/>
  <c r="M41" i="4"/>
  <c r="M20" i="4"/>
  <c r="K83" i="4"/>
  <c r="N83" i="4" s="1"/>
  <c r="O83" i="4" s="1"/>
  <c r="M63" i="4" l="1"/>
  <c r="M78" i="4"/>
  <c r="M50" i="4"/>
  <c r="M79" i="4"/>
  <c r="M80" i="4"/>
  <c r="M62" i="4"/>
  <c r="M77" i="4" l="1"/>
  <c r="K77" i="4" l="1"/>
  <c r="N77" i="4" s="1"/>
  <c r="O77" i="4" s="1"/>
  <c r="K41" i="4"/>
  <c r="N41" i="4" s="1"/>
  <c r="O41" i="4" s="1"/>
  <c r="K81" i="4"/>
  <c r="N81" i="4" s="1"/>
  <c r="O81" i="4" s="1"/>
  <c r="K75" i="4"/>
  <c r="N75" i="4" s="1"/>
  <c r="O75" i="4" s="1"/>
  <c r="AC88" i="4" l="1"/>
  <c r="X88" i="4"/>
  <c r="X86" i="4"/>
  <c r="X84" i="4"/>
  <c r="W84" i="4"/>
  <c r="U84" i="4"/>
  <c r="W69" i="4"/>
  <c r="W64" i="4"/>
  <c r="W61" i="4"/>
  <c r="W58" i="4"/>
  <c r="W55" i="4"/>
  <c r="W32" i="4"/>
  <c r="W17" i="4"/>
  <c r="W16" i="4"/>
  <c r="W15" i="4"/>
  <c r="W14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W13" i="4"/>
  <c r="L25" i="2"/>
  <c r="K19" i="2"/>
  <c r="M18" i="2"/>
  <c r="K18" i="2"/>
  <c r="K17" i="2"/>
  <c r="L17" i="2" s="1"/>
  <c r="J13" i="1"/>
  <c r="J12" i="1"/>
  <c r="K55" i="4" l="1"/>
  <c r="N55" i="4" s="1"/>
  <c r="O55" i="4" s="1"/>
  <c r="K42" i="4"/>
  <c r="N42" i="4" s="1"/>
  <c r="O42" i="4" s="1"/>
  <c r="K20" i="4"/>
  <c r="N20" i="4" s="1"/>
  <c r="O20" i="4" s="1"/>
  <c r="K80" i="4"/>
  <c r="N80" i="4" s="1"/>
  <c r="O80" i="4" s="1"/>
  <c r="K37" i="4"/>
  <c r="N37" i="4" s="1"/>
  <c r="O37" i="4" s="1"/>
  <c r="K46" i="4"/>
  <c r="N46" i="4" s="1"/>
  <c r="O46" i="4" s="1"/>
  <c r="K53" i="4"/>
  <c r="N53" i="4" s="1"/>
  <c r="O53" i="4" s="1"/>
  <c r="K23" i="4"/>
  <c r="N23" i="4" s="1"/>
  <c r="O23" i="4" s="1"/>
  <c r="K27" i="4"/>
  <c r="N27" i="4" s="1"/>
  <c r="O27" i="4" s="1"/>
  <c r="K34" i="4"/>
  <c r="N34" i="4" s="1"/>
  <c r="O34" i="4" s="1"/>
  <c r="K43" i="4"/>
  <c r="N43" i="4" s="1"/>
  <c r="O43" i="4" s="1"/>
  <c r="K47" i="4"/>
  <c r="N47" i="4" s="1"/>
  <c r="O47" i="4" s="1"/>
  <c r="K19" i="4"/>
  <c r="K22" i="4"/>
  <c r="N22" i="4" s="1"/>
  <c r="O22" i="4" s="1"/>
  <c r="K44" i="4"/>
  <c r="N44" i="4" s="1"/>
  <c r="O44" i="4" s="1"/>
  <c r="K48" i="4"/>
  <c r="N48" i="4" s="1"/>
  <c r="O48" i="4" s="1"/>
  <c r="K54" i="4"/>
  <c r="N54" i="4" s="1"/>
  <c r="O54" i="4" s="1"/>
  <c r="K73" i="4"/>
  <c r="N73" i="4" s="1"/>
  <c r="O73" i="4" s="1"/>
  <c r="K79" i="4"/>
  <c r="N79" i="4" s="1"/>
  <c r="O79" i="4" s="1"/>
  <c r="A41" i="4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K56" i="4"/>
  <c r="N56" i="4" s="1"/>
  <c r="O56" i="4" s="1"/>
  <c r="K24" i="4"/>
  <c r="N24" i="4" s="1"/>
  <c r="O24" i="4" s="1"/>
  <c r="K66" i="4"/>
  <c r="N66" i="4" s="1"/>
  <c r="O66" i="4" s="1"/>
  <c r="K29" i="4"/>
  <c r="N29" i="4" s="1"/>
  <c r="O29" i="4" s="1"/>
  <c r="K32" i="4"/>
  <c r="N32" i="4" s="1"/>
  <c r="O32" i="4" s="1"/>
  <c r="K28" i="4"/>
  <c r="N28" i="4" s="1"/>
  <c r="O28" i="4" s="1"/>
  <c r="K38" i="4"/>
  <c r="N38" i="4" s="1"/>
  <c r="O38" i="4" s="1"/>
  <c r="K51" i="4"/>
  <c r="N51" i="4" s="1"/>
  <c r="O51" i="4" s="1"/>
  <c r="K64" i="4"/>
  <c r="N64" i="4" s="1"/>
  <c r="O64" i="4" s="1"/>
  <c r="K36" i="4"/>
  <c r="N36" i="4" s="1"/>
  <c r="O36" i="4" s="1"/>
  <c r="K52" i="4"/>
  <c r="K58" i="4"/>
  <c r="N58" i="4" s="1"/>
  <c r="O58" i="4" s="1"/>
  <c r="K68" i="4"/>
  <c r="N68" i="4" s="1"/>
  <c r="O68" i="4" s="1"/>
  <c r="K78" i="4"/>
  <c r="N78" i="4" s="1"/>
  <c r="O78" i="4" s="1"/>
  <c r="K31" i="4"/>
  <c r="N31" i="4" s="1"/>
  <c r="O31" i="4" s="1"/>
  <c r="K39" i="4"/>
  <c r="N39" i="4" s="1"/>
  <c r="O39" i="4" s="1"/>
  <c r="K82" i="4"/>
  <c r="N82" i="4" s="1"/>
  <c r="O82" i="4" s="1"/>
  <c r="K21" i="4"/>
  <c r="N21" i="4" s="1"/>
  <c r="O21" i="4" s="1"/>
  <c r="K35" i="4"/>
  <c r="N35" i="4" s="1"/>
  <c r="O35" i="4" s="1"/>
  <c r="K40" i="4"/>
  <c r="N40" i="4" s="1"/>
  <c r="O40" i="4" s="1"/>
  <c r="K25" i="4"/>
  <c r="N25" i="4" s="1"/>
  <c r="O25" i="4" s="1"/>
  <c r="K26" i="4"/>
  <c r="N26" i="4" s="1"/>
  <c r="O26" i="4" s="1"/>
  <c r="K45" i="4"/>
  <c r="N45" i="4" s="1"/>
  <c r="O45" i="4" s="1"/>
  <c r="K50" i="4"/>
  <c r="N50" i="4" s="1"/>
  <c r="O50" i="4" s="1"/>
  <c r="K33" i="4"/>
  <c r="N33" i="4" s="1"/>
  <c r="O33" i="4" s="1"/>
  <c r="K67" i="4"/>
  <c r="N67" i="4" s="1"/>
  <c r="O67" i="4" s="1"/>
  <c r="K72" i="4"/>
  <c r="N72" i="4" s="1"/>
  <c r="O72" i="4" s="1"/>
  <c r="K30" i="4"/>
  <c r="N30" i="4" s="1"/>
  <c r="O30" i="4" s="1"/>
  <c r="K49" i="4"/>
  <c r="N49" i="4" s="1"/>
  <c r="O49" i="4" s="1"/>
  <c r="K71" i="4"/>
  <c r="N71" i="4" s="1"/>
  <c r="O71" i="4" s="1"/>
  <c r="K69" i="4"/>
  <c r="N69" i="4" s="1"/>
  <c r="O69" i="4" s="1"/>
  <c r="K65" i="4"/>
  <c r="N65" i="4" s="1"/>
  <c r="O65" i="4" s="1"/>
  <c r="K70" i="4"/>
  <c r="N70" i="4" s="1"/>
  <c r="O70" i="4" s="1"/>
  <c r="K60" i="4"/>
  <c r="N60" i="4" s="1"/>
  <c r="O60" i="4" s="1"/>
  <c r="K61" i="4"/>
  <c r="N61" i="4" s="1"/>
  <c r="O61" i="4" s="1"/>
  <c r="K62" i="4"/>
  <c r="N62" i="4" s="1"/>
  <c r="O62" i="4" s="1"/>
  <c r="K63" i="4"/>
  <c r="N63" i="4" s="1"/>
  <c r="O63" i="4" s="1"/>
  <c r="N19" i="4" l="1"/>
  <c r="O19" i="4" s="1"/>
  <c r="N52" i="4"/>
  <c r="O52" i="4" s="1"/>
  <c r="A52" i="4"/>
  <c r="A53" i="4" s="1"/>
  <c r="A54" i="4" s="1"/>
  <c r="A55" i="4" s="1"/>
  <c r="A56" i="4" s="1"/>
  <c r="A57" i="4" s="1"/>
  <c r="A58" i="4" s="1"/>
  <c r="A59" i="4" s="1"/>
  <c r="H15" i="2"/>
  <c r="K57" i="4"/>
  <c r="N57" i="4" s="1"/>
  <c r="O57" i="4" s="1"/>
  <c r="K59" i="4"/>
  <c r="N59" i="4" s="1"/>
  <c r="O59" i="4" s="1"/>
  <c r="AB15" i="4" l="1"/>
  <c r="A60" i="4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G15" i="1"/>
  <c r="M17" i="4" l="1"/>
  <c r="H21" i="2"/>
  <c r="K17" i="4" l="1"/>
  <c r="N17" i="4" s="1"/>
  <c r="O17" i="4" s="1"/>
  <c r="M18" i="4"/>
  <c r="M14" i="4"/>
  <c r="M15" i="4"/>
  <c r="M16" i="4"/>
  <c r="H20" i="2"/>
  <c r="K15" i="4" l="1"/>
  <c r="K18" i="4"/>
  <c r="K16" i="4"/>
  <c r="K14" i="4"/>
  <c r="G13" i="4"/>
  <c r="M13" i="4" s="1"/>
  <c r="F84" i="4"/>
  <c r="H17" i="2"/>
  <c r="N14" i="4" l="1"/>
  <c r="O14" i="4" s="1"/>
  <c r="AB16" i="4"/>
  <c r="N16" i="4"/>
  <c r="O16" i="4" s="1"/>
  <c r="AB18" i="4"/>
  <c r="N18" i="4"/>
  <c r="O18" i="4" s="1"/>
  <c r="AB17" i="4"/>
  <c r="N15" i="4"/>
  <c r="O15" i="4" s="1"/>
  <c r="AB19" i="4"/>
  <c r="I84" i="4"/>
  <c r="L22" i="2" s="1"/>
  <c r="H84" i="4"/>
  <c r="X87" i="4" s="1"/>
  <c r="M84" i="4"/>
  <c r="G16" i="1" s="1"/>
  <c r="G84" i="4"/>
  <c r="K13" i="4"/>
  <c r="AB20" i="4" s="1"/>
  <c r="M17" i="2"/>
  <c r="AB21" i="4" l="1"/>
  <c r="N13" i="4"/>
  <c r="O13" i="4" s="1"/>
  <c r="K84" i="4"/>
  <c r="J11" i="1" s="1"/>
  <c r="G14" i="1"/>
  <c r="G12" i="1"/>
  <c r="G13" i="1"/>
  <c r="P13" i="4" l="1"/>
  <c r="G11" i="1"/>
  <c r="H16" i="2" l="1"/>
  <c r="P64" i="4" l="1"/>
  <c r="P25" i="4"/>
  <c r="P61" i="4"/>
  <c r="P83" i="4"/>
  <c r="P38" i="4"/>
  <c r="P17" i="4"/>
  <c r="P39" i="4"/>
  <c r="P29" i="4"/>
  <c r="P57" i="4"/>
  <c r="P78" i="4"/>
  <c r="P77" i="4"/>
  <c r="P66" i="4"/>
  <c r="P79" i="4"/>
  <c r="P20" i="4"/>
  <c r="P21" i="4"/>
  <c r="P43" i="4"/>
  <c r="P46" i="4"/>
  <c r="P82" i="4"/>
  <c r="P54" i="4"/>
  <c r="P41" i="4"/>
  <c r="P32" i="4"/>
  <c r="P53" i="4"/>
  <c r="P74" i="4"/>
  <c r="P35" i="4"/>
  <c r="P68" i="4"/>
  <c r="P49" i="4"/>
  <c r="P45" i="4"/>
  <c r="P28" i="4"/>
  <c r="P56" i="4"/>
  <c r="P44" i="4"/>
  <c r="P81" i="4"/>
  <c r="P48" i="4"/>
  <c r="P76" i="4"/>
  <c r="P80" i="4"/>
  <c r="P37" i="4"/>
  <c r="P22" i="4"/>
  <c r="P23" i="4"/>
  <c r="P71" i="4"/>
  <c r="P24" i="4"/>
  <c r="P30" i="4"/>
  <c r="P31" i="4"/>
  <c r="P52" i="4"/>
  <c r="P60" i="4"/>
  <c r="P16" i="4"/>
  <c r="P47" i="4"/>
  <c r="P72" i="4"/>
  <c r="P51" i="4"/>
  <c r="P40" i="4"/>
  <c r="P36" i="4"/>
  <c r="P65" i="4"/>
  <c r="P34" i="4"/>
  <c r="P59" i="4"/>
  <c r="P67" i="4"/>
  <c r="P26" i="4"/>
  <c r="P75" i="4"/>
  <c r="P27" i="4"/>
  <c r="P58" i="4"/>
  <c r="P70" i="4"/>
  <c r="P73" i="4"/>
  <c r="Q60" i="4" l="1"/>
  <c r="R60" i="4" s="1"/>
  <c r="Q31" i="4"/>
  <c r="R31" i="4" s="1"/>
  <c r="Q24" i="4"/>
  <c r="R24" i="4" s="1"/>
  <c r="Q37" i="4"/>
  <c r="R37" i="4" s="1"/>
  <c r="Q44" i="4"/>
  <c r="R44" i="4" s="1"/>
  <c r="Q28" i="4"/>
  <c r="R28" i="4" s="1"/>
  <c r="Q72" i="4"/>
  <c r="R72" i="4" s="1"/>
  <c r="Q80" i="4"/>
  <c r="R80" i="4" s="1"/>
  <c r="Q81" i="4"/>
  <c r="R81" i="4" s="1"/>
  <c r="Q56" i="4"/>
  <c r="R56" i="4" s="1"/>
  <c r="Q82" i="4"/>
  <c r="R82" i="4" s="1"/>
  <c r="Q25" i="4"/>
  <c r="R25" i="4" s="1"/>
  <c r="Q38" i="4"/>
  <c r="R38" i="4" s="1"/>
  <c r="Q61" i="4"/>
  <c r="R61" i="4" s="1"/>
  <c r="V61" i="4" s="1"/>
  <c r="Q64" i="4"/>
  <c r="R64" i="4" s="1"/>
  <c r="V64" i="4" s="1"/>
  <c r="Q70" i="4"/>
  <c r="R70" i="4" s="1"/>
  <c r="Q27" i="4"/>
  <c r="R27" i="4" s="1"/>
  <c r="Q26" i="4"/>
  <c r="R26" i="4" s="1"/>
  <c r="Q40" i="4"/>
  <c r="R40" i="4" s="1"/>
  <c r="Q48" i="4"/>
  <c r="R48" i="4" s="1"/>
  <c r="Q83" i="4"/>
  <c r="R83" i="4" s="1"/>
  <c r="Q23" i="4"/>
  <c r="R23" i="4" s="1"/>
  <c r="Q59" i="4"/>
  <c r="R59" i="4" s="1"/>
  <c r="Q67" i="4"/>
  <c r="R67" i="4" s="1"/>
  <c r="Q34" i="4"/>
  <c r="R34" i="4" s="1"/>
  <c r="Q36" i="4"/>
  <c r="R36" i="4" s="1"/>
  <c r="Q16" i="4"/>
  <c r="R16" i="4" s="1"/>
  <c r="V16" i="4" s="1"/>
  <c r="Q45" i="4"/>
  <c r="R45" i="4" s="1"/>
  <c r="Q68" i="4"/>
  <c r="R68" i="4" s="1"/>
  <c r="P63" i="4"/>
  <c r="P55" i="4"/>
  <c r="P33" i="4"/>
  <c r="Q49" i="4"/>
  <c r="R49" i="4" s="1"/>
  <c r="Q35" i="4"/>
  <c r="R35" i="4" s="1"/>
  <c r="Q74" i="4"/>
  <c r="R74" i="4" s="1"/>
  <c r="Q32" i="4"/>
  <c r="R32" i="4" s="1"/>
  <c r="V32" i="4" s="1"/>
  <c r="Q54" i="4"/>
  <c r="R54" i="4" s="1"/>
  <c r="Q46" i="4"/>
  <c r="R46" i="4" s="1"/>
  <c r="Q21" i="4"/>
  <c r="R21" i="4" s="1"/>
  <c r="Q79" i="4"/>
  <c r="R79" i="4" s="1"/>
  <c r="Q66" i="4"/>
  <c r="R66" i="4" s="1"/>
  <c r="Q78" i="4"/>
  <c r="R78" i="4" s="1"/>
  <c r="Q57" i="4"/>
  <c r="R57" i="4" s="1"/>
  <c r="Q39" i="4"/>
  <c r="R39" i="4" s="1"/>
  <c r="P18" i="4"/>
  <c r="Q73" i="4"/>
  <c r="R73" i="4" s="1"/>
  <c r="Q58" i="4"/>
  <c r="R58" i="4" s="1"/>
  <c r="V58" i="4" s="1"/>
  <c r="Q75" i="4"/>
  <c r="R75" i="4" s="1"/>
  <c r="P42" i="4"/>
  <c r="Q65" i="4"/>
  <c r="R65" i="4" s="1"/>
  <c r="Q51" i="4"/>
  <c r="R51" i="4" s="1"/>
  <c r="Q47" i="4"/>
  <c r="R47" i="4" s="1"/>
  <c r="Q52" i="4"/>
  <c r="R52" i="4" s="1"/>
  <c r="Q30" i="4"/>
  <c r="R30" i="4" s="1"/>
  <c r="Q71" i="4"/>
  <c r="R71" i="4" s="1"/>
  <c r="Q22" i="4"/>
  <c r="R22" i="4" s="1"/>
  <c r="Q76" i="4"/>
  <c r="R76" i="4" s="1"/>
  <c r="P14" i="4"/>
  <c r="P19" i="4"/>
  <c r="P69" i="4"/>
  <c r="Q53" i="4"/>
  <c r="R53" i="4" s="1"/>
  <c r="Q41" i="4"/>
  <c r="R41" i="4" s="1"/>
  <c r="P62" i="4"/>
  <c r="Q43" i="4"/>
  <c r="R43" i="4" s="1"/>
  <c r="Q20" i="4"/>
  <c r="R20" i="4" s="1"/>
  <c r="Q77" i="4"/>
  <c r="R77" i="4" s="1"/>
  <c r="P15" i="4"/>
  <c r="Q29" i="4"/>
  <c r="R29" i="4" s="1"/>
  <c r="Q17" i="4"/>
  <c r="R17" i="4" s="1"/>
  <c r="V17" i="4" s="1"/>
  <c r="Q62" i="4" l="1"/>
  <c r="R62" i="4" s="1"/>
  <c r="Q55" i="4"/>
  <c r="R55" i="4" s="1"/>
  <c r="V55" i="4" s="1"/>
  <c r="V18" i="4" s="1"/>
  <c r="V84" i="4" s="1"/>
  <c r="Q33" i="4"/>
  <c r="R33" i="4" s="1"/>
  <c r="Q15" i="4"/>
  <c r="R15" i="4" s="1"/>
  <c r="V15" i="4" s="1"/>
  <c r="Q63" i="4"/>
  <c r="R63" i="4" s="1"/>
  <c r="O84" i="4"/>
  <c r="G20" i="1" s="1"/>
  <c r="P50" i="4"/>
  <c r="Q13" i="4"/>
  <c r="Q19" i="4"/>
  <c r="R19" i="4" s="1"/>
  <c r="Q14" i="4"/>
  <c r="R14" i="4" s="1"/>
  <c r="V14" i="4" s="1"/>
  <c r="Q42" i="4"/>
  <c r="R42" i="4" s="1"/>
  <c r="N84" i="4"/>
  <c r="Q69" i="4"/>
  <c r="R69" i="4" s="1"/>
  <c r="V69" i="4" s="1"/>
  <c r="Q18" i="4"/>
  <c r="R18" i="4" s="1"/>
  <c r="Q50" i="4" l="1"/>
  <c r="R50" i="4" s="1"/>
  <c r="P84" i="4"/>
  <c r="G18" i="1" s="1"/>
  <c r="G17" i="1" s="1"/>
  <c r="R13" i="4"/>
  <c r="Q84" i="4" l="1"/>
  <c r="J17" i="1" s="1"/>
  <c r="R84" i="4"/>
  <c r="V13" i="4"/>
  <c r="J14" i="1"/>
  <c r="G23" i="1"/>
  <c r="G22" i="1" s="1"/>
  <c r="J23" i="1" l="1"/>
  <c r="X89" i="4"/>
  <c r="V86" i="4"/>
  <c r="E17" i="38" l="1"/>
  <c r="F17" i="38" s="1"/>
  <c r="F18" i="38" l="1"/>
  <c r="E26" i="38"/>
  <c r="F26" i="38" s="1"/>
  <c r="F21" i="38" s="1"/>
  <c r="D18" i="2"/>
  <c r="E18" i="2" s="1"/>
  <c r="K17" i="38"/>
  <c r="L17" i="38"/>
  <c r="F27" i="38" l="1"/>
  <c r="J29" i="38" s="1"/>
  <c r="D19" i="2"/>
  <c r="L18" i="38"/>
  <c r="K18" i="38"/>
  <c r="I17" i="38"/>
  <c r="M17" i="38"/>
  <c r="D22" i="2"/>
  <c r="K21" i="38"/>
  <c r="I21" i="38" s="1"/>
  <c r="L21" i="38"/>
  <c r="E22" i="2" l="1"/>
  <c r="E19" i="2"/>
  <c r="H19" i="2" s="1"/>
  <c r="I27" i="38"/>
  <c r="M18" i="38"/>
  <c r="I18" i="38"/>
  <c r="D23" i="2"/>
  <c r="H18" i="2"/>
  <c r="L21" i="2" l="1"/>
  <c r="L23" i="2" s="1"/>
  <c r="E14" i="2"/>
  <c r="E23" i="2"/>
  <c r="H23" i="2" s="1"/>
  <c r="H22" i="2"/>
  <c r="L18" i="2"/>
  <c r="L19" i="2" s="1"/>
  <c r="H14" i="2"/>
</calcChain>
</file>

<file path=xl/sharedStrings.xml><?xml version="1.0" encoding="utf-8"?>
<sst xmlns="http://schemas.openxmlformats.org/spreadsheetml/2006/main" count="2153" uniqueCount="400">
  <si>
    <t>ក្រុមហ៊ុន កៅស៊ូ មេគង្គ ខូ អិលធីឌី</t>
  </si>
  <si>
    <t>ព្រះរាជាណាចក្រ កម្ពុជា</t>
  </si>
  <si>
    <t>CÔNG TY TNHH CAO SU MEKONG</t>
  </si>
  <si>
    <t>VƯƠNG QUỐC CAMPUCHIA</t>
  </si>
  <si>
    <t>រោងចក្រកែច្នៃ</t>
  </si>
  <si>
    <t>ជាតិ សាសនា ព្រះមហាក្សត្រ</t>
  </si>
  <si>
    <t>XƯỞNG CHẾ BIẾN</t>
  </si>
  <si>
    <t>Dân tộc - Tôn giáo - Quốc vương</t>
  </si>
  <si>
    <t>តារាងតុល្យភាពបំណុល</t>
  </si>
  <si>
    <t>BẢNG CÂN ĐỐI CÔNG NỢ</t>
  </si>
  <si>
    <t>Riel</t>
  </si>
  <si>
    <r>
      <rPr>
        <b/>
        <u/>
        <sz val="12"/>
        <rFont val="Khmer OS Battambang"/>
      </rPr>
      <t>II/</t>
    </r>
    <r>
      <rPr>
        <b/>
        <u/>
        <sz val="12"/>
        <rFont val="Khmer OS"/>
      </rPr>
      <t xml:space="preserve"> </t>
    </r>
    <r>
      <rPr>
        <b/>
        <u/>
        <sz val="12"/>
        <rFont val="Khmer OS Muol Light"/>
      </rPr>
      <t>ប្រាក់បានទទួល</t>
    </r>
    <r>
      <rPr>
        <u/>
        <sz val="12"/>
        <rFont val="Khmer OS"/>
      </rPr>
      <t xml:space="preserve"> </t>
    </r>
    <r>
      <rPr>
        <b/>
        <u/>
        <sz val="12"/>
        <rFont val="Times New Roman"/>
        <family val="1"/>
      </rPr>
      <t>(Các khoản đã nhận)</t>
    </r>
    <r>
      <rPr>
        <b/>
        <u/>
        <sz val="12"/>
        <rFont val="Khmer OS Muol Light"/>
      </rPr>
      <t>:</t>
    </r>
  </si>
  <si>
    <r>
      <rPr>
        <sz val="12"/>
        <rFont val="Khmer OS Battambang"/>
      </rPr>
      <t xml:space="preserve">1/ </t>
    </r>
    <r>
      <rPr>
        <sz val="12"/>
        <rFont val="Khmer OS"/>
      </rPr>
      <t>ពន្ធលើប្រាក់បៀវត្ស</t>
    </r>
    <r>
      <rPr>
        <sz val="12"/>
        <rFont val="Khmer OS Bokor"/>
      </rPr>
      <t xml:space="preserve"> </t>
    </r>
    <r>
      <rPr>
        <sz val="12"/>
        <rFont val="Times New Roman"/>
        <family val="1"/>
      </rPr>
      <t>(Thuế TNCN)</t>
    </r>
    <r>
      <rPr>
        <sz val="12"/>
        <rFont val="Khmer OS Bokor"/>
      </rPr>
      <t>:</t>
    </r>
  </si>
  <si>
    <t xml:space="preserve">ផ.ហិរ.គណនេយ្យ </t>
  </si>
  <si>
    <t>អ្នករៀបចំ</t>
  </si>
  <si>
    <t>PHÒNG TCKT</t>
  </si>
  <si>
    <t>Lập biểu</t>
  </si>
  <si>
    <t>Bùi Ngọc Triệu</t>
  </si>
  <si>
    <t>អនុម័តនាយកក្រុមហ៊ុន/DUYỆT GIÁM ĐỐC</t>
  </si>
  <si>
    <t xml:space="preserve">        ឯកតា/</t>
  </si>
  <si>
    <t>ĐVT៖ Riel</t>
  </si>
  <si>
    <t>ល.រ</t>
  </si>
  <si>
    <t xml:space="preserve">  រាយនាមការងារ  </t>
  </si>
  <si>
    <t xml:space="preserve"> តម្លៃ          </t>
  </si>
  <si>
    <r>
      <rPr>
        <b/>
        <sz val="12"/>
        <rFont val="Khmer OS Moul Light"/>
        <charset val="163"/>
      </rPr>
      <t>កម្លាំងថ្ងៃធម្មតា</t>
    </r>
    <r>
      <rPr>
        <b/>
        <sz val="12"/>
        <rFont val="Khmer OS"/>
      </rPr>
      <t xml:space="preserve">
</t>
    </r>
    <r>
      <rPr>
        <b/>
        <sz val="12"/>
        <rFont val="Times New Roman"/>
        <family val="1"/>
      </rPr>
      <t>Công ngày</t>
    </r>
  </si>
  <si>
    <r>
      <rPr>
        <b/>
        <sz val="12"/>
        <rFont val="Khmer OS Muol Light"/>
      </rPr>
      <t>កម្លាំងថែមម៉ោង</t>
    </r>
    <r>
      <rPr>
        <b/>
        <sz val="12"/>
        <rFont val="Khmer OS"/>
      </rPr>
      <t xml:space="preserve">
</t>
    </r>
    <r>
      <rPr>
        <b/>
        <sz val="12"/>
        <rFont val="Times New Roman"/>
        <family val="1"/>
      </rPr>
      <t>Công làm thêm giờ</t>
    </r>
  </si>
  <si>
    <t xml:space="preserve">សរុប       </t>
  </si>
  <si>
    <t>កំណត់ចំណាំ</t>
  </si>
  <si>
    <t>STT</t>
  </si>
  <si>
    <t>Hạng mục công việc</t>
  </si>
  <si>
    <t>Đơn​ giá</t>
  </si>
  <si>
    <r>
      <rPr>
        <b/>
        <sz val="12"/>
        <rFont val="Khmer OS Battambang"/>
      </rPr>
      <t>កម្លាំង</t>
    </r>
    <r>
      <rPr>
        <b/>
        <sz val="12"/>
        <rFont val="Times New Roman"/>
        <family val="1"/>
      </rPr>
      <t xml:space="preserve">
Công</t>
    </r>
  </si>
  <si>
    <r>
      <rPr>
        <b/>
        <sz val="12"/>
        <rFont val="Khmer OS Battambang"/>
      </rPr>
      <t>ជាប្រាក់</t>
    </r>
    <r>
      <rPr>
        <b/>
        <sz val="12"/>
        <rFont val="Times New Roman"/>
        <family val="1"/>
      </rPr>
      <t xml:space="preserve">
Thành tiền</t>
    </r>
  </si>
  <si>
    <t xml:space="preserve">Tổng cộng </t>
  </si>
  <si>
    <t>Ghi chú</t>
  </si>
  <si>
    <t>A</t>
  </si>
  <si>
    <t>B</t>
  </si>
  <si>
    <t>3=1x2</t>
  </si>
  <si>
    <t>5=4x1</t>
  </si>
  <si>
    <t>6=3+5</t>
  </si>
  <si>
    <r>
      <rPr>
        <sz val="12"/>
        <rFont val="Khmer OS Moul Light"/>
        <charset val="163"/>
      </rPr>
      <t>សន្ដិសុខការពារ</t>
    </r>
    <r>
      <rPr>
        <sz val="12"/>
        <rFont val="Khmer OS"/>
      </rPr>
      <t xml:space="preserve">​​​​​ </t>
    </r>
    <r>
      <rPr>
        <sz val="12"/>
        <rFont val="Times New Roman"/>
        <family val="1"/>
      </rPr>
      <t>(Bảo vệ)</t>
    </r>
  </si>
  <si>
    <r>
      <rPr>
        <sz val="12"/>
        <rFont val="Khmer OS Moul Light"/>
        <charset val="163"/>
      </rPr>
      <t>កម្មករ មេកានិច</t>
    </r>
    <r>
      <rPr>
        <sz val="12"/>
        <rFont val="Khmer OS"/>
      </rPr>
      <t xml:space="preserve"> </t>
    </r>
    <r>
      <rPr>
        <sz val="12"/>
        <rFont val="Khmer OS Battambang"/>
      </rPr>
      <t>(</t>
    </r>
    <r>
      <rPr>
        <sz val="12"/>
        <rFont val="Times New Roman"/>
        <family val="1"/>
      </rPr>
      <t>Công nhân cơ khí)</t>
    </r>
  </si>
  <si>
    <r>
      <rPr>
        <sz val="12"/>
        <color theme="1"/>
        <rFont val="Khmer OS Moul Light"/>
        <charset val="163"/>
      </rPr>
      <t>អ្នកបើកឡាន</t>
    </r>
    <r>
      <rPr>
        <sz val="12"/>
        <color theme="1"/>
        <rFont val="Khmer OS"/>
      </rPr>
      <t xml:space="preserve"> </t>
    </r>
    <r>
      <rPr>
        <sz val="12"/>
        <color indexed="8"/>
        <rFont val="Times New Roman"/>
        <family val="1"/>
      </rPr>
      <t>(Tài xế)</t>
    </r>
  </si>
  <si>
    <r>
      <rPr>
        <sz val="12"/>
        <rFont val="Khmer OS Moul Light"/>
        <charset val="163"/>
      </rPr>
      <t>សម្អាត</t>
    </r>
    <r>
      <rPr>
        <sz val="12"/>
        <rFont val="Khmer OS Battambang"/>
      </rPr>
      <t xml:space="preserve"> </t>
    </r>
    <r>
      <rPr>
        <sz val="12"/>
        <rFont val="Times New Roman"/>
        <family val="1"/>
      </rPr>
      <t>(Vệ sinh)</t>
    </r>
  </si>
  <si>
    <r>
      <rPr>
        <sz val="13"/>
        <rFont val="Khmer OS Moul Light"/>
        <charset val="163"/>
      </rPr>
      <t>អ្នកធ្វើការមិនរើសមុខ</t>
    </r>
    <r>
      <rPr>
        <i/>
        <sz val="13"/>
        <rFont val="Khmer OS Battambang"/>
      </rPr>
      <t xml:space="preserve"> </t>
    </r>
    <r>
      <rPr>
        <sz val="13"/>
        <rFont val="Calibri Light"/>
        <family val="2"/>
        <scheme val="major"/>
      </rPr>
      <t>(Tạp vụ)</t>
    </r>
  </si>
  <si>
    <r>
      <rPr>
        <sz val="12"/>
        <rFont val="Khmer OS Moul Light"/>
        <charset val="163"/>
      </rPr>
      <t>កម្លាំងផ្សេង</t>
    </r>
    <r>
      <rPr>
        <sz val="12"/>
        <rFont val="Khmer OS Battambang"/>
      </rPr>
      <t xml:space="preserve"> </t>
    </r>
    <r>
      <rPr>
        <sz val="12"/>
        <rFont val="Times New Roman"/>
        <family val="1"/>
      </rPr>
      <t>(Công Khác)</t>
    </r>
  </si>
  <si>
    <r>
      <rPr>
        <b/>
        <sz val="14"/>
        <rFont val="Khmer OS Moul Light"/>
        <charset val="163"/>
      </rPr>
      <t>សរុប</t>
    </r>
    <r>
      <rPr>
        <sz val="12"/>
        <rFont val="Khmer OS Muol Light"/>
      </rPr>
      <t xml:space="preserve"> </t>
    </r>
    <r>
      <rPr>
        <b/>
        <sz val="12"/>
        <rFont val="Khmer OS Bokor"/>
      </rPr>
      <t>(</t>
    </r>
    <r>
      <rPr>
        <b/>
        <sz val="12"/>
        <rFont val="Times New Roman"/>
        <family val="1"/>
      </rPr>
      <t xml:space="preserve">Tổng cộng)  </t>
    </r>
  </si>
  <si>
    <t xml:space="preserve"> សរុបបៀវត្សខែ ០៤/២០២៥ (Tổng lương tháng 04/2025)</t>
  </si>
  <si>
    <r>
      <rPr>
        <b/>
        <sz val="13"/>
        <rFont val="Khmer OS Muol Light"/>
      </rPr>
      <t>រោងចក្រកែច្នៃ</t>
    </r>
    <r>
      <rPr>
        <b/>
        <sz val="13"/>
        <rFont val="Khmer OS"/>
      </rPr>
      <t>/ XƯỞNG</t>
    </r>
    <r>
      <rPr>
        <b/>
        <sz val="13"/>
        <rFont val="Calibri Light"/>
        <family val="2"/>
        <scheme val="major"/>
      </rPr>
      <t xml:space="preserve"> CHẾ BIẾN</t>
    </r>
  </si>
  <si>
    <r>
      <rPr>
        <b/>
        <sz val="12"/>
        <rFont val="Khmer OS Muol Light"/>
      </rPr>
      <t>អ្នករៀបចំ</t>
    </r>
    <r>
      <rPr>
        <b/>
        <sz val="12"/>
        <rFont val="Khmer OS"/>
      </rPr>
      <t xml:space="preserve">/ </t>
    </r>
    <r>
      <rPr>
        <b/>
        <sz val="12"/>
        <rFont val="Calibri Light"/>
        <family val="2"/>
        <scheme val="major"/>
      </rPr>
      <t>LẬP BIỂU</t>
    </r>
  </si>
  <si>
    <r>
      <rPr>
        <b/>
        <sz val="13"/>
        <rFont val="Khmer OS Muol Light"/>
      </rPr>
      <t>ផ្នែក ចាត់តាំង រដ្ឋបាល</t>
    </r>
    <r>
      <rPr>
        <b/>
        <sz val="13"/>
        <rFont val="Khmer OS Muol Light"/>
      </rPr>
      <t xml:space="preserve">/ </t>
    </r>
    <r>
      <rPr>
        <b/>
        <sz val="14"/>
        <rFont val="Times New Roman"/>
        <family val="1"/>
      </rPr>
      <t>PHÒNG TCHC</t>
    </r>
  </si>
  <si>
    <r>
      <rPr>
        <b/>
        <sz val="13"/>
        <rFont val="Khmer OS Muol Light"/>
      </rPr>
      <t xml:space="preserve">ផ.ហិរ.គណនេយ្យ / </t>
    </r>
    <r>
      <rPr>
        <b/>
        <sz val="14"/>
        <rFont val="Times New Roman"/>
        <family val="1"/>
      </rPr>
      <t>PHÒNG TCKT</t>
    </r>
  </si>
  <si>
    <r>
      <rPr>
        <b/>
        <sz val="13"/>
        <rFont val="Khmer OS Muol Light"/>
      </rPr>
      <t>អនុម័តនាយកក្រុមហ៊ុន</t>
    </r>
    <r>
      <rPr>
        <b/>
        <sz val="13"/>
        <rFont val="Khmer OS"/>
      </rPr>
      <t xml:space="preserve">/ </t>
    </r>
    <r>
      <rPr>
        <b/>
        <sz val="14"/>
        <rFont val="Times New Roman"/>
        <family val="1"/>
      </rPr>
      <t>DUYỆT GIÁM ĐỐC</t>
    </r>
  </si>
  <si>
    <t>មី និងប្រេងឆាឲ្យកម្មករ (Mì, dầu ăn cho CN)</t>
  </si>
  <si>
    <t>Cộng</t>
  </si>
  <si>
    <t>រិន ច្រិប</t>
  </si>
  <si>
    <t xml:space="preserve">RIN CHRIB   </t>
  </si>
  <si>
    <t>កែវ សម្បត្តិ</t>
  </si>
  <si>
    <t>KEO SAMBATH</t>
  </si>
  <si>
    <t>គី គីន</t>
  </si>
  <si>
    <t xml:space="preserve">ផន ឃី </t>
  </si>
  <si>
    <t>PHORN KHY</t>
  </si>
  <si>
    <t>ថន ម៉ន</t>
  </si>
  <si>
    <t>THORN MORN</t>
  </si>
  <si>
    <t>សៃ រិទ្ធី</t>
  </si>
  <si>
    <t>SAI RITHY</t>
  </si>
  <si>
    <t>សាត រិទ្ធិសាក់</t>
  </si>
  <si>
    <t>SAT RITHYSAK</t>
  </si>
  <si>
    <t>ហឿង សុជឿន</t>
  </si>
  <si>
    <t>HOEUNG SOCHOEUN</t>
  </si>
  <si>
    <t>ថន សំណាង</t>
  </si>
  <si>
    <t>THAN SAMNANG</t>
  </si>
  <si>
    <t>សន ហ៊ុច</t>
  </si>
  <si>
    <t>SORN HUCH</t>
  </si>
  <si>
    <t>ថូរ សុភ័ណ្ឌ</t>
  </si>
  <si>
    <t>THO SOPHORN</t>
  </si>
  <si>
    <t>ធៀម សំនាង</t>
  </si>
  <si>
    <t>THEAM SAMNEANG</t>
  </si>
  <si>
    <t>អែល សាន់</t>
  </si>
  <si>
    <t xml:space="preserve">EL SANN </t>
  </si>
  <si>
    <t>អ៊ាវ ខាត់</t>
  </si>
  <si>
    <t>EAV KHATH</t>
  </si>
  <si>
    <t>ភី ផូ</t>
  </si>
  <si>
    <t>PHI PHO</t>
  </si>
  <si>
    <t>វុន វណ្ណនី</t>
  </si>
  <si>
    <t>VON VANNY</t>
  </si>
  <si>
    <t>លឿន ឆាលី</t>
  </si>
  <si>
    <t>LOEUN CHALY</t>
  </si>
  <si>
    <t>ហឿន សាវុធ</t>
  </si>
  <si>
    <t>HOEURN SAVUTH</t>
  </si>
  <si>
    <t>រឿន សារី</t>
  </si>
  <si>
    <t>ROEUN SARY</t>
  </si>
  <si>
    <t>ហ៊ុច សំណាង</t>
  </si>
  <si>
    <t>HOCH SOMNANG</t>
  </si>
  <si>
    <t>បាន ចន្ថា</t>
  </si>
  <si>
    <t>BAN CHANTHA</t>
  </si>
  <si>
    <t>សាន់ យូស័រ</t>
  </si>
  <si>
    <t>SAN YUSOR</t>
  </si>
  <si>
    <t>វុន វណ្ណា</t>
  </si>
  <si>
    <t>VUN VANNA</t>
  </si>
  <si>
    <t>ជឿន នីន</t>
  </si>
  <si>
    <t>CHOEUN NIN</t>
  </si>
  <si>
    <t xml:space="preserve">ហឿង ហេង </t>
  </si>
  <si>
    <t>HOEUNG HENG</t>
  </si>
  <si>
    <t xml:space="preserve">គង់ ចាន់ទ្រឿន </t>
  </si>
  <si>
    <t>KONG CHANTROEUN</t>
  </si>
  <si>
    <t>ជឿន ថា</t>
  </si>
  <si>
    <t>CHOEUN THA</t>
  </si>
  <si>
    <t>ហ៊ុន ម៉ៅ</t>
  </si>
  <si>
    <t>HUN MAO</t>
  </si>
  <si>
    <t>ជឿន ថី</t>
  </si>
  <si>
    <t>CHOEUN THEY</t>
  </si>
  <si>
    <t>ឆឹម ខុន</t>
  </si>
  <si>
    <t>CHHEOM KHON</t>
  </si>
  <si>
    <t>ថន សុខធា</t>
  </si>
  <si>
    <t>THON SOKHTHEA</t>
  </si>
  <si>
    <t>នី គីន</t>
  </si>
  <si>
    <t>NY KIN</t>
  </si>
  <si>
    <t xml:space="preserve"> វុន ហួន</t>
  </si>
  <si>
    <t>VUN HOUN</t>
  </si>
  <si>
    <t>លី​ ប៊ុនយ៉េន</t>
  </si>
  <si>
    <t>LY BUNYEN</t>
  </si>
  <si>
    <t>ធឿន​ វុឌ្ឍី</t>
  </si>
  <si>
    <t>THOEUN VUTHY</t>
  </si>
  <si>
    <t>ម៉ៅ ថី</t>
  </si>
  <si>
    <t>MAO THEY</t>
  </si>
  <si>
    <t>ហៀង ហ័ង</t>
  </si>
  <si>
    <t>HEANG HORNG</t>
  </si>
  <si>
    <t>មឿន សេន</t>
  </si>
  <si>
    <t>MOEURN SEN</t>
  </si>
  <si>
    <t>SOUR SALOUTH</t>
  </si>
  <si>
    <t>ហ៊ីម មករា</t>
  </si>
  <si>
    <t>HIM MAKRA</t>
  </si>
  <si>
    <t>ហុក តុងសេង</t>
  </si>
  <si>
    <t>HUK TUNGSENG</t>
  </si>
  <si>
    <t>ម៉ុក សុធា</t>
  </si>
  <si>
    <t>MOK SOTHEA</t>
  </si>
  <si>
    <t xml:space="preserve">គួន ធី </t>
  </si>
  <si>
    <t xml:space="preserve">KOURN THY </t>
  </si>
  <si>
    <t xml:space="preserve">អៀង អ៊ា </t>
  </si>
  <si>
    <t xml:space="preserve">EANG EAR </t>
  </si>
  <si>
    <t>ម៉ៅ សុខនី</t>
  </si>
  <si>
    <t>MAO SOKNY</t>
  </si>
  <si>
    <t>ម៉ឹង គា</t>
  </si>
  <si>
    <t xml:space="preserve">MOENG KEA </t>
  </si>
  <si>
    <t>ម៉ៅ សុខម៉េង</t>
  </si>
  <si>
    <t>MAO SOKMENG</t>
  </si>
  <si>
    <t>គា​ ទីណូ</t>
  </si>
  <si>
    <t>KHEA TINO</t>
  </si>
  <si>
    <t>ធួន ធីម</t>
  </si>
  <si>
    <t>THUN THIM</t>
  </si>
  <si>
    <t>មាស ភា</t>
  </si>
  <si>
    <t>MEAS PHEA</t>
  </si>
  <si>
    <t>សេន សីហា</t>
  </si>
  <si>
    <t>SEN SEYHA</t>
  </si>
  <si>
    <t>មេង បូរី</t>
  </si>
  <si>
    <t>MENG BOREY</t>
  </si>
  <si>
    <t>មាស សៀក</t>
  </si>
  <si>
    <t>MEAS SEAK</t>
  </si>
  <si>
    <t>សន ម៉ាប់</t>
  </si>
  <si>
    <t>SORN MAB</t>
  </si>
  <si>
    <t>ម៉ន ពឿយ</t>
  </si>
  <si>
    <t>MORN POEUY</t>
  </si>
  <si>
    <t>ថន ចារី</t>
  </si>
  <si>
    <t>THON CHAREY</t>
  </si>
  <si>
    <t>រឿន រឿង</t>
  </si>
  <si>
    <t>អ៊ឹម ថាច</t>
  </si>
  <si>
    <t>OEM THACH</t>
  </si>
  <si>
    <t>សន ចាន់រី</t>
  </si>
  <si>
    <t>SORN CHANRY</t>
  </si>
  <si>
    <t>សន ឆៃលី</t>
  </si>
  <si>
    <t>SORN CHHAILY</t>
  </si>
  <si>
    <t>សរុប (Tổng cộng)</t>
  </si>
  <si>
    <r>
      <rPr>
        <b/>
        <sz val="13"/>
        <rFont val="Khmer OS Muol Light"/>
      </rPr>
      <t xml:space="preserve">រោងចក្រកែច្នៃ/ </t>
    </r>
    <r>
      <rPr>
        <b/>
        <sz val="14"/>
        <rFont val="Times New Roman"/>
        <family val="1"/>
      </rPr>
      <t>XƯỞNG CHẾ BIẾN</t>
    </r>
  </si>
  <si>
    <t>ឯកតា/</t>
  </si>
  <si>
    <t>ĐVT: Riel</t>
  </si>
  <si>
    <t>ល.រ
STT</t>
  </si>
  <si>
    <t xml:space="preserve">
បៀវត្សដាច់ឆ្នាំ 
(Lương 
thâm niên)</t>
  </si>
  <si>
    <t>Tạm ứng 
lương</t>
  </si>
  <si>
    <t>Thực lãnh</t>
  </si>
  <si>
    <t>Gia cảnh</t>
  </si>
  <si>
    <t>C</t>
  </si>
  <si>
    <t>D</t>
  </si>
  <si>
    <t>040322767</t>
  </si>
  <si>
    <t>020520213</t>
  </si>
  <si>
    <t>150429482 (01)</t>
  </si>
  <si>
    <t>150469703 (01)</t>
  </si>
  <si>
    <t>150360208 (01)</t>
  </si>
  <si>
    <t>សួរ សាលូត</t>
  </si>
  <si>
    <t>150306182 (01)</t>
  </si>
  <si>
    <t>150523495 (01)</t>
  </si>
  <si>
    <t>ROEUN ROEUNG</t>
  </si>
  <si>
    <r>
      <rPr>
        <sz val="12"/>
        <color indexed="8"/>
        <rFont val="Khmer OS Muol Light"/>
      </rPr>
      <t>សរុប</t>
    </r>
    <r>
      <rPr>
        <b/>
        <sz val="12"/>
        <color indexed="8"/>
        <rFont val="Times New Roman"/>
        <family val="1"/>
      </rPr>
      <t xml:space="preserve"> (Tổng cộng)</t>
    </r>
  </si>
  <si>
    <r>
      <rPr>
        <b/>
        <sz val="14"/>
        <color theme="1"/>
        <rFont val="Khmer OS Muol Light"/>
      </rPr>
      <t xml:space="preserve">អ្នករៀបចំ / </t>
    </r>
    <r>
      <rPr>
        <b/>
        <sz val="14"/>
        <color theme="1"/>
        <rFont val="Times New Roman"/>
        <family val="1"/>
      </rPr>
      <t>Lập biểu</t>
    </r>
  </si>
  <si>
    <t>CÔNG TY TNHH CAO SU VRG MEKONG</t>
  </si>
  <si>
    <t xml:space="preserve">តារាងវត្តមានកម្មករប៉ុសិ៏កិនជ័រកៅស៊ូ 
</t>
  </si>
  <si>
    <t>BẢNG PHÂN CHIA KHỐI LƯỢNG CÔNG NHÂN LÀM MỦ CÁN VẮT TỔ 1</t>
  </si>
  <si>
    <t>ត្រកូលនិងឈ្មោះ
HỌ VÀ TÊN</t>
  </si>
  <si>
    <t>ឯកតា
ĐVT</t>
  </si>
  <si>
    <r>
      <rPr>
        <sz val="9"/>
        <rFont val="Khmer OS Muol Light"/>
      </rPr>
      <t>សម្គាល់</t>
    </r>
    <r>
      <rPr>
        <b/>
        <sz val="9"/>
        <rFont val="Times New Roman"/>
        <family val="1"/>
      </rPr>
      <t xml:space="preserve">
GHI CHÚ</t>
    </r>
  </si>
  <si>
    <t>ហត្ថលេខាទទួល
Ký nhận</t>
  </si>
  <si>
    <r>
      <rPr>
        <sz val="10"/>
        <color indexed="8"/>
        <rFont val="Khmer OS Battambang"/>
      </rPr>
      <t xml:space="preserve">តោន </t>
    </r>
    <r>
      <rPr>
        <sz val="10"/>
        <color indexed="8"/>
        <rFont val="Times New Roman"/>
        <family val="1"/>
      </rPr>
      <t>(Tấn)</t>
    </r>
  </si>
  <si>
    <t>-</t>
  </si>
  <si>
    <t xml:space="preserve">Cộng </t>
  </si>
  <si>
    <t>BẢNG PHÂN CHIA KHỐI LƯỢNG CÔNG NHÂN LÀM MỦ CÁN VẮT TỔ 2</t>
  </si>
  <si>
    <t>Ký
 nhận</t>
  </si>
  <si>
    <r>
      <rPr>
        <sz val="11"/>
        <color indexed="8"/>
        <rFont val="Khmer OS Battambang"/>
      </rPr>
      <t xml:space="preserve">តោន </t>
    </r>
    <r>
      <rPr>
        <sz val="11"/>
        <color indexed="8"/>
        <rFont val="Times New Roman"/>
        <family val="1"/>
      </rPr>
      <t>(Tấn)</t>
    </r>
  </si>
  <si>
    <r>
      <rPr>
        <sz val="10"/>
        <rFont val="Khmer OS Muol Light"/>
      </rPr>
      <t>សម្គាល់</t>
    </r>
    <r>
      <rPr>
        <b/>
        <sz val="10"/>
        <rFont val="Times New Roman"/>
        <family val="1"/>
      </rPr>
      <t xml:space="preserve">
GHI CHÚ</t>
    </r>
  </si>
  <si>
    <t>Ký nhận</t>
  </si>
  <si>
    <t>`</t>
  </si>
  <si>
    <t>លេខអត្តសញ្ញាណ​បណ្ណ
Số CMND</t>
  </si>
  <si>
    <t xml:space="preserve">សរុប
TỔNG 
CỘNG </t>
  </si>
  <si>
    <t>Vắng Đ 1</t>
  </si>
  <si>
    <t>Vắng Đ 2</t>
  </si>
  <si>
    <t>X</t>
  </si>
  <si>
    <t>Làm thêm giờ</t>
  </si>
  <si>
    <t>/</t>
  </si>
  <si>
    <t>គ្រឿន រិត</t>
  </si>
  <si>
    <t>KROEUN RITH</t>
  </si>
  <si>
    <t>ទៀង ឡៃស៊ីម</t>
  </si>
  <si>
    <t>TIENG LAISIM</t>
  </si>
  <si>
    <t>ម៉ៅ ឆូន</t>
  </si>
  <si>
    <t>MAO CHHAUN</t>
  </si>
  <si>
    <r>
      <rPr>
        <sz val="12"/>
        <rFont val="Khmer OS Muol Light"/>
      </rPr>
      <t>សម្គាល់</t>
    </r>
    <r>
      <rPr>
        <b/>
        <sz val="12"/>
        <rFont val="Times New Roman"/>
        <family val="1"/>
      </rPr>
      <t xml:space="preserve">
GHI CHÚ</t>
    </r>
  </si>
  <si>
    <r>
      <rPr>
        <b/>
        <sz val="13"/>
        <rFont val="Khmer OS Muol Light"/>
      </rPr>
      <t>ល.រ</t>
    </r>
    <r>
      <rPr>
        <b/>
        <sz val="13"/>
        <rFont val="Times New Roman"/>
        <family val="1"/>
      </rPr>
      <t xml:space="preserve">
STT</t>
    </r>
  </si>
  <si>
    <r>
      <rPr>
        <b/>
        <sz val="12"/>
        <rFont val="Khmer OS Muol Light"/>
      </rPr>
      <t>បំណុល</t>
    </r>
    <r>
      <rPr>
        <b/>
        <sz val="11"/>
        <rFont val="Khmer OS Muol Light"/>
      </rPr>
      <t xml:space="preserve">/ </t>
    </r>
    <r>
      <rPr>
        <b/>
        <sz val="12"/>
        <rFont val="Khmer OS Muol Light"/>
      </rPr>
      <t>Công nợ</t>
    </r>
  </si>
  <si>
    <t xml:space="preserve">ភាគទានប្រាក់សោធន​​​/ BHXH </t>
  </si>
  <si>
    <t>ភាគទានប្រាក់សោធនវគ្គទី២​​​/ BHXH đợt 2</t>
  </si>
  <si>
    <r>
      <rPr>
        <b/>
        <sz val="11"/>
        <color indexed="8"/>
        <rFont val="Khmer OS Muol Light"/>
      </rPr>
      <t xml:space="preserve">អក្សរខ្មែរ
</t>
    </r>
    <r>
      <rPr>
        <sz val="11"/>
        <color indexed="8"/>
        <rFont val="Times New Roman"/>
        <family val="1"/>
      </rPr>
      <t xml:space="preserve"> </t>
    </r>
    <r>
      <rPr>
        <b/>
        <sz val="11"/>
        <color indexed="8"/>
        <rFont val="Times New Roman"/>
        <family val="1"/>
      </rPr>
      <t>(Khmer)</t>
    </r>
  </si>
  <si>
    <r>
      <rPr>
        <b/>
        <sz val="11"/>
        <color indexed="8"/>
        <rFont val="Khmer OS Muol Light"/>
      </rPr>
      <t>អក្សរ ឡាតាំង</t>
    </r>
    <r>
      <rPr>
        <sz val="11"/>
        <color indexed="8"/>
        <rFont val="Khmer OS Muol Light"/>
      </rPr>
      <t xml:space="preserve"> 
</t>
    </r>
    <r>
      <rPr>
        <b/>
        <sz val="11"/>
        <color indexed="8"/>
        <rFont val="Times New Roman"/>
        <family val="1"/>
      </rPr>
      <t>(La tinh)</t>
    </r>
  </si>
  <si>
    <r>
      <rPr>
        <b/>
        <sz val="12"/>
        <rFont val="Khmer OS Muol Light"/>
      </rPr>
      <t>ត្រកូល និង ឈ្មោះ</t>
    </r>
    <r>
      <rPr>
        <b/>
        <sz val="11"/>
        <rFont val="Khmer OS Muol Light"/>
      </rPr>
      <t xml:space="preserve"> 
</t>
    </r>
    <r>
      <rPr>
        <b/>
        <sz val="11"/>
        <rFont val="Times New Roman"/>
        <family val="1"/>
      </rPr>
      <t xml:space="preserve">/ </t>
    </r>
    <r>
      <rPr>
        <b/>
        <sz val="12"/>
        <rFont val="Times New Roman"/>
        <family val="1"/>
      </rPr>
      <t>Họ và tên</t>
    </r>
  </si>
  <si>
    <r>
      <rPr>
        <b/>
        <sz val="11"/>
        <color rgb="FF000000"/>
        <rFont val="Khmer OS Muol Light"/>
      </rPr>
      <t>លេខអត្តសញ្ញាណ​បណ្ណ</t>
    </r>
    <r>
      <rPr>
        <sz val="11"/>
        <color indexed="8"/>
        <rFont val="Khmer OS Muol Light"/>
      </rPr>
      <t xml:space="preserve">
</t>
    </r>
    <r>
      <rPr>
        <b/>
        <sz val="11"/>
        <color rgb="FF000000"/>
        <rFont val="Times New Roman"/>
        <family val="1"/>
      </rPr>
      <t>Số CMND</t>
    </r>
  </si>
  <si>
    <r>
      <rPr>
        <b/>
        <sz val="12"/>
        <rFont val="Khmer OS Muol Light"/>
      </rPr>
      <t>បទដ្ឋាន</t>
    </r>
    <r>
      <rPr>
        <b/>
        <sz val="11"/>
        <rFont val="Khmer OS Muol Light"/>
      </rPr>
      <t xml:space="preserve">
</t>
    </r>
    <r>
      <rPr>
        <b/>
        <sz val="12"/>
        <rFont val="Times New Roman"/>
        <family val="1"/>
      </rPr>
      <t>Định 
mức
 31.947 
Riel/
công</t>
    </r>
  </si>
  <si>
    <r>
      <t xml:space="preserve">កម្លាំង
</t>
    </r>
    <r>
      <rPr>
        <b/>
        <sz val="12"/>
        <rFont val="Times New Roman"/>
        <family val="1"/>
      </rPr>
      <t xml:space="preserve">Công </t>
    </r>
  </si>
  <si>
    <r>
      <t xml:space="preserve">ជាប្រាក់
</t>
    </r>
    <r>
      <rPr>
        <b/>
        <sz val="12"/>
        <rFont val="Times New Roman"/>
        <family val="1"/>
      </rPr>
      <t>Thành
 Tiền</t>
    </r>
  </si>
  <si>
    <r>
      <t xml:space="preserve">សរុប
</t>
    </r>
    <r>
      <rPr>
        <b/>
        <sz val="11"/>
        <rFont val="Times New Roman"/>
        <family val="1"/>
      </rPr>
      <t>Tổng lương</t>
    </r>
  </si>
  <si>
    <r>
      <t xml:space="preserve">បុរេប្រទាន
បៀវត្ស
</t>
    </r>
    <r>
      <rPr>
        <b/>
        <sz val="10"/>
        <rFont val="Times New Roman"/>
        <family val="1"/>
      </rPr>
      <t>T/ứ lương</t>
    </r>
  </si>
  <si>
    <r>
      <t>ពន្ធលើប្រាក់បៀវត្ស/</t>
    </r>
    <r>
      <rPr>
        <b/>
        <sz val="10"/>
        <rFont val="Times New Roman"/>
        <family val="1"/>
      </rPr>
      <t xml:space="preserve"> TNCN</t>
    </r>
  </si>
  <si>
    <r>
      <t xml:space="preserve">សរុបបំណុល
</t>
    </r>
    <r>
      <rPr>
        <b/>
        <sz val="11"/>
        <rFont val="Times New Roman"/>
        <family val="1"/>
      </rPr>
      <t>Tổng nợ</t>
    </r>
  </si>
  <si>
    <r>
      <t xml:space="preserve">ត្រូវទទួល
</t>
    </r>
    <r>
      <rPr>
        <b/>
        <sz val="11"/>
        <rFont val="Times New Roman"/>
        <family val="1"/>
      </rPr>
      <t>Thực nhận</t>
    </r>
  </si>
  <si>
    <r>
      <t xml:space="preserve">ហត្ថលេខាទទួល
</t>
    </r>
    <r>
      <rPr>
        <b/>
        <sz val="11"/>
        <color theme="1"/>
        <rFont val="Times New Roman"/>
        <family val="1"/>
      </rPr>
      <t>KÝ NHẬN</t>
    </r>
  </si>
  <si>
    <r>
      <t xml:space="preserve">ល.រ
</t>
    </r>
    <r>
      <rPr>
        <b/>
        <sz val="10"/>
        <rFont val="Times New Roman"/>
        <family val="1"/>
      </rPr>
      <t>STT</t>
    </r>
  </si>
  <si>
    <r>
      <t xml:space="preserve">ត្រកូលនិងឈ្មោះ
</t>
    </r>
    <r>
      <rPr>
        <b/>
        <sz val="12"/>
        <rFont val="Times New Roman"/>
        <family val="1"/>
      </rPr>
      <t>Họ và tên</t>
    </r>
  </si>
  <si>
    <r>
      <rPr>
        <b/>
        <sz val="10"/>
        <color rgb="FF000000"/>
        <rFont val="Khmer OS Muol Light"/>
      </rPr>
      <t>អក្សរខ្មែរ</t>
    </r>
    <r>
      <rPr>
        <sz val="10"/>
        <color rgb="FF000000"/>
        <rFont val="Khmer OS Muol Light"/>
      </rPr>
      <t xml:space="preserve"> </t>
    </r>
    <r>
      <rPr>
        <sz val="10"/>
        <color indexed="8"/>
        <rFont val="Khmer OS Muol Light"/>
      </rPr>
      <t xml:space="preserve">
</t>
    </r>
    <r>
      <rPr>
        <sz val="10"/>
        <color rgb="FF000000"/>
        <rFont val="Times New Roman"/>
        <family val="1"/>
      </rPr>
      <t>(Khmer)</t>
    </r>
  </si>
  <si>
    <r>
      <rPr>
        <b/>
        <sz val="11"/>
        <color rgb="FF000000"/>
        <rFont val="Khmer OS Muol Light"/>
      </rPr>
      <t>អក្សរ ឡាតាំង</t>
    </r>
    <r>
      <rPr>
        <b/>
        <sz val="11"/>
        <color indexed="8"/>
        <rFont val="Khmer OS Muol Light"/>
      </rPr>
      <t xml:space="preserve">
</t>
    </r>
    <r>
      <rPr>
        <sz val="11"/>
        <color indexed="8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(La tinh)</t>
    </r>
  </si>
  <si>
    <r>
      <t xml:space="preserve">ជ័រកិន 
</t>
    </r>
    <r>
      <rPr>
        <b/>
        <sz val="12"/>
        <rFont val="Times New Roman"/>
        <family val="1"/>
      </rPr>
      <t>(Làm mủ
 cán vắt)</t>
    </r>
  </si>
  <si>
    <r>
      <t xml:space="preserve">បរិមាណ
</t>
    </r>
    <r>
      <rPr>
        <b/>
        <sz val="10"/>
        <rFont val="Times New Roman"/>
        <family val="1"/>
      </rPr>
      <t xml:space="preserve">Khối 
lượng </t>
    </r>
  </si>
  <si>
    <r>
      <t xml:space="preserve">កម្លាំង
</t>
    </r>
    <r>
      <rPr>
        <b/>
        <sz val="10"/>
        <rFont val="Times New Roman"/>
        <family val="1"/>
      </rPr>
      <t>Công</t>
    </r>
  </si>
  <si>
    <r>
      <t xml:space="preserve">ជ័រសម្រេច 
</t>
    </r>
    <r>
      <rPr>
        <b/>
        <sz val="12"/>
        <rFont val="Times New Roman"/>
        <family val="1"/>
      </rPr>
      <t>(Làm mủ 
Thành phẩm)</t>
    </r>
  </si>
  <si>
    <r>
      <t xml:space="preserve">អ្នកធ្វើការមិនរើសមុខ 
</t>
    </r>
    <r>
      <rPr>
        <b/>
        <sz val="10"/>
        <rFont val="Times New Roman"/>
        <family val="1"/>
      </rPr>
      <t>(Tạp vụ)</t>
    </r>
  </si>
  <si>
    <r>
      <t xml:space="preserve">សន្ដិសុខការពារ​​​​​
</t>
    </r>
    <r>
      <rPr>
        <b/>
        <sz val="10"/>
        <rFont val="Times New Roman"/>
        <family val="1"/>
      </rPr>
      <t xml:space="preserve"> (Bảo vệ)</t>
    </r>
  </si>
  <si>
    <r>
      <t xml:space="preserve">អ្នកបើកឡាន 
</t>
    </r>
    <r>
      <rPr>
        <b/>
        <sz val="10"/>
        <rFont val="Times New Roman"/>
        <family val="1"/>
      </rPr>
      <t>(Tài xế)</t>
    </r>
  </si>
  <si>
    <r>
      <t xml:space="preserve">សម្អាត
</t>
    </r>
    <r>
      <rPr>
        <b/>
        <sz val="10"/>
        <rFont val="Times New Roman"/>
        <family val="1"/>
      </rPr>
      <t xml:space="preserve"> (Vệ sinh)</t>
    </r>
  </si>
  <si>
    <r>
      <t xml:space="preserve">កម្មករ មេកានិច
</t>
    </r>
    <r>
      <rPr>
        <b/>
        <sz val="10"/>
        <rFont val="Times New Roman"/>
        <family val="1"/>
      </rPr>
      <t xml:space="preserve"> (Công nhân 
cơ khí)</t>
    </r>
  </si>
  <si>
    <r>
      <t xml:space="preserve">កម្លាំងកាត់ស្មៅបាញ់ថ្នាំស្មៅ
; ពេលនាំចេញជ័រទៅលក់/ </t>
    </r>
    <r>
      <rPr>
        <b/>
        <sz val="10"/>
        <rFont val="Times New Roman"/>
        <family val="1"/>
      </rPr>
      <t>(Công phát cỏ, xịt cỏ; xuất hàng)</t>
    </r>
  </si>
  <si>
    <r>
      <t xml:space="preserve">សរុប
</t>
    </r>
    <r>
      <rPr>
        <b/>
        <sz val="10"/>
        <rFont val="Times New Roman"/>
        <family val="1"/>
      </rPr>
      <t>Tổng
  công</t>
    </r>
  </si>
  <si>
    <r>
      <t>1/ ប្រាក់បៀវត្សទី ១</t>
    </r>
    <r>
      <rPr>
        <sz val="12"/>
        <rFont val="Times New Roman"/>
        <family val="1"/>
      </rPr>
      <t xml:space="preserve"> (Tiền lương đợt 1) ៖</t>
    </r>
  </si>
  <si>
    <r>
      <t>2/ ប្រាក់បៀវត្សទី ២</t>
    </r>
    <r>
      <rPr>
        <sz val="12"/>
        <rFont val="Times New Roman"/>
        <family val="1"/>
      </rPr>
      <t xml:space="preserve"> (Tiền lương đợt 2) ៖</t>
    </r>
  </si>
  <si>
    <r>
      <t xml:space="preserve">1/ទូទាត់ប្រាក់បៀវត្សលើកទី ១ </t>
    </r>
    <r>
      <rPr>
        <sz val="12"/>
        <rFont val="Times New Roman"/>
        <family val="1"/>
      </rPr>
      <t>(Thanh toán lương đợt 1) ៖</t>
    </r>
  </si>
  <si>
    <r>
      <rPr>
        <sz val="11"/>
        <rFont val="Khmer OS Battambang"/>
      </rPr>
      <t xml:space="preserve">2/ </t>
    </r>
    <r>
      <rPr>
        <sz val="11"/>
        <rFont val="Khmer OS"/>
      </rPr>
      <t xml:space="preserve">ភាគទានប្រាក់សោធនវគ្គទី១​​​/ </t>
    </r>
    <r>
      <rPr>
        <sz val="11"/>
        <rFont val="Times New Roman"/>
        <family val="1"/>
      </rPr>
      <t>BHXH Đợt 1</t>
    </r>
  </si>
  <si>
    <r>
      <rPr>
        <b/>
        <u/>
        <sz val="12"/>
        <rFont val="Khmer OS Battambang"/>
      </rPr>
      <t xml:space="preserve">III/ </t>
    </r>
    <r>
      <rPr>
        <b/>
        <u/>
        <sz val="12"/>
        <rFont val="Khmer OS Muol Light"/>
      </rPr>
      <t>ប្រាក់ត្រូវប្រមូល</t>
    </r>
    <r>
      <rPr>
        <b/>
        <u/>
        <sz val="12"/>
        <rFont val="Times New Roman"/>
        <family val="1"/>
      </rPr>
      <t xml:space="preserve"> (Các khoản phải thu):</t>
    </r>
  </si>
  <si>
    <r>
      <rPr>
        <sz val="11"/>
        <rFont val="Khmer OS Battambang"/>
      </rPr>
      <t xml:space="preserve">2/ </t>
    </r>
    <r>
      <rPr>
        <sz val="11"/>
        <rFont val="Khmer OS"/>
      </rPr>
      <t xml:space="preserve">ភាគទានប្រាក់សោធនវគ្គទី២​​​/ </t>
    </r>
    <r>
      <rPr>
        <sz val="11"/>
        <rFont val="Times New Roman"/>
        <family val="1"/>
      </rPr>
      <t>BHXH Đợt 2</t>
    </r>
  </si>
  <si>
    <r>
      <rPr>
        <sz val="12"/>
        <rFont val="Khmer OS Battambang"/>
      </rPr>
      <t xml:space="preserve">3/ </t>
    </r>
    <r>
      <rPr>
        <sz val="12"/>
        <rFont val="Khmer OS"/>
      </rPr>
      <t>បុរេប្រទានផ្ទាល់ខ្លួន</t>
    </r>
    <r>
      <rPr>
        <sz val="12"/>
        <rFont val="Khmer OS Bokor"/>
      </rPr>
      <t xml:space="preserve"> </t>
    </r>
    <r>
      <rPr>
        <sz val="12"/>
        <rFont val="Times New Roman"/>
        <family val="1"/>
      </rPr>
      <t>(Tạm ứng cá nhân):</t>
    </r>
  </si>
  <si>
    <r>
      <rPr>
        <b/>
        <u/>
        <sz val="12"/>
        <rFont val="Khmer OS Battambang"/>
      </rPr>
      <t>IV/</t>
    </r>
    <r>
      <rPr>
        <b/>
        <u/>
        <sz val="12"/>
        <rFont val="Khmer OS Muol Light"/>
      </rPr>
      <t xml:space="preserve"> ប្រាក់ត្រូវទទួល</t>
    </r>
    <r>
      <rPr>
        <b/>
        <u/>
        <sz val="12"/>
        <rFont val="Times New Roman"/>
        <family val="1"/>
      </rPr>
      <t xml:space="preserve"> (Thực nhận):</t>
    </r>
  </si>
  <si>
    <r>
      <rPr>
        <sz val="12"/>
        <rFont val="Khmer OS Battambang"/>
      </rPr>
      <t xml:space="preserve">1/ </t>
    </r>
    <r>
      <rPr>
        <sz val="12"/>
        <rFont val="Khmer OS"/>
      </rPr>
      <t>ប្រាក់បៀវត្សត្រូវទទួល</t>
    </r>
    <r>
      <rPr>
        <sz val="12"/>
        <rFont val="Times New Roman"/>
        <family val="1"/>
      </rPr>
      <t xml:space="preserve"> (Tiền lương thực nhận):</t>
    </r>
  </si>
  <si>
    <t>សាញ់ ខុម</t>
  </si>
  <si>
    <t>SANH KHOM</t>
  </si>
  <si>
    <t xml:space="preserve">ត្រកូលនិងឈ្មោះ
</t>
  </si>
  <si>
    <t>HỌ VÀ TÊN</t>
  </si>
  <si>
    <r>
      <rPr>
        <b/>
        <sz val="11"/>
        <color indexed="8"/>
        <rFont val="Times New Roman"/>
        <family val="1"/>
      </rPr>
      <t>ថ្ងៃខែឆ្នាំកំណើត</t>
    </r>
    <r>
      <rPr>
        <sz val="11"/>
        <color indexed="8"/>
        <rFont val="Times New Roman"/>
        <family val="1"/>
      </rPr>
      <t xml:space="preserve">
Năm sinh</t>
    </r>
  </si>
  <si>
    <t xml:space="preserve">អង្គភាពអនុវត្ត </t>
  </si>
  <si>
    <t>ĐƠN VỊ THỰC HIỆN</t>
  </si>
  <si>
    <t>លាងសម្អាតធុងសម្ងួតជ័រ/ vệ sinh thùng sấy mủ</t>
  </si>
  <si>
    <r>
      <rPr>
        <b/>
        <sz val="12"/>
        <rFont val="Khmer OS Muol Light"/>
      </rPr>
      <t>សរុប</t>
    </r>
    <r>
      <rPr>
        <b/>
        <sz val="12"/>
        <rFont val="Times New Roman"/>
        <family val="1"/>
      </rPr>
      <t xml:space="preserve">
TỔNG CỘNG </t>
    </r>
  </si>
  <si>
    <r>
      <rPr>
        <b/>
        <sz val="9"/>
        <rFont val="Khmer OS Muol Light"/>
      </rPr>
      <t>សរុប</t>
    </r>
    <r>
      <rPr>
        <b/>
        <sz val="9"/>
        <rFont val="Times New Roman"/>
        <family val="1"/>
      </rPr>
      <t xml:space="preserve">
TỔNG CỘNG </t>
    </r>
  </si>
  <si>
    <r>
      <rPr>
        <b/>
        <sz val="10"/>
        <rFont val="Khmer OS Muol Light"/>
      </rPr>
      <t>សរុប</t>
    </r>
    <r>
      <rPr>
        <b/>
        <sz val="10"/>
        <rFont val="Times New Roman"/>
        <family val="1"/>
      </rPr>
      <t xml:space="preserve">
TỔNG CỘNG </t>
    </r>
  </si>
  <si>
    <r>
      <t xml:space="preserve">រោងចក្រកែច្នៃ / </t>
    </r>
    <r>
      <rPr>
        <b/>
        <sz val="12"/>
        <color theme="1"/>
        <rFont val="Times New Roman"/>
        <family val="1"/>
      </rPr>
      <t>XƯỞNG CHẾ BIẾN</t>
    </r>
  </si>
  <si>
    <r>
      <t xml:space="preserve">អ្នករៀបចំ / </t>
    </r>
    <r>
      <rPr>
        <b/>
        <sz val="12"/>
        <color theme="1"/>
        <rFont val="Times New Roman"/>
        <family val="1"/>
      </rPr>
      <t>Lập biểu</t>
    </r>
  </si>
  <si>
    <t>ម៉ុន ម៉ោល</t>
  </si>
  <si>
    <t>MON MORL</t>
  </si>
  <si>
    <t>កែវ ប្រុសសុទ្ធ</t>
  </si>
  <si>
    <t>KEO BROSSOTH</t>
  </si>
  <si>
    <t>ទៀង ចាន់ថា</t>
  </si>
  <si>
    <t>TIENG CHANTHA</t>
  </si>
  <si>
    <t xml:space="preserve">កិក រក្សា </t>
  </si>
  <si>
    <t>KEK REAKSA</t>
  </si>
  <si>
    <t>ផាត ចាន់លី</t>
  </si>
  <si>
    <t>PHAT CHANLY</t>
  </si>
  <si>
    <r>
      <rPr>
        <sz val="10"/>
        <rFont val="Khmer OS Muol Light"/>
      </rPr>
      <t>ល.រ</t>
    </r>
    <r>
      <rPr>
        <b/>
        <sz val="10"/>
        <rFont val="Khmer OS Muol Light"/>
      </rPr>
      <t xml:space="preserve">
</t>
    </r>
    <r>
      <rPr>
        <b/>
        <sz val="10"/>
        <rFont val="Times New Roman"/>
        <family val="1"/>
      </rPr>
      <t>STT</t>
    </r>
  </si>
  <si>
    <r>
      <rPr>
        <sz val="10"/>
        <rFont val="Khmer OS Muol Light"/>
      </rPr>
      <t xml:space="preserve">រាយនាមការងារ/ </t>
    </r>
    <r>
      <rPr>
        <b/>
        <sz val="10"/>
        <rFont val="Times New Roman"/>
        <family val="1"/>
      </rPr>
      <t>Hạng mục công việc</t>
    </r>
  </si>
  <si>
    <r>
      <rPr>
        <sz val="10"/>
        <rFont val="Khmer OS Muol Light"/>
      </rPr>
      <t>ឯកតា</t>
    </r>
    <r>
      <rPr>
        <b/>
        <sz val="10"/>
        <rFont val="Khmer OS Muol Light"/>
      </rPr>
      <t xml:space="preserve">
</t>
    </r>
    <r>
      <rPr>
        <b/>
        <sz val="10"/>
        <rFont val="Times New Roman"/>
        <family val="1"/>
      </rPr>
      <t>ĐVT</t>
    </r>
  </si>
  <si>
    <r>
      <rPr>
        <sz val="10"/>
        <rFont val="Khmer OS Muol Light"/>
      </rPr>
      <t>កម្រិត</t>
    </r>
    <r>
      <rPr>
        <b/>
        <sz val="10"/>
        <rFont val="Khmer OS Muol Light"/>
      </rPr>
      <t xml:space="preserve">
</t>
    </r>
    <r>
      <rPr>
        <b/>
        <sz val="10"/>
        <rFont val="Times New Roman"/>
        <family val="1"/>
      </rPr>
      <t>Định mức</t>
    </r>
  </si>
  <si>
    <r>
      <t>អនុវត្ត/</t>
    </r>
    <r>
      <rPr>
        <b/>
        <sz val="10"/>
        <rFont val="Times New Roman"/>
        <family val="1"/>
      </rPr>
      <t>THỰC HIỆN</t>
    </r>
  </si>
  <si>
    <r>
      <rPr>
        <sz val="10"/>
        <rFont val="Khmer OS Muol Light"/>
      </rPr>
      <t xml:space="preserve">សម្គាល់/ </t>
    </r>
    <r>
      <rPr>
        <b/>
        <sz val="10"/>
        <rFont val="Times New Roman"/>
        <family val="1"/>
      </rPr>
      <t>Ghi chú</t>
    </r>
  </si>
  <si>
    <t>Đợt 1</t>
  </si>
  <si>
    <r>
      <rPr>
        <sz val="10"/>
        <rFont val="Khmer OS Muol Light"/>
      </rPr>
      <t xml:space="preserve">បរិមាណ/ </t>
    </r>
    <r>
      <rPr>
        <b/>
        <sz val="10"/>
        <rFont val="Times New Roman"/>
        <family val="1"/>
      </rPr>
      <t>Khối lượng</t>
    </r>
    <r>
      <rPr>
        <b/>
        <sz val="10"/>
        <rFont val="Khmer OS Muol Light"/>
      </rPr>
      <t xml:space="preserve"> </t>
    </r>
  </si>
  <si>
    <r>
      <rPr>
        <sz val="10"/>
        <rFont val="Khmer OS Muol Light"/>
      </rPr>
      <t xml:space="preserve">កម្លាំង / </t>
    </r>
    <r>
      <rPr>
        <b/>
        <sz val="10"/>
        <rFont val="Times New Roman"/>
        <family val="1"/>
      </rPr>
      <t>Công</t>
    </r>
  </si>
  <si>
    <t>BC hàng ngày</t>
  </si>
  <si>
    <r>
      <t xml:space="preserve">ជ័រកិន </t>
    </r>
    <r>
      <rPr>
        <sz val="13"/>
        <rFont val="Times New Roman"/>
        <family val="1"/>
      </rPr>
      <t>/Mủ cán vắt ( Gồm phụ cấp phụ trợ trực tiếp 10%)</t>
    </r>
  </si>
  <si>
    <r>
      <t xml:space="preserve">តោន </t>
    </r>
    <r>
      <rPr>
        <sz val="13"/>
        <rFont val="Times New Roman"/>
        <family val="1"/>
      </rPr>
      <t>(Tấn)</t>
    </r>
  </si>
  <si>
    <r>
      <t>ជ័រសម្រេច/</t>
    </r>
    <r>
      <rPr>
        <sz val="13"/>
        <rFont val="Times New Roman"/>
        <family val="1"/>
      </rPr>
      <t>Mủ Thành phẩm  (Gồm phụ cấp phụ trợ trực tiếp 15%)</t>
    </r>
  </si>
  <si>
    <r>
      <rPr>
        <sz val="12"/>
        <rFont val="Khmer OS Battambang"/>
      </rPr>
      <t xml:space="preserve">សន្ដិសុខការពារ​​​​​ </t>
    </r>
    <r>
      <rPr>
        <sz val="12"/>
        <rFont val="Times New Roman"/>
        <family val="1"/>
      </rPr>
      <t>(Bảo vệ)</t>
    </r>
  </si>
  <si>
    <r>
      <rPr>
        <sz val="13"/>
        <rFont val="Khmer OS Battambang"/>
      </rPr>
      <t>កម្លាំង</t>
    </r>
    <r>
      <rPr>
        <sz val="13"/>
        <rFont val="Times New Roman"/>
        <family val="1"/>
      </rPr>
      <t xml:space="preserve"> (Công)</t>
    </r>
  </si>
  <si>
    <t>+</t>
  </si>
  <si>
    <r>
      <rPr>
        <i/>
        <sz val="12"/>
        <rFont val="Khmer OS Battambang"/>
      </rPr>
      <t xml:space="preserve">សន្ដិសុខការពារ​​​​​ </t>
    </r>
    <r>
      <rPr>
        <i/>
        <sz val="12"/>
        <rFont val="Times New Roman"/>
        <family val="1"/>
      </rPr>
      <t>(Bảo vệ)</t>
    </r>
  </si>
  <si>
    <r>
      <t xml:space="preserve">ថ្ងៃ </t>
    </r>
    <r>
      <rPr>
        <i/>
        <sz val="13"/>
        <rFont val="Times New Roman"/>
        <family val="1"/>
      </rPr>
      <t>(Ngày)</t>
    </r>
  </si>
  <si>
    <t>1 người</t>
  </si>
  <si>
    <r>
      <rPr>
        <i/>
        <sz val="12"/>
        <rFont val="Khmer OS Battambang"/>
      </rPr>
      <t xml:space="preserve">សន្ដិសុខការពារ​​​​​ </t>
    </r>
    <r>
      <rPr>
        <i/>
        <sz val="12"/>
        <rFont val="Times New Roman"/>
        <family val="1"/>
      </rPr>
      <t>(Bảo vệ biết TV)</t>
    </r>
  </si>
  <si>
    <r>
      <rPr>
        <sz val="12"/>
        <rFont val="Khmer OS Battambang"/>
      </rPr>
      <t>កម្មករ មេកានិច (</t>
    </r>
    <r>
      <rPr>
        <sz val="12"/>
        <rFont val="Times New Roman"/>
        <family val="1"/>
      </rPr>
      <t>Công nhân cơ khí)</t>
    </r>
  </si>
  <si>
    <t>2 người</t>
  </si>
  <si>
    <r>
      <t xml:space="preserve">អ្នកបើកឡាន </t>
    </r>
    <r>
      <rPr>
        <sz val="12"/>
        <color indexed="8"/>
        <rFont val="Times New Roman"/>
        <family val="1"/>
      </rPr>
      <t>(Tài xế)</t>
    </r>
  </si>
  <si>
    <t>4 người</t>
  </si>
  <si>
    <r>
      <t xml:space="preserve">សម្អាត </t>
    </r>
    <r>
      <rPr>
        <sz val="12"/>
        <rFont val="Times New Roman"/>
        <family val="1"/>
      </rPr>
      <t>(Vệ sinh)</t>
    </r>
  </si>
  <si>
    <t>អ្នកធ្វើការមិនរើសមុខ (Tạp vụ)</t>
  </si>
  <si>
    <r>
      <t xml:space="preserve">កម្លាំងលើកជញ្ជូន </t>
    </r>
    <r>
      <rPr>
        <sz val="12"/>
        <rFont val="Times New Roman"/>
        <family val="1"/>
      </rPr>
      <t>(Công khác)</t>
    </r>
  </si>
  <si>
    <t>8.1</t>
  </si>
  <si>
    <t>8.3</t>
  </si>
  <si>
    <t>8.4</t>
  </si>
  <si>
    <r>
      <rPr>
        <sz val="13"/>
        <rFont val="Khmer OS Battambang"/>
      </rPr>
      <t xml:space="preserve">កេះ </t>
    </r>
    <r>
      <rPr>
        <sz val="13"/>
        <rFont val="Times New Roman"/>
        <family val="1"/>
      </rPr>
      <t>(Thùng)</t>
    </r>
  </si>
  <si>
    <r>
      <rPr>
        <sz val="13"/>
        <rFont val="Khmer OS Muol Light"/>
      </rPr>
      <t>សរុប</t>
    </r>
    <r>
      <rPr>
        <b/>
        <sz val="13"/>
        <rFont val="Times New Roman"/>
        <family val="1"/>
      </rPr>
      <t>/Tổng cộng</t>
    </r>
  </si>
  <si>
    <t xml:space="preserve">      អ្នករៀបចំ / Lập biểu      </t>
  </si>
  <si>
    <t>អង្គភាពអនុវត្ត /ĐƠN VỊ THỰC HIỆN</t>
  </si>
  <si>
    <t xml:space="preserve"> PHÒNG TCKT  </t>
  </si>
  <si>
    <r>
      <t xml:space="preserve">ហត្ថលេខា
</t>
    </r>
    <r>
      <rPr>
        <b/>
        <sz val="10"/>
        <rFont val="Times New Roman"/>
        <family val="1"/>
      </rPr>
      <t>KÝ  TÊN</t>
    </r>
  </si>
  <si>
    <t>មាស ស៊ីន​</t>
  </si>
  <si>
    <t>MEAS SIN</t>
  </si>
  <si>
    <r>
      <rPr>
        <sz val="10"/>
        <rFont val="Khmer OS Muol Light"/>
      </rPr>
      <t>សម្គាល់</t>
    </r>
    <r>
      <rPr>
        <b/>
        <sz val="10"/>
        <rFont val="Times New Roman"/>
        <family val="1"/>
      </rPr>
      <t xml:space="preserve">
GHI 
CHÚ</t>
    </r>
  </si>
  <si>
    <t>8.2</t>
  </si>
  <si>
    <t>BẢNG TỔNG HỢP KHỐI LƯỢNG (ĐỢT 1)</t>
  </si>
  <si>
    <t>តារាងបរិមាណកម្មករ រោងចក្រកែច្នៃជ័រកៅស៊ូ ខែ ១២ ឆ្នាំ ២០២៥</t>
  </si>
  <si>
    <r>
      <t xml:space="preserve">ជ័រកិន </t>
    </r>
    <r>
      <rPr>
        <sz val="13"/>
        <rFont val="Times New Roman"/>
        <family val="1"/>
      </rPr>
      <t>/Mủ cán vắt 
( Gồm phụ cấp phụ trợ trực tiếp 10%)</t>
    </r>
  </si>
  <si>
    <r>
      <t>ជ័រសម្រេច/</t>
    </r>
    <r>
      <rPr>
        <sz val="13"/>
        <rFont val="Times New Roman"/>
        <family val="1"/>
      </rPr>
      <t>Mủ Thành phẩm
(Gồm phụ cấp phụ trợ trực tiếp 15%)</t>
    </r>
  </si>
  <si>
    <t xml:space="preserve">DOU DIN </t>
  </si>
  <si>
    <t>ឌូ ឌីន</t>
  </si>
  <si>
    <t>សាមសិបប្រាំបួនលាន ប្រាំម៉ឺន ប្រាំពីរពាន់ ប្រាំរយ ហាសិបបួន រៀល</t>
  </si>
  <si>
    <t>( Bằng chữ: Ba mươi chín triệu không trăm năm mươi bảy nghìn năm trăm năm mươi bốn riel)</t>
  </si>
  <si>
    <r>
      <t>បៀវត្សថ្ងៃធម្មតា
 វគ្គទី​​​២</t>
    </r>
    <r>
      <rPr>
        <sz val="11"/>
        <rFont val="Khmer OS Muol Light"/>
      </rPr>
      <t xml:space="preserve">
</t>
    </r>
    <r>
      <rPr>
        <b/>
        <sz val="13"/>
        <rFont val="Times New Roman"/>
        <family val="1"/>
      </rPr>
      <t xml:space="preserve">Lương ngày </t>
    </r>
  </si>
  <si>
    <r>
      <rPr>
        <b/>
        <sz val="10"/>
        <rFont val="Khmer OS Muol Light"/>
      </rPr>
      <t xml:space="preserve">បៀវត្សថ្ងៃធម្មតា 
</t>
    </r>
    <r>
      <rPr>
        <b/>
        <sz val="10"/>
        <color rgb="FFFF0000"/>
        <rFont val="Khmer OS Muol Light"/>
      </rPr>
      <t>វគ្គទី១</t>
    </r>
    <r>
      <rPr>
        <sz val="11"/>
        <rFont val="Khmer OS Muol Light"/>
      </rPr>
      <t xml:space="preserve">
</t>
    </r>
    <r>
      <rPr>
        <b/>
        <sz val="13"/>
        <rFont val="Times New Roman"/>
        <family val="1"/>
      </rPr>
      <t xml:space="preserve">Lương ngày </t>
    </r>
  </si>
  <si>
    <r>
      <t xml:space="preserve">ភាគទានប្រាក់សោធនវគ្គទី១​​​/ </t>
    </r>
    <r>
      <rPr>
        <b/>
        <sz val="10"/>
        <rFont val="Times New Roman"/>
        <family val="1"/>
      </rPr>
      <t xml:space="preserve">BHXH
</t>
    </r>
    <r>
      <rPr>
        <b/>
        <sz val="11"/>
        <rFont val="Times New Roman"/>
        <family val="1"/>
      </rPr>
      <t xml:space="preserve"> đợt 1</t>
    </r>
  </si>
  <si>
    <t>ស៊ុត លី</t>
  </si>
  <si>
    <t>SOTLY</t>
  </si>
  <si>
    <t>តារាងបែងចែកបរិមាណ កម្មករធើ្វជ័រកិនរមូរ ក្រុម ១</t>
  </si>
  <si>
    <t xml:space="preserve">តារាងបែងចែកបរិមាណ កម្មករធើ្វជ័រកិនរមូរ ក្រុម ២ </t>
  </si>
  <si>
    <t>តារាងបែងចែកបរិមាណ កម្មករធើ្វជ័រកិន ក្រុម ១ (ផលិតផលសម្រេច)</t>
  </si>
  <si>
    <t>BẢNG PHÂN CHIA KHỐI LƯỢNG CÔNG NHÂN LÀM MỦ CÁN VẮT  (TỔ 1 -TP)</t>
  </si>
  <si>
    <t>តារាងបែងចែកបរិមាណ កម្មករធើ្វជ័រកិន ក្រុម ២ (ផលិតផលសម្រេច)</t>
  </si>
  <si>
    <t>BẢNG PHÂN CHIA KHỐI LƯỢNG CÔNG NHÂN LÀM MỦ CÁN VẮT  (TỔ 2 -TP)</t>
  </si>
  <si>
    <t>BẢNG PHÂN CHIA KHỐI LƯỢNG CÔNG NHÂN LÀM MỦ THÀNH PHẨM  TỔ 1</t>
  </si>
  <si>
    <t>BẢNG PHÂN CHIA KHỐI LƯỢNG CÔNG NHÂN LÀM MỦ THÀNH PHẨM  TỔ 2</t>
  </si>
  <si>
    <t>NGÀY​​​​ 01 ĐẾN 15 THÁNG 01 NĂM 2026</t>
  </si>
  <si>
    <t>ថ្លឹង កៅស៊ូ ប៉េអឺ ដើម្បីធើ្វសារពើភ័ណ្ឌ ថ្ងៃ ៣១/១២/២០២៥/
Cân thảm kiểm kê VT</t>
  </si>
  <si>
    <t xml:space="preserve">Vệ sinh thùng, </t>
  </si>
  <si>
    <t xml:space="preserve">តារាងទូទាត់បៀវត្សកម្មកររោងចក្រកែច្នៃជ័រកៅស៊ូ ខែ ០១  ឆ្នាំ ២០២៦ </t>
  </si>
  <si>
    <t>I/ សរុបបៀវត្សខែ ០១/២០២៦ (Tổng lương tháng 01/2026):</t>
  </si>
  <si>
    <r>
      <rPr>
        <b/>
        <u/>
        <sz val="12"/>
        <rFont val="Khmer OS Battambang"/>
      </rPr>
      <t xml:space="preserve">I/ </t>
    </r>
    <r>
      <rPr>
        <b/>
        <u/>
        <sz val="12"/>
        <rFont val="Khmer OS Moul Light"/>
        <charset val="163"/>
      </rPr>
      <t>សរុបបៀវត្សខែ ០១/២០២៦</t>
    </r>
    <r>
      <rPr>
        <b/>
        <u/>
        <sz val="12"/>
        <rFont val="Khmer OS Muol Light"/>
      </rPr>
      <t xml:space="preserve"> </t>
    </r>
    <r>
      <rPr>
        <b/>
        <u/>
        <sz val="12"/>
        <rFont val="Calibri Light"/>
        <family val="2"/>
        <scheme val="major"/>
      </rPr>
      <t>(Tổng lương tháng 01/2026):</t>
    </r>
  </si>
  <si>
    <r>
      <t xml:space="preserve">កំពង់ធំ, ថ្ងៃ </t>
    </r>
    <r>
      <rPr>
        <i/>
        <sz val="12"/>
        <rFont val="Tui"/>
      </rPr>
      <t xml:space="preserve">(ngày) </t>
    </r>
    <r>
      <rPr>
        <i/>
        <sz val="12"/>
        <rFont val="Khmer OS Battambang"/>
      </rPr>
      <t xml:space="preserve"> 15 ខែ </t>
    </r>
    <r>
      <rPr>
        <i/>
        <sz val="12"/>
        <rFont val="Times New Roman"/>
        <family val="1"/>
      </rPr>
      <t xml:space="preserve">(tháng) 01 </t>
    </r>
    <r>
      <rPr>
        <i/>
        <sz val="12"/>
        <rFont val="Khmer OS Battambang"/>
      </rPr>
      <t xml:space="preserve">ឆ្នាំ </t>
    </r>
    <r>
      <rPr>
        <i/>
        <sz val="12"/>
        <rFont val="Times New Roman"/>
        <family val="1"/>
      </rPr>
      <t>(năm)</t>
    </r>
    <r>
      <rPr>
        <i/>
        <sz val="12"/>
        <rFont val="Khmer OS Battambang"/>
      </rPr>
      <t xml:space="preserve">  2026</t>
    </r>
  </si>
  <si>
    <t xml:space="preserve"> ប្ដូរតែម/Thay tem nhãn</t>
  </si>
  <si>
    <t>កាត់ស្មៅ ពន្លត់អគ្គីភ័យ/Phát cỏ phòng chống cháy</t>
  </si>
  <si>
    <t>ប្រាក់ថ្ងៃបុណ្យចូលឆ្នាំសកល (Tiền  lễ dương lịch 1/1/2026)</t>
  </si>
  <si>
    <t>8.5</t>
  </si>
  <si>
    <t xml:space="preserve">ថ្ងៃ ១៦-៣១ ខែ ០១ ឆ្នាំ ២០២៦ </t>
  </si>
  <si>
    <t xml:space="preserve">តារាងវត្តមានកម្មកររោងចក្រកែច្នៃជ័រកៅស៊ូ
</t>
  </si>
  <si>
    <t>BẢNG CHẤM CÔNG CÔNG NHÂN XƯỞNG CHẾ BIẾN</t>
  </si>
  <si>
    <t>NGÀY 16  ĐẾN ​31 THÁNG 01 NĂM 2026 (ĐỢT 2)</t>
  </si>
  <si>
    <t>ប្រាក់ថ្ងៃបុណ្យភ្ជុំបិណ្ឌ (Tiền  lễ dương lịch 1/1/2026)</t>
  </si>
  <si>
    <t>IX</t>
  </si>
  <si>
    <t xml:space="preserve">Phát cỏ phòng chống cháy, </t>
  </si>
  <si>
    <t>XI</t>
  </si>
  <si>
    <t>Thay tem nhãn</t>
  </si>
  <si>
    <t>បៀវត្សកម្មកររោងចក្រកែច្នៃជ័រកៅស៊ូ ខែ ០១ ឆ្នាំ​ ២០២៦ (វគ្គទី២)</t>
  </si>
  <si>
    <t>LƯƠNG CÔNG NHÂN XƯỞNG CHẾ BIẾN THÁNG 01 NĂM 2026 (ĐỢT 2)</t>
  </si>
  <si>
    <r>
      <rPr>
        <i/>
        <sz val="12"/>
        <rFont val="Khmer OS"/>
      </rPr>
      <t>កំពង់ធំ, ថ្ងៃ</t>
    </r>
    <r>
      <rPr>
        <i/>
        <sz val="12"/>
        <rFont val="Times New Roman"/>
        <family val="1"/>
      </rPr>
      <t xml:space="preserve"> (ngày) 31</t>
    </r>
    <r>
      <rPr>
        <i/>
        <sz val="12"/>
        <rFont val="Khmer OS"/>
      </rPr>
      <t xml:space="preserve"> ខែ </t>
    </r>
    <r>
      <rPr>
        <i/>
        <sz val="12"/>
        <rFont val="Times New Roman"/>
        <family val="1"/>
      </rPr>
      <t xml:space="preserve">(tháng) 01 </t>
    </r>
    <r>
      <rPr>
        <i/>
        <sz val="12"/>
        <rFont val="Khmer OS"/>
      </rPr>
      <t xml:space="preserve">ឆ្នាំ </t>
    </r>
    <r>
      <rPr>
        <i/>
        <sz val="12"/>
        <rFont val="Times New Roman"/>
        <family val="1"/>
      </rPr>
      <t>(năm)  2026</t>
    </r>
  </si>
  <si>
    <t>កំពង់ធំ, ថ្ងៃ (ngày)  31 ខែ (tháng) 01 ឆ្នាំ (năm)  2026</t>
  </si>
  <si>
    <t>SOT​ LY</t>
  </si>
  <si>
    <t>តារាងបែងចែកប្រាក់បៀវត្សកម្មករ​រោងចក្រកែច្នៃជ័រកៅស៊ូខែ ០១ ឆ្នាំ​ ២០២៦(វគ្គទី ២)</t>
  </si>
  <si>
    <t>BẢNG PHÂN TOÁN  LƯƠNG CÔNG NHÂN XƯỞNG CHẾ BIẾN THÁNG 01 NĂM 2026​​​ ( ĐỢT 2)</t>
  </si>
  <si>
    <t>ថ្ងៃ ១៦ ដល់ ៣១ ខែ ០១ ឆ្នាំ ២០២៦ (វគ្គទី ២)</t>
  </si>
  <si>
    <t>តារាងបូកសរុបបរិមាណ​ ចាប់ពីថ្ងៃ ០១-១៥ ខែ ០១ ឆ្នាំ ២០២៦ (វគ្គទី ១)</t>
  </si>
  <si>
    <t xml:space="preserve"> ចាប់ពីថ្ងៃ ០១-១៥ ខែ ១ ឆ្នាំ ២០២៦ (វគ្គទី ២)</t>
  </si>
  <si>
    <t>BẢNG KHỐI LƯỢNG CÔNG NHÂN XƯỞNG CHẾ BIẾN THÁNG 1 NĂM 2026</t>
  </si>
  <si>
    <t xml:space="preserve"> TỪ NGÀY 16-31 THÁNG 1 NĂM 2026 (ĐỢT 2)</t>
  </si>
  <si>
    <t xml:space="preserve"> ចាប់ពីថ្ងៃ ១៦-៣១ ខែ ០១ ឆ្នាំ ២០២៦ (វគ្គទី ២)</t>
  </si>
  <si>
    <t>BẢNG THANH TOÁN LƯƠNG CÔNG NHÂN XƯỞNG CHẾ BIẾN THÁNG 01 NĂM 2026​​ (ĐỢT 2)</t>
  </si>
  <si>
    <t xml:space="preserve"> TỪ NGÀY 16-31 THÁNG​ 01 NĂM 2026 </t>
  </si>
  <si>
    <t>Công việc</t>
  </si>
  <si>
    <t>Chế biến mủ cao su ( cán vắt + Thành phẩm)</t>
  </si>
  <si>
    <t>Bảo vệ XCB</t>
  </si>
  <si>
    <t>Cơ khí, sửa chữa trực tiếp XCB</t>
  </si>
  <si>
    <t>Lái xe xúc, nâng trực tiếp XCB</t>
  </si>
  <si>
    <t>Vệ sinh công nghiệp, vệ sinh xung quanh nơi làm việc trực tiếp XCB</t>
  </si>
  <si>
    <t>Tạp vụ, nấu ăn cấp dưỡng trực tiếp XCB</t>
  </si>
  <si>
    <t>Tổng lương trả trong tháng bao gồm phụ cấp (riel)</t>
  </si>
  <si>
    <t xml:space="preserve"> ចាប់ពីថ្ងៃ ១៦ឥ៣១ ខែ ០១ ឆ្នាំ ២០២៦ (វគ្គទី ២)</t>
  </si>
  <si>
    <t>BẢNG KHỐI LƯỢNG CÔNG NHÂN XƯỞNG CHẾ BIẾN THÁNG 01 NĂM 2026</t>
  </si>
  <si>
    <t xml:space="preserve"> TỪ NGÀY 16-31 THÁNG 01 NĂM 2026 (ĐỢT 2)</t>
  </si>
  <si>
    <t>Mì gạo dầu ăn
(riel)</t>
  </si>
  <si>
    <t>សែសិបប្រាំបីលាន ប្រាំរយប្រាំបីពាន់ បីរយម្ភៃប្រាំ រៀលគត់។</t>
  </si>
  <si>
    <t>( Bằng chữ: Bốn mươi tám triệu, năm trăm lẻ tám nghìn ba trăm hai mươi lăm riel)</t>
  </si>
  <si>
    <t>សែសិបប្រាំពីរលាន សូន្យរយដប់ប្រាំពីរពាន់ ប្រាំពីររយហាសិបប្រាំរៀលគត។</t>
  </si>
  <si>
    <t>( Bằng chữ:  Bốn mươi bảy triệu không trăm mươi bảy nghìn bảy trăm năm mươi lăm riel)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</si>
</sst>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_-* #,##0.00\ _₫_-;\-* #,##0.00\ _₫_-;_-* &quot;-&quot;??\ _₫_-;_-@_-"/>
    <numFmt numFmtId="165" formatCode="_-* #,##0.00_-;\-* #,##0.00_-;_-* &quot;-&quot;??_-;_-@_-"/>
    <numFmt numFmtId="166" formatCode="#,##0.0"/>
    <numFmt numFmtId="167" formatCode="#,##0.0000"/>
    <numFmt numFmtId="168" formatCode="0.0"/>
    <numFmt numFmtId="169" formatCode="#,##0.000"/>
    <numFmt numFmtId="170" formatCode="0.000"/>
    <numFmt numFmtId="171" formatCode="#,##0.000_ ;\-#,##0.000\ "/>
    <numFmt numFmtId="172" formatCode="#,##0_ ;\-#,##0\ "/>
    <numFmt numFmtId="173" formatCode="_(* #,##0_);_(* \(#,##0\);_(* &quot;-&quot;??_);_(@_)"/>
    <numFmt numFmtId="174" formatCode="_(* #,##0.0_);_(* \(#,##0.0\);_(* &quot;-&quot;??_);_(@_)"/>
  </numFmts>
  <fonts count="197">
    <font>
      <sz val="11"/>
      <color theme="1"/>
      <name val="Arial"/>
      <charset val="134"/>
    </font>
    <font>
      <sz val="16"/>
      <name val="Khmer OS Muol Light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Khmer OS Muol Light"/>
    </font>
    <font>
      <sz val="12"/>
      <color theme="1"/>
      <name val="Khmer OS Muol Light"/>
    </font>
    <font>
      <b/>
      <sz val="12"/>
      <color theme="1"/>
      <name val="Times New Roman"/>
      <family val="1"/>
    </font>
    <font>
      <sz val="13"/>
      <color theme="1"/>
      <name val="Khmer OS Muol Light"/>
    </font>
    <font>
      <sz val="11"/>
      <color theme="1"/>
      <name val="Khmer OS Muol Light"/>
    </font>
    <font>
      <b/>
      <sz val="11"/>
      <color theme="1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20"/>
      <name val="Khmer OS Muol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Khmer OS Muol Light"/>
    </font>
    <font>
      <sz val="12"/>
      <color theme="1"/>
      <name val="Khmer OS Battambang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sz val="10"/>
      <color theme="1"/>
      <name val="Khmer OS Battambang"/>
    </font>
    <font>
      <sz val="10"/>
      <color theme="1"/>
      <name val="Times New Roman"/>
      <family val="1"/>
    </font>
    <font>
      <sz val="11"/>
      <color theme="1"/>
      <name val="Khmer OS Battambang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sz val="8"/>
      <color rgb="FFFF0000"/>
      <name val="Times New Roman"/>
      <family val="1"/>
    </font>
    <font>
      <sz val="11"/>
      <color rgb="FF081B3A"/>
      <name val="Times New Roman"/>
      <family val="1"/>
    </font>
    <font>
      <sz val="10"/>
      <color rgb="FF081B3A"/>
      <name val="Segoe UI"/>
      <family val="2"/>
    </font>
    <font>
      <sz val="14"/>
      <color rgb="FFFF0000"/>
      <name val="Times New Roman"/>
      <family val="1"/>
    </font>
    <font>
      <sz val="11"/>
      <name val="Khmer OS Battambang"/>
    </font>
    <font>
      <sz val="11"/>
      <name val="Times New Roman"/>
      <family val="1"/>
    </font>
    <font>
      <sz val="13"/>
      <name val="Khmer OS Muol Light"/>
    </font>
    <font>
      <b/>
      <i/>
      <sz val="12"/>
      <name val="Khmer OS Muol Light"/>
    </font>
    <font>
      <b/>
      <sz val="10"/>
      <name val="Khmer OS Muol Light"/>
    </font>
    <font>
      <b/>
      <sz val="12"/>
      <color theme="1"/>
      <name val="Khmer OS Battambang"/>
    </font>
    <font>
      <b/>
      <sz val="12"/>
      <name val="Khmer OS Battambang"/>
    </font>
    <font>
      <b/>
      <sz val="12"/>
      <color rgb="FFFF0000"/>
      <name val="Times New Roman"/>
      <family val="1"/>
    </font>
    <font>
      <b/>
      <sz val="16"/>
      <color theme="1"/>
      <name val="Khmer OS Muol Light"/>
    </font>
    <font>
      <vertAlign val="superscript"/>
      <sz val="20"/>
      <name val="Khmer OS Muol Light"/>
    </font>
    <font>
      <b/>
      <sz val="11"/>
      <name val="Times New Roman"/>
      <family val="1"/>
    </font>
    <font>
      <sz val="10"/>
      <color indexed="8"/>
      <name val="Times New Roman"/>
      <family val="1"/>
    </font>
    <font>
      <sz val="12"/>
      <name val="Khmer OS Battambang"/>
    </font>
    <font>
      <sz val="9"/>
      <color theme="1"/>
      <name val="Times New Roman"/>
      <family val="1"/>
    </font>
    <font>
      <b/>
      <sz val="11"/>
      <color theme="1"/>
      <name val="Khmer OS Battambang"/>
    </font>
    <font>
      <sz val="11"/>
      <color indexed="8"/>
      <name val="Times New Roman"/>
      <family val="1"/>
    </font>
    <font>
      <b/>
      <sz val="11"/>
      <name val="Khmer OS Muol Light"/>
    </font>
    <font>
      <b/>
      <sz val="14"/>
      <color theme="1"/>
      <name val="Times New Roman"/>
      <family val="1"/>
    </font>
    <font>
      <b/>
      <sz val="9"/>
      <name val="Times New Roman"/>
      <family val="1"/>
    </font>
    <font>
      <sz val="13"/>
      <name val="Times New Roman"/>
      <family val="1"/>
    </font>
    <font>
      <b/>
      <sz val="14"/>
      <color theme="1"/>
      <name val="Khmer OS Battambang"/>
    </font>
    <font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4"/>
      <color theme="1"/>
      <name val="Khmer OS Muol Light"/>
    </font>
    <font>
      <sz val="12"/>
      <color theme="1"/>
      <name val="Arial"/>
      <family val="2"/>
    </font>
    <font>
      <sz val="11"/>
      <name val="Khmer OS"/>
    </font>
    <font>
      <sz val="14"/>
      <name val="Calibri"/>
      <family val="2"/>
      <scheme val="minor"/>
    </font>
    <font>
      <sz val="13"/>
      <color theme="1"/>
      <name val="Times New Roman"/>
      <family val="1"/>
    </font>
    <font>
      <b/>
      <sz val="15"/>
      <color theme="1"/>
      <name val="Khmer OS Muol Light"/>
    </font>
    <font>
      <b/>
      <sz val="12"/>
      <color theme="1"/>
      <name val="Khmer OS"/>
    </font>
    <font>
      <b/>
      <sz val="15"/>
      <name val="Khmer OS Muol Light"/>
    </font>
    <font>
      <b/>
      <sz val="13"/>
      <name val="Times New Roman"/>
      <family val="1"/>
    </font>
    <font>
      <sz val="12"/>
      <name val="Khmer OS Muol Light"/>
    </font>
    <font>
      <b/>
      <sz val="12"/>
      <name val="Khmer OS"/>
    </font>
    <font>
      <b/>
      <sz val="13"/>
      <name val="Khmer OS Muol Light"/>
    </font>
    <font>
      <b/>
      <sz val="13"/>
      <name val="Khmer OS"/>
    </font>
    <font>
      <b/>
      <sz val="10"/>
      <name val="Khmer OS"/>
    </font>
    <font>
      <sz val="12"/>
      <color theme="0"/>
      <name val="Times New Roman"/>
      <family val="1"/>
    </font>
    <font>
      <b/>
      <sz val="12"/>
      <color indexed="8"/>
      <name val="Times New Roman"/>
      <family val="1"/>
    </font>
    <font>
      <b/>
      <sz val="13"/>
      <color theme="1"/>
      <name val="Times New Roman"/>
      <family val="1"/>
    </font>
    <font>
      <sz val="14"/>
      <color theme="1"/>
      <name val="Khmer OS"/>
    </font>
    <font>
      <sz val="14"/>
      <name val="Khmer OS"/>
    </font>
    <font>
      <b/>
      <sz val="14"/>
      <name val="Calibri Light"/>
      <family val="2"/>
      <scheme val="major"/>
    </font>
    <font>
      <sz val="11"/>
      <name val="Calibri"/>
      <family val="2"/>
      <scheme val="minor"/>
    </font>
    <font>
      <sz val="14"/>
      <color theme="1"/>
      <name val="Khmer OS Battambang"/>
    </font>
    <font>
      <b/>
      <sz val="14"/>
      <color theme="1"/>
      <name val="Khmer OS"/>
    </font>
    <font>
      <i/>
      <sz val="12"/>
      <name val="Khmer OS"/>
    </font>
    <font>
      <b/>
      <sz val="11"/>
      <name val="Khmer OS"/>
    </font>
    <font>
      <sz val="14"/>
      <color theme="1"/>
      <name val="Calibri"/>
      <family val="2"/>
      <scheme val="minor"/>
    </font>
    <font>
      <b/>
      <sz val="16"/>
      <name val="Khmer OS Muol Light"/>
    </font>
    <font>
      <b/>
      <sz val="12"/>
      <name val="Times New Roman"/>
      <family val="1"/>
    </font>
    <font>
      <sz val="9"/>
      <name val="Khmer OS Bokor"/>
    </font>
    <font>
      <sz val="13"/>
      <color rgb="FFFF0000"/>
      <name val="Times New Roman"/>
      <family val="1"/>
    </font>
    <font>
      <b/>
      <sz val="14"/>
      <name val="Khmer OS Muol Light"/>
    </font>
    <font>
      <sz val="14"/>
      <name val="Khmer OS Muol Light"/>
    </font>
    <font>
      <b/>
      <i/>
      <sz val="14"/>
      <name val="Times New Roman"/>
      <family val="1"/>
    </font>
    <font>
      <b/>
      <sz val="8"/>
      <name val="Khmer OS Bokor"/>
    </font>
    <font>
      <i/>
      <sz val="12"/>
      <name val="Times New Roman"/>
      <family val="1"/>
    </font>
    <font>
      <b/>
      <sz val="11"/>
      <name val="Khmer OS Battambang"/>
    </font>
    <font>
      <b/>
      <sz val="11"/>
      <color theme="1"/>
      <name val="Khmer OS Muol Light"/>
    </font>
    <font>
      <sz val="14"/>
      <color theme="1"/>
      <name val="Arial"/>
      <family val="2"/>
    </font>
    <font>
      <b/>
      <sz val="12"/>
      <name val="Khmer OS Muol Light"/>
    </font>
    <font>
      <sz val="13"/>
      <name val="Khmer OS Battambang"/>
    </font>
    <font>
      <i/>
      <sz val="13"/>
      <name val="Khmer OS Battambang"/>
    </font>
    <font>
      <b/>
      <sz val="13"/>
      <name val="Khmer OS Battambang"/>
    </font>
    <font>
      <i/>
      <sz val="13"/>
      <name val="Times New Roman"/>
      <family val="1"/>
    </font>
    <font>
      <b/>
      <sz val="12"/>
      <name val="VNI-Times"/>
    </font>
    <font>
      <sz val="13"/>
      <name val="Khmer OS"/>
    </font>
    <font>
      <sz val="13"/>
      <name val="Calibri"/>
      <family val="2"/>
      <scheme val="minor"/>
    </font>
    <font>
      <sz val="13"/>
      <name val="VNI-Times"/>
    </font>
    <font>
      <b/>
      <sz val="16"/>
      <name val="Times New Roman"/>
      <family val="1"/>
    </font>
    <font>
      <b/>
      <u/>
      <sz val="12"/>
      <name val="Khmer OS Battambang"/>
    </font>
    <font>
      <b/>
      <sz val="12"/>
      <name val="Khmer OS Moul Light"/>
      <charset val="163"/>
    </font>
    <font>
      <sz val="14"/>
      <name val="VNI-Times"/>
    </font>
    <font>
      <sz val="12"/>
      <name val="Times New Roman"/>
      <family val="1"/>
    </font>
    <font>
      <b/>
      <sz val="12"/>
      <color theme="1"/>
      <name val="Arial"/>
      <family val="2"/>
    </font>
    <font>
      <i/>
      <sz val="14"/>
      <name val="Khmer OS"/>
    </font>
    <font>
      <i/>
      <sz val="14"/>
      <color rgb="FFFF0000"/>
      <name val="Khmer OS"/>
    </font>
    <font>
      <i/>
      <sz val="14"/>
      <name val="Times New Roman"/>
      <family val="1"/>
    </font>
    <font>
      <vertAlign val="superscript"/>
      <sz val="13"/>
      <name val="Times New Roman"/>
      <family val="1"/>
    </font>
    <font>
      <b/>
      <sz val="12"/>
      <name val="Calibri"/>
      <family val="2"/>
      <scheme val="minor"/>
    </font>
    <font>
      <b/>
      <sz val="13"/>
      <name val="Calibri"/>
      <family val="2"/>
      <scheme val="minor"/>
    </font>
    <font>
      <i/>
      <sz val="13"/>
      <name val="Khmer OS"/>
    </font>
    <font>
      <sz val="12"/>
      <color theme="1"/>
      <name val="Khmer OS"/>
    </font>
    <font>
      <b/>
      <sz val="14"/>
      <name val="Khmer OS Battambang"/>
    </font>
    <font>
      <b/>
      <u/>
      <sz val="12"/>
      <name val="Khmer OS Muol Light"/>
    </font>
    <font>
      <b/>
      <u/>
      <sz val="14"/>
      <color theme="1"/>
      <name val="Times New Roman"/>
      <family val="1"/>
    </font>
    <font>
      <sz val="12"/>
      <name val="Khmer OS Bokor"/>
    </font>
    <font>
      <b/>
      <u/>
      <sz val="12"/>
      <name val="VNI-Times"/>
    </font>
    <font>
      <b/>
      <sz val="14"/>
      <name val="VNI-Times"/>
    </font>
    <font>
      <sz val="12"/>
      <name val="VNI-Times"/>
    </font>
    <font>
      <b/>
      <u/>
      <sz val="14"/>
      <name val="Times New Roman"/>
      <family val="1"/>
    </font>
    <font>
      <u/>
      <sz val="12"/>
      <name val="VNI-Times"/>
    </font>
    <font>
      <sz val="11"/>
      <name val="Khmer OS Bokor"/>
    </font>
    <font>
      <sz val="14"/>
      <name val="Khmer OS Bokor"/>
    </font>
    <font>
      <b/>
      <u/>
      <sz val="14"/>
      <name val="VNI-Times"/>
    </font>
    <font>
      <sz val="13"/>
      <color theme="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u/>
      <sz val="12"/>
      <name val="Khmer OS Moul Light"/>
      <charset val="163"/>
    </font>
    <font>
      <b/>
      <u/>
      <sz val="12"/>
      <name val="Calibri Light"/>
      <family val="2"/>
      <scheme val="major"/>
    </font>
    <font>
      <sz val="12"/>
      <name val="Khmer OS Moul Light"/>
      <charset val="163"/>
    </font>
    <font>
      <sz val="12"/>
      <name val="Khmer OS"/>
    </font>
    <font>
      <b/>
      <sz val="14"/>
      <name val="Khmer OS Moul Light"/>
      <charset val="163"/>
    </font>
    <font>
      <b/>
      <sz val="12"/>
      <name val="Khmer OS Bokor"/>
    </font>
    <font>
      <sz val="10"/>
      <color indexed="8"/>
      <name val="Khmer OS Battambang"/>
    </font>
    <font>
      <b/>
      <sz val="12"/>
      <name val="Calibri Light"/>
      <family val="2"/>
      <scheme val="major"/>
    </font>
    <font>
      <sz val="11"/>
      <name val="Khmer OS Muol Light"/>
    </font>
    <font>
      <sz val="11"/>
      <color indexed="8"/>
      <name val="Khmer OS Battambang"/>
    </font>
    <font>
      <b/>
      <u/>
      <sz val="12"/>
      <name val="Khmer OS"/>
    </font>
    <font>
      <u/>
      <sz val="12"/>
      <name val="Khmer OS"/>
    </font>
    <font>
      <b/>
      <u/>
      <sz val="12"/>
      <name val="Times New Roman"/>
      <family val="1"/>
    </font>
    <font>
      <sz val="13"/>
      <name val="Khmer OS Moul Light"/>
      <charset val="163"/>
    </font>
    <font>
      <sz val="13"/>
      <name val="Calibri Light"/>
      <family val="2"/>
      <scheme val="major"/>
    </font>
    <font>
      <b/>
      <sz val="13"/>
      <name val="Calibri Light"/>
      <family val="2"/>
      <scheme val="major"/>
    </font>
    <font>
      <b/>
      <sz val="11"/>
      <color indexed="8"/>
      <name val="Times New Roman"/>
      <family val="1"/>
    </font>
    <font>
      <sz val="12"/>
      <color indexed="8"/>
      <name val="Khmer OS Muol Light"/>
    </font>
    <font>
      <sz val="12"/>
      <color indexed="8"/>
      <name val="Times New Roman"/>
      <family val="1"/>
    </font>
    <font>
      <sz val="12"/>
      <color theme="1"/>
      <name val="Khmer OS Moul Light"/>
      <charset val="163"/>
    </font>
    <font>
      <b/>
      <sz val="9"/>
      <name val="Khmer OS Muol Light"/>
    </font>
    <font>
      <sz val="9"/>
      <name val="Khmer OS Muol Light"/>
    </font>
    <font>
      <b/>
      <sz val="11"/>
      <color rgb="FF000000"/>
      <name val="Times New Roman"/>
      <family val="1"/>
    </font>
    <font>
      <sz val="11"/>
      <color theme="1"/>
      <name val="Arial"/>
      <family val="2"/>
    </font>
    <font>
      <sz val="11"/>
      <color theme="1"/>
      <name val="Times New Roman"/>
      <family val="2"/>
    </font>
    <font>
      <sz val="11"/>
      <color theme="1"/>
      <name val="Arial"/>
      <family val="2"/>
      <charset val="163"/>
    </font>
    <font>
      <sz val="11"/>
      <color theme="1"/>
      <name val="Times New Roman"/>
      <family val="1"/>
      <charset val="163"/>
    </font>
    <font>
      <sz val="11"/>
      <color rgb="FF081B3A"/>
      <name val="Segoe UI"/>
      <family val="2"/>
    </font>
    <font>
      <sz val="12"/>
      <color theme="1"/>
      <name val="Times New Roman"/>
      <family val="1"/>
      <charset val="163"/>
    </font>
    <font>
      <sz val="12"/>
      <color theme="1"/>
      <name val="Calibri Light"/>
      <family val="1"/>
      <charset val="163"/>
      <scheme val="major"/>
    </font>
    <font>
      <sz val="10"/>
      <color theme="1"/>
      <name val="Times New Roman"/>
      <family val="1"/>
      <charset val="163"/>
    </font>
    <font>
      <sz val="12"/>
      <color rgb="FFFF0000"/>
      <name val="Calibri Light"/>
      <family val="1"/>
      <charset val="163"/>
      <scheme val="major"/>
    </font>
    <font>
      <sz val="12"/>
      <color rgb="FF202124"/>
      <name val="Inherit"/>
    </font>
    <font>
      <sz val="11"/>
      <color theme="1"/>
      <name val="Khmer OS"/>
    </font>
    <font>
      <b/>
      <sz val="11"/>
      <color theme="1"/>
      <name val="Khmer OS"/>
    </font>
    <font>
      <sz val="11"/>
      <color indexed="8"/>
      <name val="Khmer OS Muol Light"/>
    </font>
    <font>
      <b/>
      <sz val="11"/>
      <color rgb="FF000000"/>
      <name val="Khmer OS Muol Light"/>
    </font>
    <font>
      <b/>
      <sz val="11"/>
      <color indexed="8"/>
      <name val="Khmer OS Muol Light"/>
    </font>
    <font>
      <b/>
      <sz val="10"/>
      <color rgb="FFFF0000"/>
      <name val="Khmer OS Muol Light"/>
    </font>
    <font>
      <sz val="10"/>
      <color indexed="8"/>
      <name val="Khmer OS Muol Light"/>
    </font>
    <font>
      <b/>
      <sz val="10"/>
      <color rgb="FF000000"/>
      <name val="Khmer OS Muol Light"/>
    </font>
    <font>
      <sz val="10"/>
      <color rgb="FF000000"/>
      <name val="Khmer OS Muol Light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FF0000"/>
      <name val="Khmer OS Muol Light"/>
    </font>
    <font>
      <i/>
      <sz val="12"/>
      <name val="Khmer OS Muol Light"/>
    </font>
    <font>
      <i/>
      <sz val="12"/>
      <name val="Khmer OS Battambang"/>
    </font>
    <font>
      <i/>
      <sz val="14"/>
      <color rgb="FFFF0000"/>
      <name val="Times New Roman"/>
      <family val="1"/>
    </font>
    <font>
      <b/>
      <i/>
      <sz val="12"/>
      <color rgb="FFFF0000"/>
      <name val="Khmer OS Muol Light"/>
    </font>
    <font>
      <b/>
      <i/>
      <sz val="13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  <charset val="163"/>
    </font>
    <font>
      <i/>
      <sz val="12"/>
      <name val="Tui"/>
    </font>
    <font>
      <sz val="12"/>
      <name val="Calibri Light"/>
      <family val="1"/>
      <charset val="163"/>
      <scheme val="major"/>
    </font>
    <font>
      <sz val="8"/>
      <name val="Times New Roman"/>
      <family val="1"/>
    </font>
    <font>
      <sz val="10"/>
      <name val="Khmer OS Battambang"/>
    </font>
    <font>
      <sz val="10"/>
      <name val="Segoe UI"/>
      <family val="2"/>
    </font>
    <font>
      <sz val="11"/>
      <name val="Segoe UI"/>
      <family val="2"/>
    </font>
    <font>
      <sz val="14"/>
      <color theme="1"/>
      <name val="Khmer OS Muol Light"/>
    </font>
    <font>
      <sz val="11"/>
      <name val="Times New Roman"/>
      <family val="1"/>
      <charset val="163"/>
    </font>
    <font>
      <sz val="12"/>
      <name val="Times New Roman"/>
      <family val="1"/>
      <charset val="163"/>
    </font>
    <font>
      <sz val="10"/>
      <name val="Times New Roman"/>
      <family val="1"/>
      <charset val="163"/>
    </font>
    <font>
      <vertAlign val="superscript"/>
      <sz val="16"/>
      <name val="Khmer OS Muol Light"/>
    </font>
    <font>
      <b/>
      <sz val="10"/>
      <name val="Segoe UI"/>
      <family val="2"/>
    </font>
    <font>
      <sz val="13"/>
      <color theme="1"/>
      <name val="Times New Roman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23" fillId="0" borderId="0" applyFont="0" applyFill="0" applyBorder="0" applyAlignment="0" applyProtection="0"/>
    <xf numFmtId="164" fontId="155" fillId="0" borderId="0" applyFont="0" applyFill="0" applyBorder="0" applyAlignment="0" applyProtection="0"/>
    <xf numFmtId="165" fontId="130" fillId="0" borderId="0" applyFont="0" applyFill="0" applyBorder="0" applyAlignment="0" applyProtection="0"/>
    <xf numFmtId="0" fontId="20" fillId="0" borderId="0"/>
    <xf numFmtId="0" fontId="131" fillId="0" borderId="0"/>
    <xf numFmtId="0" fontId="123" fillId="0" borderId="0"/>
    <xf numFmtId="0" fontId="156" fillId="0" borderId="0"/>
    <xf numFmtId="0" fontId="157" fillId="0" borderId="0"/>
    <xf numFmtId="164" fontId="131" fillId="0" borderId="0" applyFont="0" applyFill="0" applyBorder="0" applyAlignment="0" applyProtection="0"/>
  </cellStyleXfs>
  <cellXfs count="9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4" fillId="0" borderId="0" xfId="0" applyFont="1" applyBorder="1"/>
    <xf numFmtId="0" fontId="3" fillId="0" borderId="1" xfId="0" applyFont="1" applyBorder="1" applyAlignment="1">
      <alignment horizontal="center" vertical="center" wrapText="1"/>
    </xf>
    <xf numFmtId="3" fontId="4" fillId="0" borderId="0" xfId="0" applyNumberFormat="1" applyFont="1"/>
    <xf numFmtId="0" fontId="18" fillId="0" borderId="0" xfId="0" applyFont="1" applyFill="1"/>
    <xf numFmtId="0" fontId="18" fillId="0" borderId="0" xfId="0" applyFont="1"/>
    <xf numFmtId="0" fontId="32" fillId="0" borderId="0" xfId="0" applyFont="1"/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1" fillId="0" borderId="1" xfId="0" applyFont="1" applyBorder="1" applyAlignment="1">
      <alignment horizontal="center" vertical="center" wrapText="1"/>
    </xf>
    <xf numFmtId="0" fontId="17" fillId="0" borderId="1" xfId="5" applyFont="1" applyBorder="1" applyAlignment="1">
      <alignment horizontal="left" vertical="center" wrapText="1"/>
    </xf>
    <xf numFmtId="3" fontId="18" fillId="0" borderId="0" xfId="0" applyNumberFormat="1" applyFont="1" applyFill="1"/>
    <xf numFmtId="0" fontId="36" fillId="0" borderId="0" xfId="0" applyFont="1"/>
    <xf numFmtId="0" fontId="7" fillId="0" borderId="0" xfId="0" applyFont="1"/>
    <xf numFmtId="0" fontId="20" fillId="0" borderId="0" xfId="0" applyFont="1"/>
    <xf numFmtId="0" fontId="4" fillId="0" borderId="1" xfId="0" applyFont="1" applyBorder="1" applyAlignment="1">
      <alignment vertical="center"/>
    </xf>
    <xf numFmtId="3" fontId="32" fillId="0" borderId="0" xfId="0" applyNumberFormat="1" applyFont="1"/>
    <xf numFmtId="3" fontId="18" fillId="0" borderId="0" xfId="0" applyNumberFormat="1" applyFont="1"/>
    <xf numFmtId="0" fontId="57" fillId="0" borderId="0" xfId="0" applyFont="1"/>
    <xf numFmtId="0" fontId="37" fillId="0" borderId="0" xfId="0" applyFont="1"/>
    <xf numFmtId="0" fontId="4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59" fillId="0" borderId="0" xfId="0" applyFont="1"/>
    <xf numFmtId="0" fontId="60" fillId="0" borderId="0" xfId="0" applyFont="1"/>
    <xf numFmtId="0" fontId="20" fillId="0" borderId="0" xfId="0" applyFont="1" applyAlignment="1">
      <alignment horizontal="center" vertical="center"/>
    </xf>
    <xf numFmtId="173" fontId="18" fillId="0" borderId="0" xfId="0" applyNumberFormat="1" applyFont="1"/>
    <xf numFmtId="0" fontId="62" fillId="0" borderId="0" xfId="0" applyFont="1" applyAlignment="1">
      <alignment horizontal="center"/>
    </xf>
    <xf numFmtId="0" fontId="5" fillId="0" borderId="0" xfId="0" applyFont="1"/>
    <xf numFmtId="0" fontId="50" fillId="0" borderId="0" xfId="0" applyFont="1"/>
    <xf numFmtId="0" fontId="32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  <xf numFmtId="0" fontId="65" fillId="0" borderId="1" xfId="0" applyFont="1" applyBorder="1" applyAlignment="1">
      <alignment horizontal="center" vertical="center" wrapText="1"/>
    </xf>
    <xf numFmtId="3" fontId="36" fillId="0" borderId="0" xfId="0" applyNumberFormat="1" applyFont="1" applyAlignment="1">
      <alignment vertical="top"/>
    </xf>
    <xf numFmtId="0" fontId="36" fillId="0" borderId="0" xfId="0" applyFont="1" applyAlignment="1">
      <alignment vertical="top"/>
    </xf>
    <xf numFmtId="3" fontId="3" fillId="0" borderId="0" xfId="0" applyNumberFormat="1" applyFont="1"/>
    <xf numFmtId="0" fontId="62" fillId="0" borderId="0" xfId="0" applyFont="1" applyAlignment="1">
      <alignment horizontal="center" vertical="top"/>
    </xf>
    <xf numFmtId="0" fontId="66" fillId="0" borderId="0" xfId="0" applyFont="1" applyAlignment="1">
      <alignment horizontal="center" vertical="top"/>
    </xf>
    <xf numFmtId="0" fontId="67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173" fontId="4" fillId="0" borderId="0" xfId="0" applyNumberFormat="1" applyFont="1"/>
    <xf numFmtId="3" fontId="43" fillId="0" borderId="0" xfId="0" applyNumberFormat="1" applyFont="1" applyAlignment="1">
      <alignment horizontal="right"/>
    </xf>
    <xf numFmtId="0" fontId="1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9" fillId="0" borderId="5" xfId="6" applyFont="1" applyBorder="1" applyAlignment="1">
      <alignment vertical="center" wrapText="1"/>
    </xf>
    <xf numFmtId="0" fontId="69" fillId="0" borderId="3" xfId="6" applyFont="1" applyBorder="1" applyAlignment="1">
      <alignment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70" fillId="0" borderId="1" xfId="0" applyNumberFormat="1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vertical="center"/>
    </xf>
    <xf numFmtId="3" fontId="70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3" fontId="25" fillId="0" borderId="0" xfId="0" applyNumberFormat="1" applyFont="1"/>
    <xf numFmtId="173" fontId="4" fillId="0" borderId="0" xfId="0" applyNumberFormat="1" applyFont="1" applyAlignment="1">
      <alignment vertical="center"/>
    </xf>
    <xf numFmtId="0" fontId="17" fillId="0" borderId="1" xfId="5" applyFont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0" fontId="72" fillId="0" borderId="0" xfId="0" applyFont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48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74" fillId="0" borderId="0" xfId="0" applyFont="1" applyAlignment="1">
      <alignment horizontal="center" vertical="center"/>
    </xf>
    <xf numFmtId="0" fontId="21" fillId="0" borderId="0" xfId="0" applyFont="1"/>
    <xf numFmtId="3" fontId="2" fillId="0" borderId="0" xfId="0" applyNumberFormat="1" applyFont="1" applyAlignment="1">
      <alignment horizontal="center"/>
    </xf>
    <xf numFmtId="0" fontId="76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64" fillId="0" borderId="0" xfId="0" applyFont="1"/>
    <xf numFmtId="0" fontId="41" fillId="0" borderId="0" xfId="0" applyFont="1"/>
    <xf numFmtId="0" fontId="41" fillId="0" borderId="0" xfId="0" applyFont="1" applyAlignment="1">
      <alignment horizontal="center" vertical="center"/>
    </xf>
    <xf numFmtId="0" fontId="77" fillId="0" borderId="0" xfId="0" applyFont="1" applyAlignment="1">
      <alignment horizontal="center"/>
    </xf>
    <xf numFmtId="3" fontId="4" fillId="0" borderId="0" xfId="1" applyNumberFormat="1" applyFont="1" applyFill="1" applyBorder="1" applyAlignment="1">
      <alignment horizontal="right" vertical="center"/>
    </xf>
    <xf numFmtId="173" fontId="14" fillId="0" borderId="0" xfId="0" applyNumberFormat="1" applyFont="1" applyAlignment="1">
      <alignment horizontal="right" vertical="center"/>
    </xf>
    <xf numFmtId="0" fontId="78" fillId="0" borderId="0" xfId="0" applyFont="1" applyAlignment="1">
      <alignment horizontal="center" vertical="top"/>
    </xf>
    <xf numFmtId="3" fontId="19" fillId="0" borderId="0" xfId="0" applyNumberFormat="1" applyFont="1"/>
    <xf numFmtId="3" fontId="2" fillId="0" borderId="0" xfId="0" applyNumberFormat="1" applyFont="1" applyBorder="1" applyAlignment="1">
      <alignment vertical="center"/>
    </xf>
    <xf numFmtId="0" fontId="19" fillId="0" borderId="0" xfId="0" applyFont="1"/>
    <xf numFmtId="3" fontId="74" fillId="0" borderId="0" xfId="0" applyNumberFormat="1" applyFont="1" applyBorder="1" applyAlignment="1">
      <alignment vertical="center"/>
    </xf>
    <xf numFmtId="3" fontId="59" fillId="0" borderId="0" xfId="0" applyNumberFormat="1" applyFont="1"/>
    <xf numFmtId="0" fontId="59" fillId="0" borderId="0" xfId="0" applyFont="1" applyBorder="1"/>
    <xf numFmtId="3" fontId="2" fillId="0" borderId="0" xfId="0" applyNumberFormat="1" applyFont="1"/>
    <xf numFmtId="3" fontId="3" fillId="0" borderId="0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173" fontId="4" fillId="0" borderId="0" xfId="3" applyNumberFormat="1" applyFont="1" applyFill="1" applyBorder="1" applyAlignment="1">
      <alignment horizontal="center" vertical="center" wrapText="1"/>
    </xf>
    <xf numFmtId="3" fontId="18" fillId="0" borderId="0" xfId="0" applyNumberFormat="1" applyFont="1" applyAlignment="1">
      <alignment vertical="center"/>
    </xf>
    <xf numFmtId="0" fontId="21" fillId="0" borderId="0" xfId="0" applyFont="1" applyAlignment="1">
      <alignment horizontal="center" vertical="center"/>
    </xf>
    <xf numFmtId="168" fontId="18" fillId="0" borderId="0" xfId="0" applyNumberFormat="1" applyFont="1"/>
    <xf numFmtId="0" fontId="79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0" fontId="80" fillId="0" borderId="0" xfId="0" applyFont="1" applyAlignment="1">
      <alignment horizontal="center" vertical="center"/>
    </xf>
    <xf numFmtId="0" fontId="80" fillId="0" borderId="0" xfId="0" applyFont="1" applyAlignment="1">
      <alignment vertical="center"/>
    </xf>
    <xf numFmtId="3" fontId="64" fillId="0" borderId="0" xfId="0" applyNumberFormat="1" applyFont="1" applyAlignment="1">
      <alignment horizontal="center"/>
    </xf>
    <xf numFmtId="3" fontId="64" fillId="0" borderId="0" xfId="0" applyNumberFormat="1" applyFont="1"/>
    <xf numFmtId="0" fontId="67" fillId="0" borderId="0" xfId="0" applyFont="1"/>
    <xf numFmtId="0" fontId="81" fillId="0" borderId="0" xfId="0" applyFont="1"/>
    <xf numFmtId="43" fontId="4" fillId="0" borderId="0" xfId="0" applyNumberFormat="1" applyFont="1"/>
    <xf numFmtId="3" fontId="21" fillId="0" borderId="0" xfId="0" applyNumberFormat="1" applyFont="1"/>
    <xf numFmtId="173" fontId="74" fillId="0" borderId="0" xfId="0" applyNumberFormat="1" applyFont="1" applyAlignment="1">
      <alignment vertical="center"/>
    </xf>
    <xf numFmtId="173" fontId="21" fillId="0" borderId="0" xfId="0" applyNumberFormat="1" applyFont="1"/>
    <xf numFmtId="0" fontId="21" fillId="0" borderId="0" xfId="6" applyFont="1"/>
    <xf numFmtId="169" fontId="21" fillId="0" borderId="0" xfId="6" applyNumberFormat="1" applyFont="1"/>
    <xf numFmtId="0" fontId="86" fillId="0" borderId="0" xfId="6" applyFont="1"/>
    <xf numFmtId="0" fontId="87" fillId="0" borderId="0" xfId="6" applyFont="1"/>
    <xf numFmtId="0" fontId="2" fillId="0" borderId="0" xfId="6" applyFont="1"/>
    <xf numFmtId="0" fontId="2" fillId="0" borderId="0" xfId="6" applyFont="1" applyAlignment="1">
      <alignment horizontal="center"/>
    </xf>
    <xf numFmtId="0" fontId="88" fillId="0" borderId="0" xfId="6" applyFont="1"/>
    <xf numFmtId="0" fontId="93" fillId="0" borderId="0" xfId="0" applyFont="1"/>
    <xf numFmtId="3" fontId="65" fillId="0" borderId="1" xfId="0" applyNumberFormat="1" applyFont="1" applyBorder="1" applyAlignment="1">
      <alignment horizontal="left" vertical="center" wrapText="1"/>
    </xf>
    <xf numFmtId="0" fontId="17" fillId="0" borderId="1" xfId="4" applyFont="1" applyBorder="1" applyAlignment="1">
      <alignment horizontal="left" vertical="center" wrapText="1"/>
    </xf>
    <xf numFmtId="3" fontId="43" fillId="0" borderId="1" xfId="0" applyNumberFormat="1" applyFont="1" applyBorder="1" applyAlignment="1">
      <alignment horizontal="left" vertical="center" wrapText="1"/>
    </xf>
    <xf numFmtId="3" fontId="96" fillId="0" borderId="1" xfId="0" applyNumberFormat="1" applyFont="1" applyBorder="1" applyAlignment="1">
      <alignment horizontal="left" vertical="center" wrapText="1"/>
    </xf>
    <xf numFmtId="166" fontId="4" fillId="0" borderId="0" xfId="0" applyNumberFormat="1" applyFont="1"/>
    <xf numFmtId="4" fontId="21" fillId="0" borderId="0" xfId="0" applyNumberFormat="1" applyFont="1"/>
    <xf numFmtId="0" fontId="64" fillId="0" borderId="0" xfId="0" applyFont="1" applyAlignment="1">
      <alignment wrapText="1"/>
    </xf>
    <xf numFmtId="0" fontId="50" fillId="0" borderId="0" xfId="0" applyFont="1" applyAlignment="1">
      <alignment wrapText="1"/>
    </xf>
    <xf numFmtId="0" fontId="99" fillId="0" borderId="0" xfId="0" applyFont="1" applyAlignment="1">
      <alignment vertical="center"/>
    </xf>
    <xf numFmtId="0" fontId="100" fillId="0" borderId="0" xfId="0" applyFont="1"/>
    <xf numFmtId="0" fontId="97" fillId="0" borderId="0" xfId="0" applyFont="1"/>
    <xf numFmtId="0" fontId="101" fillId="0" borderId="0" xfId="0" applyFont="1"/>
    <xf numFmtId="0" fontId="102" fillId="0" borderId="0" xfId="0" applyFont="1"/>
    <xf numFmtId="3" fontId="102" fillId="0" borderId="0" xfId="0" applyNumberFormat="1" applyFont="1"/>
    <xf numFmtId="0" fontId="64" fillId="0" borderId="0" xfId="0" applyFont="1" applyAlignment="1">
      <alignment horizontal="center"/>
    </xf>
    <xf numFmtId="0" fontId="104" fillId="0" borderId="0" xfId="0" applyFont="1" applyAlignment="1">
      <alignment vertical="center"/>
    </xf>
    <xf numFmtId="166" fontId="95" fillId="0" borderId="0" xfId="0" applyNumberFormat="1" applyFont="1" applyAlignment="1">
      <alignment horizontal="center" vertical="center"/>
    </xf>
    <xf numFmtId="0" fontId="105" fillId="0" borderId="6" xfId="0" applyFont="1" applyBorder="1" applyAlignment="1">
      <alignment horizont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83" fillId="0" borderId="1" xfId="0" applyFont="1" applyBorder="1" applyAlignment="1">
      <alignment horizontal="center" vertical="center" wrapText="1"/>
    </xf>
    <xf numFmtId="173" fontId="64" fillId="0" borderId="1" xfId="0" applyNumberFormat="1" applyFont="1" applyBorder="1" applyAlignment="1">
      <alignment horizontal="center" vertical="center" wrapText="1"/>
    </xf>
    <xf numFmtId="4" fontId="50" fillId="0" borderId="3" xfId="0" applyNumberFormat="1" applyFont="1" applyBorder="1" applyAlignment="1">
      <alignment horizontal="right" vertical="center" wrapText="1"/>
    </xf>
    <xf numFmtId="173" fontId="21" fillId="0" borderId="1" xfId="0" applyNumberFormat="1" applyFont="1" applyBorder="1" applyAlignment="1">
      <alignment horizontal="right" vertical="center"/>
    </xf>
    <xf numFmtId="173" fontId="106" fillId="0" borderId="1" xfId="1" applyNumberFormat="1" applyFont="1" applyFill="1" applyBorder="1" applyAlignment="1">
      <alignment horizontal="right" vertical="center" wrapText="1"/>
    </xf>
    <xf numFmtId="3" fontId="107" fillId="0" borderId="1" xfId="0" applyNumberFormat="1" applyFont="1" applyBorder="1" applyAlignment="1">
      <alignment horizontal="left" vertical="center" wrapText="1"/>
    </xf>
    <xf numFmtId="173" fontId="2" fillId="0" borderId="1" xfId="0" applyNumberFormat="1" applyFont="1" applyBorder="1" applyAlignment="1">
      <alignment horizontal="right" vertical="center"/>
    </xf>
    <xf numFmtId="3" fontId="83" fillId="0" borderId="4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173" fontId="99" fillId="0" borderId="4" xfId="1" applyNumberFormat="1" applyFont="1" applyFill="1" applyBorder="1" applyAlignment="1">
      <alignment horizontal="right" vertical="center"/>
    </xf>
    <xf numFmtId="4" fontId="108" fillId="0" borderId="4" xfId="0" applyNumberFormat="1" applyFont="1" applyBorder="1" applyAlignment="1">
      <alignment horizontal="right" vertical="center"/>
    </xf>
    <xf numFmtId="3" fontId="108" fillId="0" borderId="4" xfId="0" applyNumberFormat="1" applyFont="1" applyBorder="1" applyAlignment="1">
      <alignment horizontal="right" vertical="center"/>
    </xf>
    <xf numFmtId="0" fontId="50" fillId="0" borderId="0" xfId="0" applyFont="1" applyAlignment="1">
      <alignment horizontal="center"/>
    </xf>
    <xf numFmtId="0" fontId="111" fillId="0" borderId="0" xfId="0" applyFont="1" applyAlignment="1">
      <alignment horizontal="right" vertical="top"/>
    </xf>
    <xf numFmtId="2" fontId="64" fillId="0" borderId="0" xfId="0" applyNumberFormat="1" applyFont="1"/>
    <xf numFmtId="3" fontId="112" fillId="0" borderId="0" xfId="0" applyNumberFormat="1" applyFont="1"/>
    <xf numFmtId="3" fontId="50" fillId="0" borderId="0" xfId="0" applyNumberFormat="1" applyFont="1"/>
    <xf numFmtId="0" fontId="64" fillId="0" borderId="0" xfId="0" applyFont="1" applyAlignment="1">
      <alignment horizontal="left" vertical="center"/>
    </xf>
    <xf numFmtId="3" fontId="64" fillId="0" borderId="0" xfId="0" applyNumberFormat="1" applyFont="1" applyAlignment="1">
      <alignment wrapText="1"/>
    </xf>
    <xf numFmtId="3" fontId="50" fillId="0" borderId="0" xfId="0" applyNumberFormat="1" applyFont="1" applyAlignment="1">
      <alignment wrapText="1"/>
    </xf>
    <xf numFmtId="0" fontId="99" fillId="0" borderId="4" xfId="0" applyFont="1" applyBorder="1" applyAlignment="1">
      <alignment vertical="center"/>
    </xf>
    <xf numFmtId="3" fontId="99" fillId="0" borderId="0" xfId="0" applyNumberFormat="1" applyFont="1" applyAlignment="1">
      <alignment vertical="center"/>
    </xf>
    <xf numFmtId="4" fontId="113" fillId="0" borderId="0" xfId="0" applyNumberFormat="1" applyFont="1" applyAlignment="1">
      <alignment vertical="center" wrapText="1"/>
    </xf>
    <xf numFmtId="0" fontId="17" fillId="0" borderId="0" xfId="0" applyFont="1"/>
    <xf numFmtId="164" fontId="77" fillId="0" borderId="0" xfId="0" applyNumberFormat="1" applyFont="1" applyAlignment="1">
      <alignment vertical="center"/>
    </xf>
    <xf numFmtId="0" fontId="77" fillId="0" borderId="0" xfId="0" applyFont="1" applyAlignment="1">
      <alignment vertical="center"/>
    </xf>
    <xf numFmtId="4" fontId="102" fillId="0" borderId="0" xfId="0" applyNumberFormat="1" applyFont="1"/>
    <xf numFmtId="4" fontId="114" fillId="0" borderId="0" xfId="0" applyNumberFormat="1" applyFont="1" applyAlignment="1">
      <alignment wrapText="1"/>
    </xf>
    <xf numFmtId="0" fontId="98" fillId="0" borderId="0" xfId="0" applyFont="1"/>
    <xf numFmtId="4" fontId="50" fillId="0" borderId="0" xfId="0" applyNumberFormat="1" applyFont="1"/>
    <xf numFmtId="0" fontId="115" fillId="0" borderId="0" xfId="0" applyFont="1"/>
    <xf numFmtId="4" fontId="97" fillId="0" borderId="0" xfId="0" applyNumberFormat="1" applyFont="1"/>
    <xf numFmtId="3" fontId="97" fillId="0" borderId="0" xfId="0" applyNumberFormat="1" applyFont="1"/>
    <xf numFmtId="3" fontId="100" fillId="0" borderId="0" xfId="0" applyNumberFormat="1" applyFont="1"/>
    <xf numFmtId="0" fontId="45" fillId="0" borderId="0" xfId="0" applyFont="1"/>
    <xf numFmtId="0" fontId="93" fillId="0" borderId="0" xfId="0" applyFont="1" applyFill="1"/>
    <xf numFmtId="0" fontId="106" fillId="0" borderId="0" xfId="0" applyFont="1"/>
    <xf numFmtId="0" fontId="91" fillId="0" borderId="0" xfId="0" applyFont="1"/>
    <xf numFmtId="0" fontId="117" fillId="0" borderId="0" xfId="0" applyFont="1" applyAlignment="1">
      <alignment vertical="top"/>
    </xf>
    <xf numFmtId="4" fontId="93" fillId="0" borderId="0" xfId="0" applyNumberFormat="1" applyFont="1"/>
    <xf numFmtId="166" fontId="18" fillId="0" borderId="0" xfId="0" applyNumberFormat="1" applyFont="1"/>
    <xf numFmtId="0" fontId="118" fillId="0" borderId="0" xfId="0" applyFont="1" applyAlignment="1">
      <alignment vertical="center"/>
    </xf>
    <xf numFmtId="3" fontId="119" fillId="0" borderId="0" xfId="0" applyNumberFormat="1" applyFont="1"/>
    <xf numFmtId="0" fontId="106" fillId="0" borderId="0" xfId="0" applyFont="1" applyFill="1"/>
    <xf numFmtId="0" fontId="120" fillId="0" borderId="0" xfId="0" applyFont="1" applyFill="1" applyAlignment="1">
      <alignment vertical="center"/>
    </xf>
    <xf numFmtId="0" fontId="121" fillId="0" borderId="0" xfId="0" applyFont="1" applyFill="1"/>
    <xf numFmtId="0" fontId="99" fillId="0" borderId="0" xfId="0" applyFont="1" applyFill="1"/>
    <xf numFmtId="0" fontId="122" fillId="0" borderId="0" xfId="0" applyFont="1" applyFill="1"/>
    <xf numFmtId="3" fontId="21" fillId="0" borderId="0" xfId="1" applyNumberFormat="1" applyFont="1" applyFill="1" applyAlignment="1"/>
    <xf numFmtId="0" fontId="21" fillId="0" borderId="0" xfId="0" applyFont="1" applyFill="1"/>
    <xf numFmtId="0" fontId="118" fillId="0" borderId="0" xfId="0" applyFont="1"/>
    <xf numFmtId="0" fontId="123" fillId="0" borderId="0" xfId="0" applyFont="1"/>
    <xf numFmtId="174" fontId="123" fillId="0" borderId="0" xfId="1" applyNumberFormat="1" applyFont="1" applyFill="1"/>
    <xf numFmtId="3" fontId="124" fillId="0" borderId="0" xfId="1" applyNumberFormat="1" applyFont="1" applyFill="1"/>
    <xf numFmtId="0" fontId="120" fillId="0" borderId="0" xfId="0" applyFont="1" applyAlignment="1">
      <alignment vertical="center"/>
    </xf>
    <xf numFmtId="0" fontId="125" fillId="0" borderId="0" xfId="0" applyFont="1"/>
    <xf numFmtId="3" fontId="21" fillId="0" borderId="0" xfId="1" applyNumberFormat="1" applyFont="1" applyFill="1" applyAlignment="1">
      <alignment vertical="center"/>
    </xf>
    <xf numFmtId="3" fontId="21" fillId="0" borderId="0" xfId="0" applyNumberFormat="1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121" fillId="0" borderId="0" xfId="0" applyFont="1"/>
    <xf numFmtId="3" fontId="21" fillId="0" borderId="0" xfId="0" applyNumberFormat="1" applyFont="1" applyAlignment="1">
      <alignment vertical="center"/>
    </xf>
    <xf numFmtId="3" fontId="124" fillId="0" borderId="0" xfId="0" applyNumberFormat="1" applyFont="1" applyAlignment="1">
      <alignment horizontal="right" vertical="center"/>
    </xf>
    <xf numFmtId="0" fontId="120" fillId="0" borderId="0" xfId="0" applyFont="1"/>
    <xf numFmtId="3" fontId="21" fillId="0" borderId="0" xfId="0" applyNumberFormat="1" applyFont="1" applyAlignment="1">
      <alignment horizontal="right" vertical="center"/>
    </xf>
    <xf numFmtId="0" fontId="106" fillId="0" borderId="0" xfId="0" applyFont="1" applyBorder="1"/>
    <xf numFmtId="0" fontId="127" fillId="0" borderId="0" xfId="0" applyFont="1" applyBorder="1"/>
    <xf numFmtId="0" fontId="128" fillId="0" borderId="0" xfId="0" applyFont="1" applyBorder="1"/>
    <xf numFmtId="3" fontId="21" fillId="0" borderId="0" xfId="0" applyNumberFormat="1" applyFont="1" applyBorder="1" applyAlignment="1">
      <alignment horizontal="right"/>
    </xf>
    <xf numFmtId="0" fontId="21" fillId="0" borderId="0" xfId="0" applyFont="1" applyBorder="1"/>
    <xf numFmtId="4" fontId="4" fillId="0" borderId="0" xfId="0" applyNumberFormat="1" applyFont="1"/>
    <xf numFmtId="0" fontId="87" fillId="0" borderId="0" xfId="0" applyFont="1"/>
    <xf numFmtId="3" fontId="93" fillId="0" borderId="0" xfId="0" applyNumberFormat="1" applyFont="1"/>
    <xf numFmtId="3" fontId="129" fillId="0" borderId="0" xfId="0" applyNumberFormat="1" applyFont="1" applyFill="1"/>
    <xf numFmtId="3" fontId="93" fillId="0" borderId="0" xfId="0" applyNumberFormat="1" applyFont="1" applyFill="1"/>
    <xf numFmtId="166" fontId="18" fillId="0" borderId="0" xfId="0" applyNumberFormat="1" applyFont="1" applyFill="1"/>
    <xf numFmtId="3" fontId="129" fillId="0" borderId="0" xfId="0" applyNumberFormat="1" applyFont="1"/>
    <xf numFmtId="3" fontId="106" fillId="0" borderId="0" xfId="0" applyNumberFormat="1" applyFont="1" applyAlignment="1">
      <alignment wrapText="1"/>
    </xf>
    <xf numFmtId="3" fontId="106" fillId="0" borderId="0" xfId="0" applyNumberFormat="1" applyFont="1" applyFill="1" applyAlignment="1">
      <alignment wrapText="1"/>
    </xf>
    <xf numFmtId="3" fontId="21" fillId="0" borderId="0" xfId="0" applyNumberFormat="1" applyFont="1" applyAlignment="1">
      <alignment horizontal="right"/>
    </xf>
    <xf numFmtId="3" fontId="101" fillId="0" borderId="0" xfId="0" applyNumberFormat="1" applyFont="1"/>
    <xf numFmtId="0" fontId="17" fillId="0" borderId="0" xfId="0" applyFont="1" applyAlignment="1">
      <alignment vertical="center"/>
    </xf>
    <xf numFmtId="3" fontId="101" fillId="0" borderId="0" xfId="0" applyNumberFormat="1" applyFont="1" applyBorder="1"/>
    <xf numFmtId="3" fontId="90" fillId="0" borderId="0" xfId="0" applyNumberFormat="1" applyFont="1"/>
    <xf numFmtId="166" fontId="91" fillId="0" borderId="0" xfId="0" applyNumberFormat="1" applyFont="1"/>
    <xf numFmtId="3" fontId="91" fillId="0" borderId="0" xfId="0" applyNumberFormat="1" applyFont="1"/>
    <xf numFmtId="166" fontId="64" fillId="0" borderId="0" xfId="0" applyNumberFormat="1" applyFont="1"/>
    <xf numFmtId="166" fontId="50" fillId="0" borderId="0" xfId="0" applyNumberFormat="1" applyFont="1"/>
    <xf numFmtId="0" fontId="37" fillId="0" borderId="0" xfId="0" applyFont="1" applyAlignment="1">
      <alignment vertical="top"/>
    </xf>
    <xf numFmtId="166" fontId="37" fillId="0" borderId="0" xfId="0" applyNumberFormat="1" applyFont="1" applyAlignment="1">
      <alignment vertical="top"/>
    </xf>
    <xf numFmtId="3" fontId="37" fillId="0" borderId="0" xfId="0" applyNumberFormat="1" applyFont="1" applyAlignment="1">
      <alignment vertical="top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7" fillId="0" borderId="0" xfId="5" applyFont="1"/>
    <xf numFmtId="0" fontId="6" fillId="0" borderId="0" xfId="5" applyFont="1" applyAlignment="1">
      <alignment vertical="top"/>
    </xf>
    <xf numFmtId="0" fontId="4" fillId="0" borderId="0" xfId="5" applyFont="1"/>
    <xf numFmtId="3" fontId="95" fillId="0" borderId="1" xfId="5" applyNumberFormat="1" applyFont="1" applyBorder="1" applyAlignment="1">
      <alignment horizontal="left" vertical="center" wrapText="1"/>
    </xf>
    <xf numFmtId="167" fontId="34" fillId="0" borderId="0" xfId="5" applyNumberFormat="1" applyFont="1" applyAlignment="1">
      <alignment horizontal="center" vertical="center" wrapText="1"/>
    </xf>
    <xf numFmtId="4" fontId="34" fillId="0" borderId="0" xfId="5" applyNumberFormat="1" applyFont="1" applyAlignment="1">
      <alignment horizontal="center" vertical="center" wrapText="1"/>
    </xf>
    <xf numFmtId="3" fontId="34" fillId="0" borderId="0" xfId="5" applyNumberFormat="1" applyFont="1" applyAlignment="1">
      <alignment horizontal="right" vertical="center" wrapText="1"/>
    </xf>
    <xf numFmtId="3" fontId="4" fillId="0" borderId="0" xfId="5" applyNumberFormat="1" applyFont="1"/>
    <xf numFmtId="3" fontId="32" fillId="0" borderId="0" xfId="5" applyNumberFormat="1" applyFont="1"/>
    <xf numFmtId="0" fontId="24" fillId="0" borderId="1" xfId="8" applyFont="1" applyBorder="1" applyAlignment="1">
      <alignment horizontal="left" vertical="center" wrapText="1"/>
    </xf>
    <xf numFmtId="0" fontId="158" fillId="0" borderId="1" xfId="8" applyFont="1" applyBorder="1" applyAlignment="1">
      <alignment horizontal="left" vertical="center" wrapText="1"/>
    </xf>
    <xf numFmtId="0" fontId="31" fillId="0" borderId="1" xfId="8" applyFont="1" applyBorder="1" applyAlignment="1">
      <alignment horizontal="left" vertical="center" wrapText="1"/>
    </xf>
    <xf numFmtId="0" fontId="158" fillId="0" borderId="1" xfId="8" applyFont="1" applyBorder="1" applyAlignment="1">
      <alignment horizontal="left" vertical="center"/>
    </xf>
    <xf numFmtId="0" fontId="158" fillId="0" borderId="1" xfId="8" applyFont="1" applyBorder="1" applyAlignment="1">
      <alignment vertical="center"/>
    </xf>
    <xf numFmtId="0" fontId="24" fillId="0" borderId="1" xfId="8" applyFont="1" applyBorder="1" applyAlignment="1">
      <alignment vertical="center"/>
    </xf>
    <xf numFmtId="0" fontId="24" fillId="3" borderId="1" xfId="8" applyFont="1" applyFill="1" applyBorder="1" applyAlignment="1">
      <alignment horizontal="left" vertical="center" wrapText="1"/>
    </xf>
    <xf numFmtId="0" fontId="158" fillId="3" borderId="1" xfId="8" applyFont="1" applyFill="1" applyBorder="1" applyAlignment="1">
      <alignment horizontal="left" vertical="center" wrapText="1"/>
    </xf>
    <xf numFmtId="0" fontId="32" fillId="0" borderId="0" xfId="6" applyFont="1"/>
    <xf numFmtId="0" fontId="32" fillId="0" borderId="0" xfId="5" applyFont="1"/>
    <xf numFmtId="0" fontId="3" fillId="0" borderId="0" xfId="5" applyFont="1"/>
    <xf numFmtId="0" fontId="1" fillId="0" borderId="0" xfId="5" applyFont="1"/>
    <xf numFmtId="0" fontId="2" fillId="0" borderId="0" xfId="5" applyFont="1"/>
    <xf numFmtId="0" fontId="17" fillId="0" borderId="1" xfId="8" applyFont="1" applyBorder="1" applyAlignment="1">
      <alignment horizontal="left" vertical="center" wrapText="1"/>
    </xf>
    <xf numFmtId="0" fontId="160" fillId="0" borderId="1" xfId="8" applyFont="1" applyBorder="1" applyAlignment="1">
      <alignment horizontal="left" vertical="center" wrapText="1"/>
    </xf>
    <xf numFmtId="2" fontId="4" fillId="0" borderId="0" xfId="5" applyNumberFormat="1" applyFont="1"/>
    <xf numFmtId="169" fontId="4" fillId="0" borderId="0" xfId="5" applyNumberFormat="1" applyFont="1"/>
    <xf numFmtId="14" fontId="4" fillId="0" borderId="0" xfId="5" applyNumberFormat="1" applyFont="1"/>
    <xf numFmtId="0" fontId="43" fillId="0" borderId="1" xfId="8" applyFont="1" applyBorder="1" applyAlignment="1">
      <alignment horizontal="left" vertical="center" wrapText="1"/>
    </xf>
    <xf numFmtId="0" fontId="160" fillId="0" borderId="1" xfId="8" applyFont="1" applyBorder="1" applyAlignment="1">
      <alignment horizontal="left" vertical="center"/>
    </xf>
    <xf numFmtId="0" fontId="162" fillId="0" borderId="1" xfId="8" applyFont="1" applyBorder="1" applyAlignment="1">
      <alignment horizontal="left" vertical="center" wrapText="1"/>
    </xf>
    <xf numFmtId="0" fontId="160" fillId="0" borderId="1" xfId="8" applyFont="1" applyBorder="1" applyAlignment="1">
      <alignment vertical="center"/>
    </xf>
    <xf numFmtId="0" fontId="4" fillId="0" borderId="0" xfId="5" applyFont="1" applyFill="1"/>
    <xf numFmtId="170" fontId="4" fillId="0" borderId="0" xfId="5" applyNumberFormat="1" applyFont="1" applyFill="1"/>
    <xf numFmtId="3" fontId="4" fillId="0" borderId="0" xfId="5" applyNumberFormat="1" applyFont="1" applyFill="1"/>
    <xf numFmtId="0" fontId="20" fillId="0" borderId="0" xfId="5" applyFont="1" applyFill="1"/>
    <xf numFmtId="14" fontId="18" fillId="0" borderId="0" xfId="5" applyNumberFormat="1" applyFont="1" applyFill="1"/>
    <xf numFmtId="3" fontId="20" fillId="0" borderId="0" xfId="5" applyNumberFormat="1" applyFont="1" applyFill="1"/>
    <xf numFmtId="0" fontId="18" fillId="0" borderId="0" xfId="5" applyFont="1" applyFill="1"/>
    <xf numFmtId="3" fontId="18" fillId="0" borderId="0" xfId="5" applyNumberFormat="1" applyFont="1" applyFill="1"/>
    <xf numFmtId="0" fontId="13" fillId="0" borderId="0" xfId="5" applyFont="1" applyFill="1"/>
    <xf numFmtId="0" fontId="32" fillId="0" borderId="0" xfId="5" applyFont="1" applyFill="1"/>
    <xf numFmtId="169" fontId="50" fillId="0" borderId="1" xfId="5" quotePrefix="1" applyNumberFormat="1" applyFont="1" applyBorder="1" applyAlignment="1">
      <alignment horizontal="center" vertical="center" wrapText="1"/>
    </xf>
    <xf numFmtId="0" fontId="18" fillId="0" borderId="0" xfId="5" applyFont="1"/>
    <xf numFmtId="14" fontId="18" fillId="0" borderId="0" xfId="5" applyNumberFormat="1" applyFont="1"/>
    <xf numFmtId="0" fontId="36" fillId="0" borderId="0" xfId="5" applyFont="1"/>
    <xf numFmtId="2" fontId="18" fillId="0" borderId="0" xfId="5" applyNumberFormat="1" applyFont="1"/>
    <xf numFmtId="0" fontId="20" fillId="0" borderId="0" xfId="5" applyFont="1"/>
    <xf numFmtId="0" fontId="26" fillId="0" borderId="1" xfId="5" applyFont="1" applyBorder="1" applyAlignment="1">
      <alignment vertical="center"/>
    </xf>
    <xf numFmtId="0" fontId="4" fillId="2" borderId="0" xfId="5" applyFont="1" applyFill="1" applyAlignment="1">
      <alignment horizontal="center"/>
    </xf>
    <xf numFmtId="0" fontId="22" fillId="0" borderId="1" xfId="5" applyFont="1" applyBorder="1" applyAlignment="1">
      <alignment vertical="center"/>
    </xf>
    <xf numFmtId="3" fontId="21" fillId="0" borderId="0" xfId="5" applyNumberFormat="1" applyFont="1" applyFill="1" applyBorder="1" applyAlignment="1">
      <alignment horizontal="center" vertical="center" wrapText="1"/>
    </xf>
    <xf numFmtId="3" fontId="18" fillId="0" borderId="0" xfId="5" applyNumberFormat="1" applyFont="1"/>
    <xf numFmtId="0" fontId="14" fillId="0" borderId="0" xfId="5" applyFont="1" applyFill="1"/>
    <xf numFmtId="4" fontId="32" fillId="0" borderId="0" xfId="5" applyNumberFormat="1" applyFont="1" applyFill="1"/>
    <xf numFmtId="166" fontId="14" fillId="0" borderId="0" xfId="5" applyNumberFormat="1" applyFont="1" applyFill="1"/>
    <xf numFmtId="0" fontId="32" fillId="0" borderId="1" xfId="5" applyFont="1" applyBorder="1" applyAlignment="1">
      <alignment vertical="center"/>
    </xf>
    <xf numFmtId="171" fontId="50" fillId="0" borderId="1" xfId="9" applyNumberFormat="1" applyFont="1" applyBorder="1" applyAlignment="1">
      <alignment horizontal="center" vertical="center" wrapText="1"/>
    </xf>
    <xf numFmtId="172" fontId="50" fillId="0" borderId="1" xfId="9" applyNumberFormat="1" applyFont="1" applyBorder="1" applyAlignment="1">
      <alignment horizontal="center" vertical="center" wrapText="1"/>
    </xf>
    <xf numFmtId="0" fontId="4" fillId="2" borderId="0" xfId="5" applyFont="1" applyFill="1"/>
    <xf numFmtId="0" fontId="14" fillId="0" borderId="1" xfId="5" applyFont="1" applyBorder="1" applyAlignment="1">
      <alignment vertical="center"/>
    </xf>
    <xf numFmtId="0" fontId="23" fillId="0" borderId="1" xfId="5" applyFont="1" applyBorder="1" applyAlignment="1">
      <alignment vertical="center"/>
    </xf>
    <xf numFmtId="0" fontId="20" fillId="0" borderId="1" xfId="5" applyFont="1" applyBorder="1" applyAlignment="1">
      <alignment vertical="center"/>
    </xf>
    <xf numFmtId="3" fontId="38" fillId="0" borderId="1" xfId="5" applyNumberFormat="1" applyFont="1" applyFill="1" applyBorder="1" applyAlignment="1">
      <alignment vertical="center"/>
    </xf>
    <xf numFmtId="172" fontId="41" fillId="0" borderId="1" xfId="9" applyNumberFormat="1" applyFont="1" applyBorder="1" applyAlignment="1">
      <alignment vertical="center"/>
    </xf>
    <xf numFmtId="2" fontId="20" fillId="0" borderId="0" xfId="5" applyNumberFormat="1" applyFont="1"/>
    <xf numFmtId="168" fontId="20" fillId="0" borderId="0" xfId="5" applyNumberFormat="1" applyFont="1"/>
    <xf numFmtId="0" fontId="164" fillId="0" borderId="0" xfId="5" applyFont="1" applyAlignment="1">
      <alignment horizontal="left" vertical="center"/>
    </xf>
    <xf numFmtId="0" fontId="18" fillId="0" borderId="1" xfId="5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 wrapText="1"/>
    </xf>
    <xf numFmtId="0" fontId="3" fillId="0" borderId="0" xfId="5" applyFont="1" applyFill="1"/>
    <xf numFmtId="0" fontId="3" fillId="2" borderId="0" xfId="5" applyFont="1" applyFill="1"/>
    <xf numFmtId="0" fontId="16" fillId="0" borderId="1" xfId="5" applyFont="1" applyFill="1" applyBorder="1" applyAlignment="1">
      <alignment horizontal="center" vertical="center" wrapText="1"/>
    </xf>
    <xf numFmtId="4" fontId="21" fillId="0" borderId="0" xfId="6" applyNumberFormat="1" applyFont="1"/>
    <xf numFmtId="3" fontId="21" fillId="0" borderId="3" xfId="5" applyNumberFormat="1" applyFont="1" applyFill="1" applyBorder="1" applyAlignment="1">
      <alignment horizontal="center" vertical="center" wrapText="1"/>
    </xf>
    <xf numFmtId="3" fontId="3" fillId="0" borderId="3" xfId="5" applyNumberFormat="1" applyFont="1" applyFill="1" applyBorder="1" applyAlignment="1">
      <alignment vertical="center"/>
    </xf>
    <xf numFmtId="0" fontId="18" fillId="0" borderId="1" xfId="5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8" fillId="0" borderId="0" xfId="0" applyFont="1"/>
    <xf numFmtId="0" fontId="80" fillId="0" borderId="1" xfId="0" applyFont="1" applyBorder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80" fillId="0" borderId="0" xfId="0" applyFont="1"/>
    <xf numFmtId="0" fontId="165" fillId="0" borderId="0" xfId="0" applyFont="1"/>
    <xf numFmtId="0" fontId="167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3" fontId="60" fillId="0" borderId="1" xfId="0" applyNumberFormat="1" applyFont="1" applyBorder="1" applyAlignment="1">
      <alignment horizontal="right" vertical="center"/>
    </xf>
    <xf numFmtId="3" fontId="50" fillId="0" borderId="1" xfId="0" applyNumberFormat="1" applyFont="1" applyBorder="1" applyAlignment="1">
      <alignment vertical="center"/>
    </xf>
    <xf numFmtId="3" fontId="50" fillId="0" borderId="1" xfId="1" applyNumberFormat="1" applyFont="1" applyFill="1" applyBorder="1" applyAlignment="1">
      <alignment horizontal="right" vertical="center"/>
    </xf>
    <xf numFmtId="173" fontId="85" fillId="0" borderId="1" xfId="0" applyNumberFormat="1" applyFont="1" applyBorder="1" applyAlignment="1">
      <alignment vertical="center"/>
    </xf>
    <xf numFmtId="173" fontId="50" fillId="0" borderId="1" xfId="0" applyNumberFormat="1" applyFont="1" applyBorder="1" applyAlignment="1">
      <alignment horizontal="right" vertical="center"/>
    </xf>
    <xf numFmtId="173" fontId="50" fillId="0" borderId="1" xfId="3" applyNumberFormat="1" applyFont="1" applyFill="1" applyBorder="1" applyAlignment="1">
      <alignment horizontal="center" vertical="center" wrapText="1"/>
    </xf>
    <xf numFmtId="3" fontId="60" fillId="0" borderId="1" xfId="0" applyNumberFormat="1" applyFont="1" applyFill="1" applyBorder="1" applyAlignment="1">
      <alignment horizontal="right" vertical="center"/>
    </xf>
    <xf numFmtId="3" fontId="50" fillId="0" borderId="1" xfId="0" applyNumberFormat="1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4" fontId="4" fillId="0" borderId="1" xfId="1" applyNumberFormat="1" applyFont="1" applyFill="1" applyBorder="1" applyAlignment="1">
      <alignment vertical="center"/>
    </xf>
    <xf numFmtId="0" fontId="3" fillId="0" borderId="1" xfId="6" applyFont="1" applyBorder="1" applyAlignment="1">
      <alignment horizontal="center" vertical="center"/>
    </xf>
    <xf numFmtId="4" fontId="25" fillId="0" borderId="1" xfId="1" applyNumberFormat="1" applyFont="1" applyFill="1" applyBorder="1" applyAlignment="1">
      <alignment vertical="center"/>
    </xf>
    <xf numFmtId="4" fontId="25" fillId="0" borderId="1" xfId="6" applyNumberFormat="1" applyFont="1" applyFill="1" applyBorder="1" applyAlignment="1">
      <alignment horizontal="center" vertical="center" wrapText="1"/>
    </xf>
    <xf numFmtId="4" fontId="4" fillId="0" borderId="1" xfId="6" applyNumberFormat="1" applyFont="1" applyBorder="1" applyAlignment="1">
      <alignment horizontal="center" vertical="center" wrapText="1"/>
    </xf>
    <xf numFmtId="4" fontId="25" fillId="0" borderId="1" xfId="6" applyNumberFormat="1" applyFont="1" applyBorder="1" applyAlignment="1">
      <alignment horizontal="center" vertical="center" wrapText="1"/>
    </xf>
    <xf numFmtId="0" fontId="18" fillId="0" borderId="1" xfId="5" applyFont="1" applyBorder="1" applyAlignment="1">
      <alignment horizontal="left" vertical="center" wrapText="1"/>
    </xf>
    <xf numFmtId="0" fontId="162" fillId="0" borderId="1" xfId="8" applyFont="1" applyBorder="1" applyAlignment="1">
      <alignment vertical="center"/>
    </xf>
    <xf numFmtId="4" fontId="4" fillId="2" borderId="1" xfId="6" applyNumberFormat="1" applyFont="1" applyFill="1" applyBorder="1" applyAlignment="1">
      <alignment horizontal="center" vertical="center" wrapText="1"/>
    </xf>
    <xf numFmtId="0" fontId="4" fillId="2" borderId="0" xfId="6" applyFont="1" applyFill="1" applyAlignment="1">
      <alignment horizontal="center" vertical="center"/>
    </xf>
    <xf numFmtId="4" fontId="64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4" fontId="25" fillId="0" borderId="1" xfId="6" applyNumberFormat="1" applyFont="1" applyFill="1" applyBorder="1" applyAlignment="1">
      <alignment horizontal="right" vertical="center" wrapText="1"/>
    </xf>
    <xf numFmtId="4" fontId="3" fillId="0" borderId="1" xfId="6" applyNumberFormat="1" applyFont="1" applyFill="1" applyBorder="1" applyAlignment="1">
      <alignment horizontal="center" vertical="center" wrapText="1"/>
    </xf>
    <xf numFmtId="4" fontId="4" fillId="0" borderId="1" xfId="6" applyNumberFormat="1" applyFont="1" applyFill="1" applyBorder="1" applyAlignment="1">
      <alignment horizontal="center" vertical="center" wrapText="1"/>
    </xf>
    <xf numFmtId="4" fontId="4" fillId="0" borderId="1" xfId="6" applyNumberFormat="1" applyFont="1" applyFill="1" applyBorder="1" applyAlignment="1">
      <alignment horizontal="right" vertical="center" wrapText="1"/>
    </xf>
    <xf numFmtId="0" fontId="3" fillId="0" borderId="1" xfId="6" applyFont="1" applyFill="1" applyBorder="1" applyAlignment="1">
      <alignment horizontal="center" vertical="center"/>
    </xf>
    <xf numFmtId="0" fontId="4" fillId="4" borderId="0" xfId="5" applyFont="1" applyFill="1"/>
    <xf numFmtId="0" fontId="19" fillId="0" borderId="0" xfId="0" applyFont="1" applyAlignment="1">
      <alignment vertical="center"/>
    </xf>
    <xf numFmtId="0" fontId="5" fillId="0" borderId="0" xfId="5" applyFont="1"/>
    <xf numFmtId="0" fontId="57" fillId="0" borderId="0" xfId="5" applyFont="1"/>
    <xf numFmtId="0" fontId="6" fillId="0" borderId="0" xfId="5" applyFont="1"/>
    <xf numFmtId="0" fontId="131" fillId="0" borderId="0" xfId="5"/>
    <xf numFmtId="0" fontId="93" fillId="0" borderId="0" xfId="5" applyFont="1"/>
    <xf numFmtId="0" fontId="19" fillId="0" borderId="0" xfId="5" applyFont="1"/>
    <xf numFmtId="3" fontId="16" fillId="0" borderId="0" xfId="5" applyNumberFormat="1" applyFont="1"/>
    <xf numFmtId="166" fontId="35" fillId="0" borderId="1" xfId="5" applyNumberFormat="1" applyFont="1" applyBorder="1" applyAlignment="1">
      <alignment horizontal="center" vertical="center" wrapText="1"/>
    </xf>
    <xf numFmtId="3" fontId="35" fillId="0" borderId="0" xfId="5" applyNumberFormat="1" applyFont="1" applyAlignment="1">
      <alignment horizontal="center" vertical="center" wrapText="1"/>
    </xf>
    <xf numFmtId="3" fontId="33" fillId="0" borderId="11" xfId="5" applyNumberFormat="1" applyFont="1" applyBorder="1" applyAlignment="1">
      <alignment horizontal="center" vertical="center" wrapText="1"/>
    </xf>
    <xf numFmtId="166" fontId="94" fillId="0" borderId="0" xfId="5" applyNumberFormat="1" applyFont="1" applyAlignment="1">
      <alignment horizontal="center" vertical="center" wrapText="1"/>
    </xf>
    <xf numFmtId="167" fontId="94" fillId="0" borderId="0" xfId="5" applyNumberFormat="1" applyFont="1" applyAlignment="1">
      <alignment horizontal="center" vertical="center" wrapText="1"/>
    </xf>
    <xf numFmtId="3" fontId="94" fillId="0" borderId="0" xfId="5" applyNumberFormat="1" applyFont="1" applyAlignment="1">
      <alignment horizontal="center" vertical="center" wrapText="1"/>
    </xf>
    <xf numFmtId="3" fontId="98" fillId="0" borderId="11" xfId="5" applyNumberFormat="1" applyFont="1" applyBorder="1" applyAlignment="1">
      <alignment horizontal="center" vertical="center" wrapText="1"/>
    </xf>
    <xf numFmtId="2" fontId="98" fillId="0" borderId="1" xfId="7" applyNumberFormat="1" applyFont="1" applyBorder="1" applyAlignment="1">
      <alignment horizontal="right" vertical="center"/>
    </xf>
    <xf numFmtId="2" fontId="98" fillId="0" borderId="12" xfId="7" applyNumberFormat="1" applyFont="1" applyBorder="1" applyAlignment="1">
      <alignment horizontal="right" vertical="center"/>
    </xf>
    <xf numFmtId="167" fontId="180" fillId="0" borderId="0" xfId="5" applyNumberFormat="1" applyFont="1" applyAlignment="1">
      <alignment horizontal="center" vertical="center" wrapText="1"/>
    </xf>
    <xf numFmtId="3" fontId="34" fillId="0" borderId="0" xfId="5" applyNumberFormat="1" applyFont="1" applyAlignment="1">
      <alignment horizontal="center" vertical="center" wrapText="1"/>
    </xf>
    <xf numFmtId="3" fontId="50" fillId="0" borderId="11" xfId="5" applyNumberFormat="1" applyFont="1" applyBorder="1" applyAlignment="1">
      <alignment horizontal="center" vertical="center" wrapText="1"/>
    </xf>
    <xf numFmtId="4" fontId="94" fillId="0" borderId="0" xfId="5" applyNumberFormat="1" applyFont="1" applyAlignment="1">
      <alignment horizontal="center" vertical="center" wrapText="1"/>
    </xf>
    <xf numFmtId="0" fontId="17" fillId="0" borderId="1" xfId="7" applyFont="1" applyBorder="1" applyAlignment="1">
      <alignment horizontal="left" vertical="center" wrapText="1"/>
    </xf>
    <xf numFmtId="2" fontId="98" fillId="0" borderId="12" xfId="7" applyNumberFormat="1" applyFont="1" applyBorder="1" applyAlignment="1">
      <alignment vertical="center"/>
    </xf>
    <xf numFmtId="2" fontId="181" fillId="0" borderId="1" xfId="7" applyNumberFormat="1" applyFont="1" applyBorder="1" applyAlignment="1">
      <alignment horizontal="left" vertical="center"/>
    </xf>
    <xf numFmtId="3" fontId="3" fillId="0" borderId="0" xfId="5" applyNumberFormat="1" applyFont="1" applyAlignment="1">
      <alignment horizontal="center" vertical="center" wrapText="1"/>
    </xf>
    <xf numFmtId="3" fontId="182" fillId="0" borderId="0" xfId="5" applyNumberFormat="1" applyFont="1" applyAlignment="1">
      <alignment horizontal="center" vertical="center" wrapText="1"/>
    </xf>
    <xf numFmtId="2" fontId="183" fillId="0" borderId="1" xfId="7" applyNumberFormat="1" applyFont="1" applyBorder="1" applyAlignment="1">
      <alignment horizontal="left" vertical="center"/>
    </xf>
    <xf numFmtId="166" fontId="182" fillId="0" borderId="0" xfId="5" applyNumberFormat="1" applyFont="1" applyFill="1" applyAlignment="1">
      <alignment horizontal="center" vertical="center" wrapText="1"/>
    </xf>
    <xf numFmtId="167" fontId="94" fillId="0" borderId="0" xfId="5" applyNumberFormat="1" applyFont="1" applyFill="1" applyAlignment="1">
      <alignment horizontal="center" vertical="center" wrapText="1"/>
    </xf>
    <xf numFmtId="3" fontId="182" fillId="0" borderId="0" xfId="5" applyNumberFormat="1" applyFont="1" applyFill="1" applyAlignment="1">
      <alignment horizontal="center" vertical="center" wrapText="1"/>
    </xf>
    <xf numFmtId="2" fontId="183" fillId="0" borderId="1" xfId="7" applyNumberFormat="1" applyFont="1" applyBorder="1" applyAlignment="1">
      <alignment horizontal="right" vertical="center"/>
    </xf>
    <xf numFmtId="3" fontId="50" fillId="0" borderId="14" xfId="5" applyNumberFormat="1" applyFont="1" applyBorder="1" applyAlignment="1">
      <alignment horizontal="center" vertical="center" wrapText="1"/>
    </xf>
    <xf numFmtId="3" fontId="64" fillId="0" borderId="14" xfId="5" applyNumberFormat="1" applyFont="1" applyBorder="1" applyAlignment="1">
      <alignment horizontal="center" vertical="center" wrapText="1"/>
    </xf>
    <xf numFmtId="4" fontId="64" fillId="0" borderId="14" xfId="5" applyNumberFormat="1" applyFont="1" applyBorder="1" applyAlignment="1">
      <alignment vertical="center"/>
    </xf>
    <xf numFmtId="169" fontId="98" fillId="0" borderId="14" xfId="5" applyNumberFormat="1" applyFont="1" applyBorder="1" applyAlignment="1">
      <alignment vertical="center"/>
    </xf>
    <xf numFmtId="4" fontId="64" fillId="0" borderId="15" xfId="5" applyNumberFormat="1" applyFont="1" applyBorder="1" applyAlignment="1">
      <alignment vertical="center"/>
    </xf>
    <xf numFmtId="166" fontId="3" fillId="0" borderId="0" xfId="5" applyNumberFormat="1" applyFont="1" applyFill="1" applyAlignment="1">
      <alignment vertical="center"/>
    </xf>
    <xf numFmtId="3" fontId="3" fillId="0" borderId="0" xfId="5" applyNumberFormat="1" applyFont="1" applyFill="1" applyAlignment="1">
      <alignment vertical="center"/>
    </xf>
    <xf numFmtId="3" fontId="3" fillId="0" borderId="0" xfId="5" applyNumberFormat="1" applyFont="1" applyAlignment="1">
      <alignment vertical="center"/>
    </xf>
    <xf numFmtId="3" fontId="2" fillId="0" borderId="0" xfId="5" applyNumberFormat="1" applyFont="1" applyAlignment="1">
      <alignment horizontal="center"/>
    </xf>
    <xf numFmtId="3" fontId="2" fillId="0" borderId="0" xfId="5" applyNumberFormat="1" applyFont="1" applyBorder="1" applyAlignment="1">
      <alignment horizontal="center"/>
    </xf>
    <xf numFmtId="4" fontId="2" fillId="0" borderId="0" xfId="5" applyNumberFormat="1" applyFont="1"/>
    <xf numFmtId="3" fontId="2" fillId="0" borderId="0" xfId="5" applyNumberFormat="1" applyFont="1"/>
    <xf numFmtId="169" fontId="2" fillId="0" borderId="0" xfId="5" applyNumberFormat="1" applyFont="1" applyFill="1"/>
    <xf numFmtId="3" fontId="2" fillId="0" borderId="0" xfId="5" applyNumberFormat="1" applyFont="1" applyFill="1"/>
    <xf numFmtId="4" fontId="2" fillId="0" borderId="0" xfId="5" applyNumberFormat="1" applyFont="1" applyFill="1"/>
    <xf numFmtId="3" fontId="3" fillId="0" borderId="0" xfId="5" applyNumberFormat="1" applyFont="1" applyAlignment="1">
      <alignment horizontal="center"/>
    </xf>
    <xf numFmtId="3" fontId="95" fillId="0" borderId="0" xfId="5" applyNumberFormat="1" applyFont="1" applyBorder="1" applyAlignment="1">
      <alignment horizontal="left" vertical="center" wrapText="1"/>
    </xf>
    <xf numFmtId="166" fontId="3" fillId="0" borderId="0" xfId="5" applyNumberFormat="1" applyFont="1" applyFill="1"/>
    <xf numFmtId="3" fontId="3" fillId="0" borderId="0" xfId="5" applyNumberFormat="1" applyFont="1" applyFill="1"/>
    <xf numFmtId="3" fontId="3" fillId="0" borderId="0" xfId="5" applyNumberFormat="1" applyFont="1"/>
    <xf numFmtId="166" fontId="91" fillId="0" borderId="0" xfId="5" applyNumberFormat="1" applyFont="1" applyAlignment="1"/>
    <xf numFmtId="166" fontId="3" fillId="0" borderId="0" xfId="5" applyNumberFormat="1" applyFont="1"/>
    <xf numFmtId="3" fontId="41" fillId="0" borderId="0" xfId="5" applyNumberFormat="1" applyFont="1" applyAlignment="1"/>
    <xf numFmtId="166" fontId="41" fillId="0" borderId="0" xfId="5" applyNumberFormat="1" applyFont="1" applyAlignment="1">
      <alignment horizontal="center"/>
    </xf>
    <xf numFmtId="166" fontId="4" fillId="0" borderId="0" xfId="5" applyNumberFormat="1" applyFont="1"/>
    <xf numFmtId="3" fontId="21" fillId="0" borderId="0" xfId="5" applyNumberFormat="1" applyFont="1"/>
    <xf numFmtId="166" fontId="32" fillId="0" borderId="0" xfId="5" applyNumberFormat="1" applyFont="1"/>
    <xf numFmtId="166" fontId="21" fillId="0" borderId="0" xfId="5" applyNumberFormat="1" applyFont="1"/>
    <xf numFmtId="3" fontId="32" fillId="0" borderId="0" xfId="5" applyNumberFormat="1" applyFont="1" applyBorder="1"/>
    <xf numFmtId="3" fontId="21" fillId="0" borderId="0" xfId="5" applyNumberFormat="1" applyFont="1" applyBorder="1"/>
    <xf numFmtId="4" fontId="21" fillId="0" borderId="0" xfId="5" applyNumberFormat="1" applyFont="1"/>
    <xf numFmtId="3" fontId="37" fillId="0" borderId="0" xfId="5" applyNumberFormat="1" applyFont="1" applyAlignment="1"/>
    <xf numFmtId="3" fontId="7" fillId="0" borderId="0" xfId="5" applyNumberFormat="1" applyFont="1" applyAlignment="1"/>
    <xf numFmtId="3" fontId="2" fillId="0" borderId="0" xfId="5" applyNumberFormat="1" applyFont="1" applyBorder="1"/>
    <xf numFmtId="3" fontId="96" fillId="0" borderId="0" xfId="5" applyNumberFormat="1" applyFont="1" applyBorder="1" applyAlignment="1">
      <alignment horizontal="left" vertical="center" wrapText="1"/>
    </xf>
    <xf numFmtId="3" fontId="96" fillId="0" borderId="0" xfId="5" applyNumberFormat="1" applyFont="1" applyBorder="1" applyAlignment="1">
      <alignment horizontal="center" vertical="center" wrapText="1"/>
    </xf>
    <xf numFmtId="166" fontId="2" fillId="0" borderId="0" xfId="5" applyNumberFormat="1" applyFont="1" applyBorder="1"/>
    <xf numFmtId="166" fontId="2" fillId="0" borderId="0" xfId="5" applyNumberFormat="1" applyFont="1"/>
    <xf numFmtId="3" fontId="98" fillId="0" borderId="0" xfId="5" applyNumberFormat="1" applyFont="1" applyBorder="1" applyAlignment="1">
      <alignment horizontal="center" vertical="center" wrapText="1"/>
    </xf>
    <xf numFmtId="3" fontId="21" fillId="0" borderId="0" xfId="5" applyNumberFormat="1" applyFont="1" applyBorder="1" applyAlignment="1">
      <alignment horizontal="center"/>
    </xf>
    <xf numFmtId="167" fontId="98" fillId="0" borderId="0" xfId="5" applyNumberFormat="1" applyFont="1" applyBorder="1" applyAlignment="1">
      <alignment horizontal="right" vertical="center" wrapText="1"/>
    </xf>
    <xf numFmtId="169" fontId="21" fillId="0" borderId="0" xfId="5" applyNumberFormat="1" applyFont="1" applyBorder="1"/>
    <xf numFmtId="166" fontId="21" fillId="0" borderId="0" xfId="5" applyNumberFormat="1" applyFont="1" applyBorder="1"/>
    <xf numFmtId="20" fontId="131" fillId="0" borderId="0" xfId="5" applyNumberFormat="1" applyBorder="1" applyAlignment="1">
      <alignment horizontal="left" vertical="center"/>
    </xf>
    <xf numFmtId="167" fontId="21" fillId="0" borderId="0" xfId="5" applyNumberFormat="1" applyFont="1" applyBorder="1"/>
    <xf numFmtId="4" fontId="21" fillId="0" borderId="0" xfId="5" applyNumberFormat="1" applyFont="1" applyBorder="1"/>
    <xf numFmtId="0" fontId="131" fillId="0" borderId="0" xfId="5" applyBorder="1" applyAlignment="1">
      <alignment horizontal="center" vertical="center"/>
    </xf>
    <xf numFmtId="0" fontId="131" fillId="0" borderId="0" xfId="5" applyBorder="1"/>
    <xf numFmtId="3" fontId="21" fillId="0" borderId="0" xfId="5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58" fillId="0" borderId="1" xfId="8" applyFont="1" applyBorder="1" applyAlignment="1">
      <alignment vertical="center" wrapText="1"/>
    </xf>
    <xf numFmtId="0" fontId="31" fillId="0" borderId="1" xfId="5" applyFont="1" applyBorder="1" applyAlignment="1">
      <alignment vertical="center"/>
    </xf>
    <xf numFmtId="0" fontId="32" fillId="0" borderId="1" xfId="5" applyFont="1" applyBorder="1" applyAlignment="1">
      <alignment vertical="center" wrapText="1"/>
    </xf>
    <xf numFmtId="0" fontId="4" fillId="0" borderId="1" xfId="5" applyFont="1" applyBorder="1" applyAlignment="1">
      <alignment horizontal="center" vertical="center"/>
    </xf>
    <xf numFmtId="0" fontId="43" fillId="0" borderId="1" xfId="5" applyFont="1" applyBorder="1" applyAlignment="1">
      <alignment vertical="center"/>
    </xf>
    <xf numFmtId="0" fontId="185" fillId="0" borderId="1" xfId="5" applyFont="1" applyFill="1" applyBorder="1" applyAlignment="1">
      <alignment vertical="center"/>
    </xf>
    <xf numFmtId="0" fontId="186" fillId="0" borderId="1" xfId="5" applyFont="1" applyBorder="1" applyAlignment="1">
      <alignment vertical="center" wrapText="1"/>
    </xf>
    <xf numFmtId="49" fontId="4" fillId="0" borderId="1" xfId="5" applyNumberFormat="1" applyFont="1" applyBorder="1" applyAlignment="1">
      <alignment horizontal="center" vertical="center"/>
    </xf>
    <xf numFmtId="0" fontId="185" fillId="0" borderId="1" xfId="5" applyFont="1" applyBorder="1" applyAlignment="1">
      <alignment vertical="center"/>
    </xf>
    <xf numFmtId="0" fontId="43" fillId="0" borderId="1" xfId="5" applyFont="1" applyFill="1" applyBorder="1" applyAlignment="1">
      <alignment horizontal="left" vertical="center"/>
    </xf>
    <xf numFmtId="0" fontId="32" fillId="0" borderId="1" xfId="5" applyFont="1" applyFill="1" applyBorder="1" applyAlignment="1">
      <alignment horizontal="left" vertical="center"/>
    </xf>
    <xf numFmtId="0" fontId="31" fillId="0" borderId="1" xfId="5" applyFont="1" applyBorder="1" applyAlignment="1">
      <alignment horizontal="left" vertical="center"/>
    </xf>
    <xf numFmtId="0" fontId="14" fillId="0" borderId="1" xfId="5" applyFont="1" applyBorder="1" applyAlignment="1">
      <alignment horizontal="left" vertical="center"/>
    </xf>
    <xf numFmtId="0" fontId="187" fillId="0" borderId="1" xfId="5" applyFont="1" applyBorder="1" applyAlignment="1">
      <alignment vertical="center"/>
    </xf>
    <xf numFmtId="0" fontId="31" fillId="3" borderId="1" xfId="5" applyFont="1" applyFill="1" applyBorder="1" applyAlignment="1">
      <alignment horizontal="left" vertical="center"/>
    </xf>
    <xf numFmtId="0" fontId="14" fillId="3" borderId="1" xfId="5" applyFont="1" applyFill="1" applyBorder="1" applyAlignment="1">
      <alignment horizontal="left" vertical="center"/>
    </xf>
    <xf numFmtId="0" fontId="32" fillId="3" borderId="1" xfId="5" applyFont="1" applyFill="1" applyBorder="1" applyAlignment="1">
      <alignment horizontal="left" vertical="center"/>
    </xf>
    <xf numFmtId="0" fontId="32" fillId="3" borderId="1" xfId="5" applyFont="1" applyFill="1" applyBorder="1" applyAlignment="1">
      <alignment vertical="center"/>
    </xf>
    <xf numFmtId="0" fontId="188" fillId="0" borderId="1" xfId="5" applyFont="1" applyBorder="1" applyAlignment="1">
      <alignment vertical="center"/>
    </xf>
    <xf numFmtId="3" fontId="4" fillId="0" borderId="1" xfId="6" applyNumberFormat="1" applyFont="1" applyFill="1" applyBorder="1" applyAlignment="1">
      <alignment horizontal="right" vertical="center" wrapText="1"/>
    </xf>
    <xf numFmtId="0" fontId="31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87" fillId="0" borderId="1" xfId="0" applyFont="1" applyBorder="1" applyAlignment="1">
      <alignment vertical="center"/>
    </xf>
    <xf numFmtId="0" fontId="31" fillId="3" borderId="1" xfId="0" applyFont="1" applyFill="1" applyBorder="1" applyAlignment="1">
      <alignment vertical="center"/>
    </xf>
    <xf numFmtId="0" fontId="32" fillId="3" borderId="1" xfId="0" applyFont="1" applyFill="1" applyBorder="1" applyAlignment="1">
      <alignment vertical="center"/>
    </xf>
    <xf numFmtId="0" fontId="32" fillId="3" borderId="3" xfId="0" applyFont="1" applyFill="1" applyBorder="1" applyAlignment="1">
      <alignment vertical="center"/>
    </xf>
    <xf numFmtId="4" fontId="21" fillId="0" borderId="1" xfId="8" applyNumberFormat="1" applyFont="1" applyBorder="1" applyAlignment="1">
      <alignment horizontal="right" vertical="center" wrapText="1"/>
    </xf>
    <xf numFmtId="4" fontId="88" fillId="0" borderId="1" xfId="8" applyNumberFormat="1" applyFont="1" applyBorder="1" applyAlignment="1">
      <alignment horizontal="right" vertical="center" wrapText="1"/>
    </xf>
    <xf numFmtId="4" fontId="111" fillId="0" borderId="1" xfId="8" applyNumberFormat="1" applyFont="1" applyBorder="1" applyAlignment="1">
      <alignment horizontal="right" vertical="center" wrapText="1"/>
    </xf>
    <xf numFmtId="0" fontId="17" fillId="0" borderId="1" xfId="8" applyFont="1" applyBorder="1" applyAlignment="1">
      <alignment vertical="center"/>
    </xf>
    <xf numFmtId="0" fontId="163" fillId="0" borderId="1" xfId="8" applyFont="1" applyBorder="1" applyAlignment="1">
      <alignment vertical="center"/>
    </xf>
    <xf numFmtId="0" fontId="31" fillId="3" borderId="1" xfId="5" applyFont="1" applyFill="1" applyBorder="1" applyAlignment="1">
      <alignment vertical="center"/>
    </xf>
    <xf numFmtId="0" fontId="21" fillId="2" borderId="1" xfId="8" applyFont="1" applyFill="1" applyBorder="1" applyAlignment="1">
      <alignment horizontal="center" vertical="center" wrapText="1"/>
    </xf>
    <xf numFmtId="0" fontId="191" fillId="0" borderId="1" xfId="8" applyFont="1" applyBorder="1" applyAlignment="1">
      <alignment horizontal="left" vertical="center" wrapText="1"/>
    </xf>
    <xf numFmtId="14" fontId="192" fillId="0" borderId="1" xfId="8" applyNumberFormat="1" applyFont="1" applyBorder="1" applyAlignment="1">
      <alignment horizontal="center" vertical="center" wrapText="1"/>
    </xf>
    <xf numFmtId="0" fontId="191" fillId="0" borderId="1" xfId="8" applyFont="1" applyBorder="1" applyAlignment="1">
      <alignment horizontal="left" vertical="center"/>
    </xf>
    <xf numFmtId="14" fontId="192" fillId="0" borderId="1" xfId="8" applyNumberFormat="1" applyFont="1" applyBorder="1" applyAlignment="1">
      <alignment horizontal="center" vertical="center"/>
    </xf>
    <xf numFmtId="0" fontId="193" fillId="0" borderId="1" xfId="8" applyFont="1" applyBorder="1" applyAlignment="1">
      <alignment vertical="center"/>
    </xf>
    <xf numFmtId="0" fontId="191" fillId="0" borderId="1" xfId="8" applyFont="1" applyBorder="1" applyAlignment="1">
      <alignment vertical="center"/>
    </xf>
    <xf numFmtId="0" fontId="21" fillId="0" borderId="1" xfId="8" applyFont="1" applyFill="1" applyBorder="1" applyAlignment="1">
      <alignment horizontal="center" vertical="center" wrapText="1"/>
    </xf>
    <xf numFmtId="0" fontId="31" fillId="0" borderId="1" xfId="8" applyFont="1" applyBorder="1" applyAlignment="1">
      <alignment vertical="center"/>
    </xf>
    <xf numFmtId="0" fontId="31" fillId="3" borderId="1" xfId="8" applyFont="1" applyFill="1" applyBorder="1" applyAlignment="1">
      <alignment horizontal="left" vertical="center" wrapText="1"/>
    </xf>
    <xf numFmtId="0" fontId="191" fillId="3" borderId="1" xfId="8" applyFont="1" applyFill="1" applyBorder="1" applyAlignment="1">
      <alignment horizontal="left" vertical="center" wrapText="1"/>
    </xf>
    <xf numFmtId="14" fontId="192" fillId="3" borderId="1" xfId="8" applyNumberFormat="1" applyFont="1" applyFill="1" applyBorder="1" applyAlignment="1">
      <alignment horizontal="center" vertical="center" wrapText="1"/>
    </xf>
    <xf numFmtId="0" fontId="10" fillId="0" borderId="0" xfId="5" applyFont="1" applyAlignment="1">
      <alignment horizontal="center"/>
    </xf>
    <xf numFmtId="0" fontId="2" fillId="0" borderId="0" xfId="5" applyFont="1" applyAlignment="1">
      <alignment horizontal="center"/>
    </xf>
    <xf numFmtId="0" fontId="56" fillId="0" borderId="0" xfId="5" applyFont="1" applyAlignment="1">
      <alignment horizontal="center" vertical="center"/>
    </xf>
    <xf numFmtId="0" fontId="41" fillId="0" borderId="0" xfId="5" applyFont="1" applyAlignment="1">
      <alignment horizontal="center"/>
    </xf>
    <xf numFmtId="169" fontId="35" fillId="0" borderId="1" xfId="6" applyNumberFormat="1" applyFont="1" applyBorder="1" applyAlignment="1">
      <alignment horizontal="center" vertical="center" wrapText="1"/>
    </xf>
    <xf numFmtId="0" fontId="4" fillId="0" borderId="0" xfId="6" applyFont="1" applyAlignment="1">
      <alignment horizontal="center" vertical="center"/>
    </xf>
    <xf numFmtId="4" fontId="19" fillId="0" borderId="0" xfId="5" applyNumberFormat="1" applyFont="1"/>
    <xf numFmtId="169" fontId="19" fillId="0" borderId="0" xfId="5" applyNumberFormat="1" applyFont="1"/>
    <xf numFmtId="0" fontId="59" fillId="0" borderId="0" xfId="5" applyFont="1"/>
    <xf numFmtId="4" fontId="2" fillId="0" borderId="0" xfId="5" applyNumberFormat="1" applyFont="1" applyAlignment="1">
      <alignment horizontal="center"/>
    </xf>
    <xf numFmtId="169" fontId="2" fillId="0" borderId="0" xfId="5" applyNumberFormat="1" applyFont="1" applyAlignment="1">
      <alignment horizontal="center"/>
    </xf>
    <xf numFmtId="3" fontId="64" fillId="0" borderId="0" xfId="5" applyNumberFormat="1" applyFont="1" applyAlignment="1">
      <alignment horizontal="center"/>
    </xf>
    <xf numFmtId="169" fontId="2" fillId="0" borderId="0" xfId="5" applyNumberFormat="1" applyFont="1"/>
    <xf numFmtId="0" fontId="41" fillId="0" borderId="0" xfId="5" applyFont="1"/>
    <xf numFmtId="4" fontId="59" fillId="0" borderId="0" xfId="5" applyNumberFormat="1" applyFont="1"/>
    <xf numFmtId="169" fontId="59" fillId="0" borderId="0" xfId="5" applyNumberFormat="1" applyFont="1"/>
    <xf numFmtId="0" fontId="58" fillId="0" borderId="0" xfId="5" applyFont="1" applyAlignment="1">
      <alignment vertical="center"/>
    </xf>
    <xf numFmtId="169" fontId="64" fillId="0" borderId="0" xfId="5" applyNumberFormat="1" applyFont="1"/>
    <xf numFmtId="169" fontId="64" fillId="0" borderId="0" xfId="5" applyNumberFormat="1" applyFont="1" applyAlignment="1">
      <alignment horizontal="center"/>
    </xf>
    <xf numFmtId="0" fontId="67" fillId="0" borderId="0" xfId="5" applyFont="1"/>
    <xf numFmtId="2" fontId="131" fillId="0" borderId="0" xfId="5" applyNumberFormat="1"/>
    <xf numFmtId="169" fontId="67" fillId="0" borderId="0" xfId="5" applyNumberFormat="1" applyFont="1"/>
    <xf numFmtId="0" fontId="76" fillId="0" borderId="0" xfId="5" applyFont="1"/>
    <xf numFmtId="0" fontId="67" fillId="0" borderId="0" xfId="5" applyFont="1" applyAlignment="1">
      <alignment horizontal="center"/>
    </xf>
    <xf numFmtId="164" fontId="21" fillId="0" borderId="0" xfId="5" applyNumberFormat="1" applyFont="1"/>
    <xf numFmtId="0" fontId="90" fillId="0" borderId="0" xfId="5" applyFont="1" applyAlignment="1">
      <alignment vertical="center"/>
    </xf>
    <xf numFmtId="4" fontId="90" fillId="0" borderId="0" xfId="5" applyNumberFormat="1" applyFont="1" applyAlignment="1">
      <alignment vertical="center"/>
    </xf>
    <xf numFmtId="169" fontId="90" fillId="0" borderId="0" xfId="5" applyNumberFormat="1" applyFont="1" applyAlignment="1">
      <alignment vertical="center"/>
    </xf>
    <xf numFmtId="0" fontId="90" fillId="0" borderId="0" xfId="5" applyFont="1" applyAlignment="1">
      <alignment horizontal="center" vertical="center"/>
    </xf>
    <xf numFmtId="4" fontId="131" fillId="0" borderId="0" xfId="5" applyNumberFormat="1"/>
    <xf numFmtId="2" fontId="19" fillId="0" borderId="0" xfId="5" applyNumberFormat="1" applyFont="1"/>
    <xf numFmtId="169" fontId="131" fillId="0" borderId="0" xfId="5" applyNumberFormat="1"/>
    <xf numFmtId="169" fontId="131" fillId="0" borderId="0" xfId="5" applyNumberFormat="1" applyBorder="1"/>
    <xf numFmtId="0" fontId="131" fillId="0" borderId="4" xfId="5" applyFont="1" applyBorder="1"/>
    <xf numFmtId="164" fontId="3" fillId="0" borderId="0" xfId="5" applyNumberFormat="1" applyFont="1" applyFill="1" applyAlignment="1">
      <alignment horizontal="right"/>
    </xf>
    <xf numFmtId="0" fontId="7" fillId="0" borderId="0" xfId="5" applyFont="1" applyFill="1" applyAlignment="1">
      <alignment vertical="center"/>
    </xf>
    <xf numFmtId="4" fontId="7" fillId="0" borderId="0" xfId="5" applyNumberFormat="1" applyFont="1" applyFill="1" applyAlignment="1">
      <alignment vertical="center"/>
    </xf>
    <xf numFmtId="0" fontId="53" fillId="0" borderId="1" xfId="5" applyFont="1" applyFill="1" applyBorder="1" applyAlignment="1">
      <alignment vertical="center"/>
    </xf>
    <xf numFmtId="0" fontId="43" fillId="0" borderId="0" xfId="5" applyFont="1"/>
    <xf numFmtId="4" fontId="18" fillId="0" borderId="1" xfId="5" applyNumberFormat="1" applyFont="1" applyBorder="1" applyAlignment="1">
      <alignment vertical="center"/>
    </xf>
    <xf numFmtId="4" fontId="18" fillId="0" borderId="1" xfId="5" applyNumberFormat="1" applyFont="1" applyBorder="1" applyAlignment="1">
      <alignment horizontal="right" vertical="center"/>
    </xf>
    <xf numFmtId="0" fontId="50" fillId="0" borderId="1" xfId="5" applyFont="1" applyBorder="1" applyAlignment="1">
      <alignment horizontal="center" vertical="center" wrapText="1"/>
    </xf>
    <xf numFmtId="4" fontId="18" fillId="0" borderId="1" xfId="5" applyNumberFormat="1" applyFont="1" applyFill="1" applyBorder="1" applyAlignment="1">
      <alignment vertical="center"/>
    </xf>
    <xf numFmtId="0" fontId="43" fillId="2" borderId="0" xfId="5" applyFont="1" applyFill="1"/>
    <xf numFmtId="4" fontId="18" fillId="0" borderId="1" xfId="5" applyNumberFormat="1" applyFont="1" applyFill="1" applyBorder="1" applyAlignment="1">
      <alignment horizontal="right" vertical="center"/>
    </xf>
    <xf numFmtId="0" fontId="50" fillId="0" borderId="1" xfId="5" applyFont="1" applyFill="1" applyBorder="1" applyAlignment="1">
      <alignment horizontal="center" vertical="center" wrapText="1"/>
    </xf>
    <xf numFmtId="4" fontId="18" fillId="0" borderId="1" xfId="5" applyNumberFormat="1" applyFont="1" applyFill="1" applyBorder="1" applyAlignment="1">
      <alignment horizontal="left" vertical="center" wrapText="1"/>
    </xf>
    <xf numFmtId="4" fontId="25" fillId="0" borderId="1" xfId="5" applyNumberFormat="1" applyFont="1" applyFill="1" applyBorder="1" applyAlignment="1">
      <alignment vertical="center"/>
    </xf>
    <xf numFmtId="0" fontId="89" fillId="0" borderId="6" xfId="5" applyFont="1" applyBorder="1" applyAlignment="1">
      <alignment horizontal="center" vertical="center" wrapText="1"/>
    </xf>
    <xf numFmtId="0" fontId="167" fillId="0" borderId="1" xfId="5" applyFont="1" applyBorder="1" applyAlignment="1">
      <alignment horizontal="center" vertical="center" wrapText="1"/>
    </xf>
    <xf numFmtId="0" fontId="171" fillId="0" borderId="1" xfId="5" applyFont="1" applyBorder="1" applyAlignment="1">
      <alignment horizontal="center" vertical="center" wrapText="1"/>
    </xf>
    <xf numFmtId="0" fontId="21" fillId="0" borderId="0" xfId="5" applyFont="1"/>
    <xf numFmtId="0" fontId="87" fillId="0" borderId="0" xfId="5" applyFont="1" applyAlignment="1">
      <alignment vertical="center"/>
    </xf>
    <xf numFmtId="0" fontId="86" fillId="0" borderId="0" xfId="5" applyFont="1" applyAlignment="1">
      <alignment vertical="center"/>
    </xf>
    <xf numFmtId="4" fontId="4" fillId="0" borderId="0" xfId="5" applyNumberFormat="1" applyFont="1"/>
    <xf numFmtId="169" fontId="10" fillId="0" borderId="0" xfId="5" applyNumberFormat="1" applyFont="1" applyAlignment="1">
      <alignment horizontal="center"/>
    </xf>
    <xf numFmtId="169" fontId="7" fillId="0" borderId="0" xfId="5" applyNumberFormat="1" applyFont="1" applyAlignment="1">
      <alignment horizontal="center"/>
    </xf>
    <xf numFmtId="0" fontId="36" fillId="0" borderId="0" xfId="5" applyFont="1" applyAlignment="1">
      <alignment vertical="top"/>
    </xf>
    <xf numFmtId="169" fontId="5" fillId="0" borderId="0" xfId="5" applyNumberFormat="1" applyFont="1" applyAlignment="1">
      <alignment horizontal="center"/>
    </xf>
    <xf numFmtId="169" fontId="84" fillId="0" borderId="0" xfId="5" applyNumberFormat="1" applyFont="1" applyAlignment="1">
      <alignment vertical="center" wrapText="1"/>
    </xf>
    <xf numFmtId="0" fontId="5" fillId="0" borderId="0" xfId="5" applyFont="1" applyAlignment="1">
      <alignment horizontal="center"/>
    </xf>
    <xf numFmtId="0" fontId="7" fillId="0" borderId="0" xfId="5" applyFont="1" applyAlignment="1">
      <alignment horizontal="center"/>
    </xf>
    <xf numFmtId="0" fontId="4" fillId="0" borderId="0" xfId="5" applyFont="1" applyAlignment="1">
      <alignment horizontal="center"/>
    </xf>
    <xf numFmtId="0" fontId="6" fillId="0" borderId="0" xfId="5" applyFont="1" applyAlignment="1">
      <alignment horizontal="center"/>
    </xf>
    <xf numFmtId="166" fontId="16" fillId="0" borderId="0" xfId="5" applyNumberFormat="1" applyFont="1" applyBorder="1" applyAlignment="1">
      <alignment horizontal="center"/>
    </xf>
    <xf numFmtId="3" fontId="41" fillId="0" borderId="0" xfId="5" applyNumberFormat="1" applyFont="1" applyAlignment="1">
      <alignment horizontal="center"/>
    </xf>
    <xf numFmtId="166" fontId="91" fillId="0" borderId="0" xfId="5" applyNumberFormat="1" applyFont="1" applyAlignment="1">
      <alignment horizontal="center"/>
    </xf>
    <xf numFmtId="0" fontId="17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 wrapText="1"/>
    </xf>
    <xf numFmtId="0" fontId="43" fillId="0" borderId="1" xfId="0" applyFont="1" applyBorder="1" applyAlignment="1">
      <alignment vertical="center"/>
    </xf>
    <xf numFmtId="0" fontId="185" fillId="0" borderId="1" xfId="0" applyFont="1" applyFill="1" applyBorder="1" applyAlignment="1">
      <alignment vertical="center"/>
    </xf>
    <xf numFmtId="0" fontId="186" fillId="0" borderId="1" xfId="0" applyFont="1" applyBorder="1" applyAlignment="1">
      <alignment vertical="center" wrapText="1"/>
    </xf>
    <xf numFmtId="0" fontId="185" fillId="0" borderId="1" xfId="0" applyFont="1" applyBorder="1" applyAlignment="1">
      <alignment vertical="center"/>
    </xf>
    <xf numFmtId="0" fontId="43" fillId="0" borderId="1" xfId="0" applyFont="1" applyFill="1" applyBorder="1" applyAlignment="1">
      <alignment horizontal="left" vertical="center"/>
    </xf>
    <xf numFmtId="0" fontId="32" fillId="0" borderId="1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31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32" fillId="3" borderId="1" xfId="0" applyFont="1" applyFill="1" applyBorder="1" applyAlignment="1">
      <alignment horizontal="left" vertical="center"/>
    </xf>
    <xf numFmtId="0" fontId="188" fillId="0" borderId="1" xfId="0" applyFont="1" applyBorder="1" applyAlignment="1">
      <alignment vertical="center"/>
    </xf>
    <xf numFmtId="0" fontId="189" fillId="0" borderId="0" xfId="0" applyFont="1"/>
    <xf numFmtId="0" fontId="52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52" fillId="3" borderId="3" xfId="0" applyFont="1" applyFill="1" applyBorder="1" applyAlignment="1">
      <alignment vertical="center"/>
    </xf>
    <xf numFmtId="0" fontId="189" fillId="0" borderId="0" xfId="0" applyFont="1" applyAlignment="1">
      <alignment vertical="center"/>
    </xf>
    <xf numFmtId="169" fontId="3" fillId="0" borderId="0" xfId="5" applyNumberFormat="1" applyFont="1"/>
    <xf numFmtId="0" fontId="52" fillId="0" borderId="1" xfId="5" applyFont="1" applyBorder="1" applyAlignment="1">
      <alignment vertical="center"/>
    </xf>
    <xf numFmtId="4" fontId="3" fillId="0" borderId="1" xfId="5" applyNumberFormat="1" applyFont="1" applyFill="1" applyBorder="1" applyAlignment="1">
      <alignment vertical="center"/>
    </xf>
    <xf numFmtId="4" fontId="38" fillId="0" borderId="1" xfId="5" applyNumberFormat="1" applyFont="1" applyFill="1" applyBorder="1" applyAlignment="1">
      <alignment vertical="center"/>
    </xf>
    <xf numFmtId="0" fontId="189" fillId="0" borderId="1" xfId="5" applyFont="1" applyBorder="1"/>
    <xf numFmtId="0" fontId="52" fillId="3" borderId="1" xfId="5" applyFont="1" applyFill="1" applyBorder="1" applyAlignment="1">
      <alignment vertical="center"/>
    </xf>
    <xf numFmtId="0" fontId="189" fillId="0" borderId="1" xfId="5" applyFont="1" applyBorder="1" applyAlignment="1">
      <alignment vertical="center"/>
    </xf>
    <xf numFmtId="0" fontId="73" fillId="3" borderId="0" xfId="0" applyFont="1" applyFill="1" applyAlignment="1">
      <alignment vertical="top"/>
    </xf>
    <xf numFmtId="2" fontId="50" fillId="0" borderId="1" xfId="7" applyNumberFormat="1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5" applyFont="1" applyAlignment="1">
      <alignment horizontal="center"/>
    </xf>
    <xf numFmtId="0" fontId="2" fillId="0" borderId="0" xfId="5" applyFont="1" applyAlignment="1">
      <alignment horizontal="center"/>
    </xf>
    <xf numFmtId="0" fontId="56" fillId="0" borderId="0" xfId="5" applyFont="1" applyAlignment="1">
      <alignment horizontal="center" vertical="center"/>
    </xf>
    <xf numFmtId="0" fontId="41" fillId="0" borderId="0" xfId="5" applyFont="1" applyAlignment="1">
      <alignment horizontal="center"/>
    </xf>
    <xf numFmtId="0" fontId="67" fillId="0" borderId="0" xfId="5" applyFont="1" applyAlignment="1">
      <alignment horizontal="center"/>
    </xf>
    <xf numFmtId="169" fontId="35" fillId="0" borderId="1" xfId="6" applyNumberFormat="1" applyFont="1" applyBorder="1" applyAlignment="1">
      <alignment horizontal="center" vertical="center" wrapText="1"/>
    </xf>
    <xf numFmtId="0" fontId="4" fillId="0" borderId="0" xfId="6" applyFont="1" applyAlignment="1">
      <alignment horizontal="center" vertical="center"/>
    </xf>
    <xf numFmtId="3" fontId="64" fillId="0" borderId="0" xfId="5" applyNumberFormat="1" applyFont="1" applyAlignment="1">
      <alignment horizontal="center"/>
    </xf>
    <xf numFmtId="0" fontId="4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3" fontId="64" fillId="0" borderId="0" xfId="5" applyNumberFormat="1" applyFont="1" applyBorder="1" applyAlignment="1">
      <alignment horizontal="center" vertical="center"/>
    </xf>
    <xf numFmtId="3" fontId="50" fillId="0" borderId="0" xfId="5" applyNumberFormat="1" applyFont="1" applyBorder="1" applyAlignment="1">
      <alignment horizontal="center" vertical="center" wrapText="1"/>
    </xf>
    <xf numFmtId="3" fontId="64" fillId="0" borderId="0" xfId="5" applyNumberFormat="1" applyFont="1" applyBorder="1" applyAlignment="1">
      <alignment horizontal="center" vertical="center" wrapText="1"/>
    </xf>
    <xf numFmtId="4" fontId="64" fillId="0" borderId="0" xfId="5" applyNumberFormat="1" applyFont="1" applyBorder="1" applyAlignment="1">
      <alignment vertical="center"/>
    </xf>
    <xf numFmtId="169" fontId="98" fillId="0" borderId="0" xfId="5" applyNumberFormat="1" applyFont="1" applyBorder="1" applyAlignment="1">
      <alignment vertical="center"/>
    </xf>
    <xf numFmtId="3" fontId="95" fillId="0" borderId="1" xfId="0" applyNumberFormat="1" applyFont="1" applyBorder="1" applyAlignment="1">
      <alignment horizontal="left" vertical="center" wrapText="1"/>
    </xf>
    <xf numFmtId="3" fontId="95" fillId="0" borderId="1" xfId="0" applyNumberFormat="1" applyFont="1" applyBorder="1" applyAlignment="1">
      <alignment horizontal="center" vertical="center" wrapText="1"/>
    </xf>
    <xf numFmtId="167" fontId="21" fillId="0" borderId="1" xfId="0" applyNumberFormat="1" applyFont="1" applyBorder="1" applyAlignment="1">
      <alignment horizontal="right" vertical="center" wrapText="1"/>
    </xf>
    <xf numFmtId="4" fontId="21" fillId="0" borderId="1" xfId="0" applyNumberFormat="1" applyFont="1" applyBorder="1" applyAlignment="1">
      <alignment horizontal="right" vertical="center" wrapText="1"/>
    </xf>
    <xf numFmtId="3" fontId="35" fillId="0" borderId="1" xfId="0" applyNumberFormat="1" applyFont="1" applyBorder="1" applyAlignment="1">
      <alignment horizontal="center" vertical="center" wrapText="1"/>
    </xf>
    <xf numFmtId="3" fontId="35" fillId="0" borderId="12" xfId="0" applyNumberFormat="1" applyFont="1" applyBorder="1" applyAlignment="1">
      <alignment horizontal="center" vertical="center" wrapText="1"/>
    </xf>
    <xf numFmtId="3" fontId="50" fillId="0" borderId="1" xfId="0" applyNumberFormat="1" applyFont="1" applyBorder="1" applyAlignment="1">
      <alignment horizontal="center" vertical="center" wrapText="1"/>
    </xf>
    <xf numFmtId="3" fontId="177" fillId="0" borderId="1" xfId="0" applyNumberFormat="1" applyFont="1" applyBorder="1" applyAlignment="1">
      <alignment horizontal="left" vertical="center" wrapText="1"/>
    </xf>
    <xf numFmtId="3" fontId="96" fillId="0" borderId="1" xfId="0" applyNumberFormat="1" applyFont="1" applyBorder="1" applyAlignment="1">
      <alignment horizontal="center" vertical="center" wrapText="1"/>
    </xf>
    <xf numFmtId="167" fontId="179" fillId="0" borderId="1" xfId="0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left" vertical="center" wrapText="1"/>
    </xf>
    <xf numFmtId="167" fontId="30" fillId="0" borderId="1" xfId="0" applyNumberFormat="1" applyFont="1" applyBorder="1" applyAlignment="1">
      <alignment horizontal="right" vertical="center" wrapText="1"/>
    </xf>
    <xf numFmtId="3" fontId="64" fillId="0" borderId="12" xfId="0" applyNumberFormat="1" applyFont="1" applyBorder="1" applyAlignment="1">
      <alignment horizontal="right" vertical="center" wrapText="1"/>
    </xf>
    <xf numFmtId="3" fontId="178" fillId="0" borderId="1" xfId="0" applyNumberFormat="1" applyFont="1" applyBorder="1" applyAlignment="1">
      <alignment horizontal="left" vertical="center" wrapText="1"/>
    </xf>
    <xf numFmtId="3" fontId="117" fillId="0" borderId="1" xfId="0" applyNumberFormat="1" applyFont="1" applyBorder="1" applyAlignment="1">
      <alignment horizontal="center" vertical="center" wrapText="1"/>
    </xf>
    <xf numFmtId="4" fontId="111" fillId="0" borderId="1" xfId="0" applyNumberFormat="1" applyFont="1" applyBorder="1" applyAlignment="1">
      <alignment horizontal="right" vertical="center" wrapText="1"/>
    </xf>
    <xf numFmtId="3" fontId="181" fillId="0" borderId="12" xfId="0" applyNumberFormat="1" applyFont="1" applyBorder="1" applyAlignment="1">
      <alignment horizontal="center" vertical="center" wrapText="1"/>
    </xf>
    <xf numFmtId="167" fontId="98" fillId="0" borderId="1" xfId="0" applyNumberFormat="1" applyFont="1" applyBorder="1" applyAlignment="1">
      <alignment horizontal="right" vertical="center" wrapText="1"/>
    </xf>
    <xf numFmtId="166" fontId="111" fillId="0" borderId="1" xfId="0" applyNumberFormat="1" applyFont="1" applyBorder="1" applyAlignment="1">
      <alignment horizontal="right" vertical="center" wrapText="1"/>
    </xf>
    <xf numFmtId="3" fontId="50" fillId="0" borderId="1" xfId="0" applyNumberFormat="1" applyFont="1" applyBorder="1" applyAlignment="1">
      <alignment horizontal="left" vertical="center" wrapText="1"/>
    </xf>
    <xf numFmtId="0" fontId="50" fillId="0" borderId="0" xfId="0" applyFont="1" applyAlignment="1">
      <alignment vertical="center" wrapText="1"/>
    </xf>
    <xf numFmtId="3" fontId="95" fillId="0" borderId="2" xfId="0" applyNumberFormat="1" applyFont="1" applyBorder="1" applyAlignment="1">
      <alignment horizontal="left" vertical="center" wrapText="1"/>
    </xf>
    <xf numFmtId="167" fontId="111" fillId="0" borderId="1" xfId="0" applyNumberFormat="1" applyFont="1" applyBorder="1" applyAlignment="1">
      <alignment horizontal="right" vertical="center" wrapText="1"/>
    </xf>
    <xf numFmtId="0" fontId="17" fillId="0" borderId="2" xfId="8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42" fillId="0" borderId="1" xfId="0" applyFont="1" applyBorder="1" applyAlignment="1">
      <alignment horizontal="center" vertical="center" wrapText="1"/>
    </xf>
    <xf numFmtId="3" fontId="30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3" fontId="21" fillId="0" borderId="1" xfId="0" applyNumberFormat="1" applyFont="1" applyFill="1" applyBorder="1" applyAlignment="1">
      <alignment horizontal="center" vertical="center" wrapText="1"/>
    </xf>
    <xf numFmtId="4" fontId="21" fillId="0" borderId="1" xfId="0" quotePrefix="1" applyNumberFormat="1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/>
    <xf numFmtId="0" fontId="161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3" fontId="10" fillId="0" borderId="1" xfId="0" applyNumberFormat="1" applyFont="1" applyFill="1" applyBorder="1" applyAlignment="1">
      <alignment horizontal="center" vertical="center"/>
    </xf>
    <xf numFmtId="169" fontId="3" fillId="0" borderId="1" xfId="0" quotePrefix="1" applyNumberFormat="1" applyFont="1" applyFill="1" applyBorder="1" applyAlignment="1">
      <alignment horizontal="center" vertical="center" wrapText="1"/>
    </xf>
    <xf numFmtId="3" fontId="3" fillId="0" borderId="1" xfId="0" quotePrefix="1" applyNumberFormat="1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20" fillId="0" borderId="0" xfId="0" applyFont="1" applyFill="1"/>
    <xf numFmtId="0" fontId="45" fillId="0" borderId="0" xfId="0" applyFont="1" applyFill="1"/>
    <xf numFmtId="3" fontId="20" fillId="0" borderId="0" xfId="0" applyNumberFormat="1" applyFont="1" applyFill="1" applyAlignment="1">
      <alignment horizontal="center" vertical="center"/>
    </xf>
    <xf numFmtId="3" fontId="20" fillId="0" borderId="0" xfId="0" quotePrefix="1" applyNumberFormat="1" applyFont="1" applyFill="1" applyAlignment="1">
      <alignment horizontal="center" vertical="center" wrapText="1"/>
    </xf>
    <xf numFmtId="0" fontId="10" fillId="0" borderId="0" xfId="0" applyFont="1" applyFill="1"/>
    <xf numFmtId="3" fontId="10" fillId="0" borderId="0" xfId="0" applyNumberFormat="1" applyFont="1" applyFill="1"/>
    <xf numFmtId="0" fontId="44" fillId="0" borderId="0" xfId="0" applyFont="1" applyFill="1"/>
    <xf numFmtId="0" fontId="13" fillId="0" borderId="0" xfId="0" applyFont="1" applyFill="1"/>
    <xf numFmtId="168" fontId="13" fillId="0" borderId="0" xfId="0" applyNumberFormat="1" applyFont="1" applyFill="1"/>
    <xf numFmtId="0" fontId="4" fillId="0" borderId="0" xfId="0" applyFont="1" applyFill="1"/>
    <xf numFmtId="0" fontId="32" fillId="0" borderId="0" xfId="0" applyFont="1" applyFill="1"/>
    <xf numFmtId="0" fontId="11" fillId="0" borderId="0" xfId="0" applyFont="1"/>
    <xf numFmtId="0" fontId="11" fillId="0" borderId="0" xfId="0" applyFont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169" fontId="21" fillId="0" borderId="1" xfId="0" quotePrefix="1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30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159" fillId="0" borderId="0" xfId="0" applyFont="1" applyAlignment="1">
      <alignment vertical="center"/>
    </xf>
    <xf numFmtId="0" fontId="48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69" fontId="7" fillId="0" borderId="1" xfId="0" applyNumberFormat="1" applyFont="1" applyBorder="1" applyAlignment="1">
      <alignment horizontal="center" vertical="center" wrapText="1"/>
    </xf>
    <xf numFmtId="0" fontId="48" fillId="0" borderId="1" xfId="0" applyFont="1" applyBorder="1"/>
    <xf numFmtId="3" fontId="52" fillId="0" borderId="0" xfId="0" applyNumberFormat="1" applyFont="1" applyAlignment="1">
      <alignment horizontal="center" vertical="center"/>
    </xf>
    <xf numFmtId="169" fontId="7" fillId="0" borderId="1" xfId="0" applyNumberFormat="1" applyFont="1" applyBorder="1" applyAlignment="1">
      <alignment horizontal="right" vertical="center" wrapText="1"/>
    </xf>
    <xf numFmtId="168" fontId="53" fillId="0" borderId="0" xfId="0" applyNumberFormat="1" applyFont="1"/>
    <xf numFmtId="166" fontId="54" fillId="0" borderId="0" xfId="0" applyNumberFormat="1" applyFont="1"/>
    <xf numFmtId="0" fontId="54" fillId="0" borderId="0" xfId="0" applyFont="1"/>
    <xf numFmtId="169" fontId="44" fillId="0" borderId="0" xfId="0" applyNumberFormat="1" applyFont="1"/>
    <xf numFmtId="0" fontId="44" fillId="0" borderId="0" xfId="0" applyFont="1"/>
    <xf numFmtId="3" fontId="20" fillId="0" borderId="0" xfId="0" applyNumberFormat="1" applyFont="1"/>
    <xf numFmtId="4" fontId="20" fillId="0" borderId="0" xfId="0" applyNumberFormat="1" applyFont="1"/>
    <xf numFmtId="166" fontId="20" fillId="0" borderId="0" xfId="0" applyNumberFormat="1" applyFont="1"/>
    <xf numFmtId="0" fontId="6" fillId="0" borderId="0" xfId="0" applyFont="1" applyAlignment="1">
      <alignment horizontal="center" vertical="top"/>
    </xf>
    <xf numFmtId="170" fontId="4" fillId="0" borderId="0" xfId="0" applyNumberFormat="1" applyFont="1"/>
    <xf numFmtId="0" fontId="33" fillId="0" borderId="8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41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169" fontId="50" fillId="0" borderId="1" xfId="0" quotePrefix="1" applyNumberFormat="1" applyFont="1" applyBorder="1" applyAlignment="1">
      <alignment horizontal="center" vertical="center" wrapText="1"/>
    </xf>
    <xf numFmtId="3" fontId="50" fillId="0" borderId="1" xfId="0" applyNumberFormat="1" applyFont="1" applyBorder="1" applyAlignment="1">
      <alignment horizontal="right" vertical="center" wrapText="1"/>
    </xf>
    <xf numFmtId="0" fontId="50" fillId="0" borderId="12" xfId="0" applyFont="1" applyBorder="1"/>
    <xf numFmtId="0" fontId="50" fillId="0" borderId="13" xfId="0" applyFont="1" applyBorder="1" applyAlignment="1">
      <alignment horizontal="center" vertical="center" wrapText="1"/>
    </xf>
    <xf numFmtId="0" fontId="32" fillId="0" borderId="14" xfId="0" applyFont="1" applyFill="1" applyBorder="1"/>
    <xf numFmtId="3" fontId="55" fillId="0" borderId="14" xfId="0" applyNumberFormat="1" applyFont="1" applyFill="1" applyBorder="1" applyAlignment="1">
      <alignment vertical="center"/>
    </xf>
    <xf numFmtId="169" fontId="3" fillId="0" borderId="14" xfId="0" applyNumberFormat="1" applyFont="1" applyFill="1" applyBorder="1" applyAlignment="1">
      <alignment horizontal="center" vertical="center" wrapText="1"/>
    </xf>
    <xf numFmtId="3" fontId="3" fillId="0" borderId="14" xfId="0" applyNumberFormat="1" applyFont="1" applyFill="1" applyBorder="1" applyAlignment="1">
      <alignment horizontal="center" vertical="center" wrapText="1"/>
    </xf>
    <xf numFmtId="0" fontId="41" fillId="0" borderId="15" xfId="0" applyFont="1" applyFill="1" applyBorder="1"/>
    <xf numFmtId="0" fontId="50" fillId="0" borderId="0" xfId="0" applyFont="1" applyBorder="1" applyAlignment="1">
      <alignment horizontal="center" vertical="center" wrapText="1"/>
    </xf>
    <xf numFmtId="0" fontId="51" fillId="0" borderId="0" xfId="0" applyFont="1" applyBorder="1" applyAlignment="1">
      <alignment horizontal="center" vertical="center" wrapText="1"/>
    </xf>
    <xf numFmtId="0" fontId="32" fillId="0" borderId="0" xfId="0" applyFont="1" applyFill="1" applyBorder="1"/>
    <xf numFmtId="3" fontId="55" fillId="0" borderId="0" xfId="0" applyNumberFormat="1" applyFont="1" applyFill="1" applyBorder="1" applyAlignment="1">
      <alignment vertical="center"/>
    </xf>
    <xf numFmtId="166" fontId="14" fillId="0" borderId="0" xfId="0" quotePrefix="1" applyNumberFormat="1" applyFont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 wrapText="1"/>
    </xf>
    <xf numFmtId="0" fontId="41" fillId="0" borderId="0" xfId="0" applyFont="1" applyFill="1" applyBorder="1"/>
    <xf numFmtId="4" fontId="32" fillId="0" borderId="0" xfId="0" applyNumberFormat="1" applyFont="1" applyFill="1"/>
    <xf numFmtId="3" fontId="32" fillId="0" borderId="0" xfId="0" applyNumberFormat="1" applyFont="1" applyFill="1"/>
    <xf numFmtId="166" fontId="14" fillId="0" borderId="0" xfId="0" applyNumberFormat="1" applyFont="1" applyFill="1"/>
    <xf numFmtId="4" fontId="14" fillId="0" borderId="0" xfId="0" applyNumberFormat="1" applyFont="1" applyFill="1"/>
    <xf numFmtId="3" fontId="14" fillId="0" borderId="0" xfId="0" applyNumberFormat="1" applyFont="1" applyFill="1"/>
    <xf numFmtId="0" fontId="4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169" fontId="3" fillId="0" borderId="1" xfId="0" applyNumberFormat="1" applyFont="1" applyFill="1" applyBorder="1" applyAlignment="1">
      <alignment vertical="center"/>
    </xf>
    <xf numFmtId="3" fontId="38" fillId="0" borderId="1" xfId="0" applyNumberFormat="1" applyFont="1" applyFill="1" applyBorder="1" applyAlignment="1">
      <alignment vertical="center"/>
    </xf>
    <xf numFmtId="2" fontId="20" fillId="0" borderId="0" xfId="0" applyNumberFormat="1" applyFont="1"/>
    <xf numFmtId="168" fontId="20" fillId="0" borderId="0" xfId="0" applyNumberFormat="1" applyFont="1"/>
    <xf numFmtId="0" fontId="24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0" fontId="163" fillId="0" borderId="1" xfId="0" applyFont="1" applyFill="1" applyBorder="1" applyAlignment="1">
      <alignment vertical="center"/>
    </xf>
    <xf numFmtId="0" fontId="27" fillId="0" borderId="1" xfId="0" applyFont="1" applyBorder="1" applyAlignment="1">
      <alignment vertical="center" wrapText="1"/>
    </xf>
    <xf numFmtId="0" fontId="163" fillId="0" borderId="1" xfId="0" applyFont="1" applyBorder="1" applyAlignment="1">
      <alignment vertical="center"/>
    </xf>
    <xf numFmtId="0" fontId="17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159" fillId="0" borderId="1" xfId="0" applyFont="1" applyBorder="1"/>
    <xf numFmtId="0" fontId="14" fillId="0" borderId="0" xfId="0" applyFont="1" applyFill="1" applyBorder="1"/>
    <xf numFmtId="0" fontId="15" fillId="0" borderId="0" xfId="0" applyFont="1" applyBorder="1" applyAlignment="1">
      <alignment horizontal="center" vertical="center"/>
    </xf>
    <xf numFmtId="3" fontId="15" fillId="0" borderId="0" xfId="0" applyNumberFormat="1" applyFont="1" applyFill="1" applyBorder="1" applyAlignment="1">
      <alignment vertical="center"/>
    </xf>
    <xf numFmtId="0" fontId="14" fillId="0" borderId="0" xfId="0" applyFont="1" applyFill="1"/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6" fontId="15" fillId="0" borderId="1" xfId="0" applyNumberFormat="1" applyFont="1" applyFill="1" applyBorder="1" applyAlignment="1">
      <alignment horizontal="center" vertical="center" wrapText="1"/>
    </xf>
    <xf numFmtId="166" fontId="15" fillId="0" borderId="2" xfId="0" applyNumberFormat="1" applyFont="1" applyFill="1" applyBorder="1" applyAlignment="1">
      <alignment horizontal="right" vertical="center" wrapText="1"/>
    </xf>
    <xf numFmtId="166" fontId="15" fillId="0" borderId="3" xfId="0" applyNumberFormat="1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4" fillId="0" borderId="1" xfId="8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166" fontId="25" fillId="0" borderId="1" xfId="0" quotePrefix="1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right" vertical="center" wrapText="1"/>
    </xf>
    <xf numFmtId="0" fontId="1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6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/>
    </xf>
    <xf numFmtId="0" fontId="176" fillId="0" borderId="1" xfId="0" applyFont="1" applyBorder="1" applyAlignment="1">
      <alignment horizontal="center" vertical="center" wrapText="1"/>
    </xf>
    <xf numFmtId="166" fontId="3" fillId="0" borderId="1" xfId="0" quotePrefix="1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right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6" fontId="3" fillId="0" borderId="1" xfId="0" quotePrefix="1" applyNumberFormat="1" applyFont="1" applyBorder="1" applyAlignment="1">
      <alignment horizontal="center" vertical="center" wrapText="1"/>
    </xf>
    <xf numFmtId="0" fontId="64" fillId="0" borderId="0" xfId="0" applyFont="1" applyAlignment="1">
      <alignment vertical="center"/>
    </xf>
    <xf numFmtId="0" fontId="195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 wrapText="1"/>
    </xf>
    <xf numFmtId="0" fontId="16" fillId="0" borderId="0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3" fontId="4" fillId="0" borderId="0" xfId="0" applyNumberFormat="1" applyFont="1" applyBorder="1" applyAlignment="1">
      <alignment vertical="center" wrapText="1"/>
    </xf>
    <xf numFmtId="14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66" fontId="4" fillId="0" borderId="0" xfId="0" quotePrefix="1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right" vertical="center" wrapText="1"/>
    </xf>
    <xf numFmtId="0" fontId="37" fillId="0" borderId="0" xfId="0" applyFont="1" applyAlignment="1"/>
    <xf numFmtId="0" fontId="37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3" fontId="18" fillId="0" borderId="0" xfId="0" applyNumberFormat="1" applyFont="1" applyAlignment="1">
      <alignment horizontal="right" vertical="center"/>
    </xf>
    <xf numFmtId="14" fontId="18" fillId="0" borderId="0" xfId="0" applyNumberFormat="1" applyFont="1" applyAlignment="1">
      <alignment horizontal="center" vertical="center"/>
    </xf>
    <xf numFmtId="166" fontId="4" fillId="0" borderId="0" xfId="0" quotePrefix="1" applyNumberFormat="1" applyFont="1" applyAlignment="1">
      <alignment horizontal="center" vertical="center" wrapText="1"/>
    </xf>
    <xf numFmtId="0" fontId="196" fillId="0" borderId="11" xfId="0" applyFont="1" applyBorder="1" applyAlignment="1">
      <alignment horizontal="center" vertical="center" wrapText="1"/>
    </xf>
    <xf numFmtId="0" fontId="196" fillId="0" borderId="1" xfId="0" applyFont="1" applyBorder="1" applyAlignment="1">
      <alignment wrapText="1"/>
    </xf>
    <xf numFmtId="4" fontId="25" fillId="2" borderId="1" xfId="6" applyNumberFormat="1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vertical="center"/>
    </xf>
    <xf numFmtId="3" fontId="3" fillId="3" borderId="1" xfId="0" applyNumberFormat="1" applyFont="1" applyFill="1" applyBorder="1" applyAlignment="1">
      <alignment vertical="center"/>
    </xf>
    <xf numFmtId="3" fontId="18" fillId="0" borderId="1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3" fontId="64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90" fillId="0" borderId="0" xfId="0" applyFont="1" applyAlignment="1">
      <alignment horizontal="center"/>
    </xf>
    <xf numFmtId="0" fontId="126" fillId="0" borderId="0" xfId="0" applyFont="1" applyAlignment="1">
      <alignment horizontal="left" vertical="center" wrapText="1"/>
    </xf>
    <xf numFmtId="0" fontId="73" fillId="3" borderId="0" xfId="0" applyFont="1" applyFill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6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 vertical="top"/>
    </xf>
    <xf numFmtId="0" fontId="64" fillId="0" borderId="0" xfId="0" applyFont="1" applyAlignment="1">
      <alignment horizontal="center" vertical="center" wrapText="1"/>
    </xf>
    <xf numFmtId="0" fontId="109" fillId="0" borderId="0" xfId="0" applyFont="1" applyAlignment="1">
      <alignment horizontal="right" vertical="top"/>
    </xf>
    <xf numFmtId="0" fontId="111" fillId="0" borderId="0" xfId="0" applyFont="1" applyAlignment="1">
      <alignment horizontal="right" vertical="top"/>
    </xf>
    <xf numFmtId="0" fontId="68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64" fillId="0" borderId="2" xfId="0" applyFont="1" applyBorder="1" applyAlignment="1">
      <alignment horizontal="left" vertical="center" wrapText="1"/>
    </xf>
    <xf numFmtId="0" fontId="64" fillId="0" borderId="5" xfId="0" applyFont="1" applyBorder="1" applyAlignment="1">
      <alignment horizontal="left" vertical="center" wrapText="1"/>
    </xf>
    <xf numFmtId="0" fontId="64" fillId="0" borderId="3" xfId="0" applyFont="1" applyBorder="1" applyAlignment="1">
      <alignment horizontal="left" vertical="center" wrapText="1"/>
    </xf>
    <xf numFmtId="3" fontId="83" fillId="0" borderId="1" xfId="0" applyNumberFormat="1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top"/>
    </xf>
    <xf numFmtId="0" fontId="110" fillId="0" borderId="0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39" fillId="0" borderId="0" xfId="0" applyFont="1" applyFill="1" applyAlignment="1">
      <alignment horizontal="center"/>
    </xf>
    <xf numFmtId="0" fontId="103" fillId="0" borderId="0" xfId="0" applyFont="1" applyFill="1" applyAlignment="1">
      <alignment horizontal="center"/>
    </xf>
    <xf numFmtId="0" fontId="66" fillId="0" borderId="1" xfId="0" applyFont="1" applyBorder="1" applyAlignment="1">
      <alignment horizontal="center" vertical="center" wrapText="1"/>
    </xf>
    <xf numFmtId="0" fontId="5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7" fillId="0" borderId="2" xfId="8" applyFont="1" applyBorder="1" applyAlignment="1">
      <alignment horizontal="left" vertical="center" wrapText="1"/>
    </xf>
    <xf numFmtId="0" fontId="37" fillId="0" borderId="5" xfId="8" applyFont="1" applyBorder="1" applyAlignment="1">
      <alignment horizontal="left" vertical="center" wrapText="1"/>
    </xf>
    <xf numFmtId="0" fontId="37" fillId="0" borderId="3" xfId="8" applyFont="1" applyBorder="1" applyAlignment="1">
      <alignment horizontal="left" vertical="center" wrapText="1"/>
    </xf>
    <xf numFmtId="0" fontId="1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/>
    </xf>
    <xf numFmtId="0" fontId="37" fillId="0" borderId="0" xfId="0" applyFont="1" applyAlignment="1">
      <alignment horizontal="center"/>
    </xf>
    <xf numFmtId="3" fontId="91" fillId="0" borderId="0" xfId="5" applyNumberFormat="1" applyFont="1" applyBorder="1" applyAlignment="1">
      <alignment horizontal="center"/>
    </xf>
    <xf numFmtId="3" fontId="91" fillId="0" borderId="0" xfId="5" applyNumberFormat="1" applyFont="1" applyAlignment="1">
      <alignment horizontal="center"/>
    </xf>
    <xf numFmtId="3" fontId="41" fillId="0" borderId="0" xfId="5" applyNumberFormat="1" applyFont="1" applyBorder="1" applyAlignment="1">
      <alignment horizontal="center"/>
    </xf>
    <xf numFmtId="3" fontId="10" fillId="0" borderId="0" xfId="5" applyNumberFormat="1" applyFont="1" applyAlignment="1">
      <alignment horizontal="center"/>
    </xf>
    <xf numFmtId="166" fontId="16" fillId="0" borderId="0" xfId="5" applyNumberFormat="1" applyFont="1" applyBorder="1" applyAlignment="1">
      <alignment horizontal="center"/>
    </xf>
    <xf numFmtId="2" fontId="50" fillId="0" borderId="1" xfId="7" applyNumberFormat="1" applyFont="1" applyBorder="1" applyAlignment="1">
      <alignment horizontal="right" vertical="center"/>
    </xf>
    <xf numFmtId="2" fontId="50" fillId="0" borderId="12" xfId="7" applyNumberFormat="1" applyFont="1" applyBorder="1" applyAlignment="1">
      <alignment horizontal="right" vertical="center"/>
    </xf>
    <xf numFmtId="3" fontId="64" fillId="0" borderId="13" xfId="5" applyNumberFormat="1" applyFont="1" applyBorder="1" applyAlignment="1">
      <alignment horizontal="center" vertical="center"/>
    </xf>
    <xf numFmtId="3" fontId="64" fillId="0" borderId="14" xfId="5" applyNumberFormat="1" applyFont="1" applyBorder="1" applyAlignment="1">
      <alignment horizontal="center" vertical="center"/>
    </xf>
    <xf numFmtId="3" fontId="178" fillId="0" borderId="0" xfId="5" applyNumberFormat="1" applyFont="1" applyAlignment="1">
      <alignment horizontal="center" vertical="top"/>
    </xf>
    <xf numFmtId="3" fontId="41" fillId="0" borderId="0" xfId="5" applyNumberFormat="1" applyFont="1" applyAlignment="1">
      <alignment horizontal="center"/>
    </xf>
    <xf numFmtId="166" fontId="91" fillId="0" borderId="0" xfId="5" applyNumberFormat="1" applyFont="1" applyAlignment="1">
      <alignment horizontal="center"/>
    </xf>
    <xf numFmtId="3" fontId="35" fillId="0" borderId="8" xfId="5" applyNumberFormat="1" applyFont="1" applyBorder="1" applyAlignment="1">
      <alignment horizontal="center" vertical="center" wrapText="1"/>
    </xf>
    <xf numFmtId="3" fontId="35" fillId="0" borderId="11" xfId="5" applyNumberFormat="1" applyFont="1" applyBorder="1" applyAlignment="1">
      <alignment horizontal="center" vertical="center" wrapText="1"/>
    </xf>
    <xf numFmtId="3" fontId="35" fillId="0" borderId="9" xfId="5" applyNumberFormat="1" applyFont="1" applyBorder="1" applyAlignment="1">
      <alignment horizontal="center" vertical="center" wrapText="1"/>
    </xf>
    <xf numFmtId="3" fontId="35" fillId="0" borderId="1" xfId="5" applyNumberFormat="1" applyFont="1" applyBorder="1" applyAlignment="1">
      <alignment horizontal="center" vertical="center" wrapText="1"/>
    </xf>
    <xf numFmtId="166" fontId="35" fillId="0" borderId="9" xfId="5" applyNumberFormat="1" applyFont="1" applyBorder="1" applyAlignment="1">
      <alignment horizontal="center" vertical="center"/>
    </xf>
    <xf numFmtId="3" fontId="35" fillId="0" borderId="10" xfId="5" applyNumberFormat="1" applyFont="1" applyBorder="1" applyAlignment="1">
      <alignment horizontal="center" vertical="center" wrapText="1"/>
    </xf>
    <xf numFmtId="3" fontId="35" fillId="0" borderId="12" xfId="5" applyNumberFormat="1" applyFont="1" applyBorder="1" applyAlignment="1">
      <alignment horizontal="center" vertical="center" wrapText="1"/>
    </xf>
    <xf numFmtId="0" fontId="7" fillId="0" borderId="0" xfId="5" applyFont="1" applyAlignment="1">
      <alignment horizontal="center"/>
    </xf>
    <xf numFmtId="0" fontId="21" fillId="0" borderId="0" xfId="5" applyFont="1" applyAlignment="1">
      <alignment horizontal="center"/>
    </xf>
    <xf numFmtId="0" fontId="56" fillId="0" borderId="0" xfId="5" applyFont="1" applyAlignment="1">
      <alignment horizontal="center" vertical="center"/>
    </xf>
    <xf numFmtId="0" fontId="72" fillId="0" borderId="0" xfId="5" applyFont="1" applyAlignment="1">
      <alignment horizontal="center" vertical="center"/>
    </xf>
    <xf numFmtId="0" fontId="5" fillId="0" borderId="0" xfId="5" applyFont="1" applyAlignment="1">
      <alignment horizontal="center"/>
    </xf>
    <xf numFmtId="0" fontId="190" fillId="0" borderId="0" xfId="5" applyFont="1" applyAlignment="1">
      <alignment horizontal="center" vertical="top"/>
    </xf>
    <xf numFmtId="0" fontId="2" fillId="0" borderId="0" xfId="5" applyFont="1" applyAlignment="1">
      <alignment horizontal="center"/>
    </xf>
    <xf numFmtId="0" fontId="6" fillId="0" borderId="0" xfId="5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6" fillId="0" borderId="0" xfId="0" applyFont="1" applyAlignment="1">
      <alignment horizontal="center" vertical="top" wrapText="1"/>
    </xf>
    <xf numFmtId="0" fontId="56" fillId="0" borderId="0" xfId="0" applyFont="1" applyAlignment="1">
      <alignment horizontal="center" vertical="top"/>
    </xf>
    <xf numFmtId="0" fontId="1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 vertical="top"/>
    </xf>
    <xf numFmtId="0" fontId="33" fillId="0" borderId="9" xfId="0" applyFont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 wrapText="1"/>
    </xf>
    <xf numFmtId="0" fontId="39" fillId="0" borderId="0" xfId="0" applyFont="1" applyAlignment="1">
      <alignment horizontal="center" wrapText="1"/>
    </xf>
    <xf numFmtId="0" fontId="194" fillId="0" borderId="0" xfId="0" applyFont="1" applyAlignment="1">
      <alignment horizontal="center" vertical="top"/>
    </xf>
    <xf numFmtId="0" fontId="51" fillId="0" borderId="1" xfId="0" applyFont="1" applyBorder="1" applyAlignment="1">
      <alignment horizontal="center" vertical="center" wrapText="1"/>
    </xf>
    <xf numFmtId="0" fontId="48" fillId="0" borderId="0" xfId="0" applyFont="1" applyAlignment="1">
      <alignment horizontal="center"/>
    </xf>
    <xf numFmtId="0" fontId="65" fillId="0" borderId="1" xfId="0" applyFont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top"/>
    </xf>
    <xf numFmtId="0" fontId="41" fillId="0" borderId="0" xfId="0" applyFont="1" applyAlignment="1">
      <alignment horizontal="center"/>
    </xf>
    <xf numFmtId="0" fontId="51" fillId="0" borderId="16" xfId="0" applyFont="1" applyBorder="1" applyAlignment="1">
      <alignment horizontal="center" vertical="center" wrapText="1"/>
    </xf>
    <xf numFmtId="0" fontId="51" fillId="0" borderId="17" xfId="0" applyFont="1" applyBorder="1" applyAlignment="1">
      <alignment horizontal="center" vertical="center" wrapText="1"/>
    </xf>
    <xf numFmtId="169" fontId="35" fillId="0" borderId="1" xfId="6" applyNumberFormat="1" applyFont="1" applyBorder="1" applyAlignment="1">
      <alignment horizontal="center" vertical="center" wrapText="1"/>
    </xf>
    <xf numFmtId="0" fontId="35" fillId="0" borderId="1" xfId="6" applyFont="1" applyBorder="1" applyAlignment="1">
      <alignment horizontal="center" vertical="center" wrapText="1"/>
    </xf>
    <xf numFmtId="0" fontId="35" fillId="0" borderId="1" xfId="6" applyFont="1" applyBorder="1" applyAlignment="1">
      <alignment horizontal="center" vertical="center"/>
    </xf>
    <xf numFmtId="0" fontId="2" fillId="0" borderId="0" xfId="6" applyFont="1" applyFill="1" applyAlignment="1">
      <alignment horizontal="center" vertical="center" wrapText="1"/>
    </xf>
    <xf numFmtId="0" fontId="2" fillId="0" borderId="0" xfId="6" applyFont="1" applyFill="1" applyAlignment="1">
      <alignment horizontal="center" vertical="center"/>
    </xf>
    <xf numFmtId="0" fontId="56" fillId="0" borderId="0" xfId="5" applyFont="1" applyAlignment="1">
      <alignment horizontal="center"/>
    </xf>
    <xf numFmtId="0" fontId="61" fillId="0" borderId="0" xfId="5" applyFont="1" applyAlignment="1">
      <alignment horizontal="center"/>
    </xf>
    <xf numFmtId="0" fontId="82" fillId="0" borderId="0" xfId="6" applyFont="1" applyFill="1" applyAlignment="1">
      <alignment horizontal="center" vertical="center"/>
    </xf>
    <xf numFmtId="0" fontId="82" fillId="0" borderId="0" xfId="5" applyFont="1" applyFill="1" applyAlignment="1">
      <alignment horizontal="center" vertical="center" wrapText="1"/>
    </xf>
    <xf numFmtId="0" fontId="82" fillId="0" borderId="0" xfId="5" applyFont="1" applyFill="1" applyAlignment="1">
      <alignment horizontal="center" vertical="center"/>
    </xf>
    <xf numFmtId="0" fontId="36" fillId="0" borderId="2" xfId="5" applyFont="1" applyBorder="1" applyAlignment="1">
      <alignment horizontal="center"/>
    </xf>
    <xf numFmtId="0" fontId="36" fillId="0" borderId="5" xfId="5" applyFont="1" applyBorder="1" applyAlignment="1">
      <alignment horizontal="center"/>
    </xf>
    <xf numFmtId="0" fontId="94" fillId="0" borderId="1" xfId="6" applyFont="1" applyBorder="1" applyAlignment="1">
      <alignment horizontal="center" vertical="center" wrapText="1"/>
    </xf>
    <xf numFmtId="169" fontId="94" fillId="0" borderId="1" xfId="6" applyNumberFormat="1" applyFont="1" applyBorder="1" applyAlignment="1">
      <alignment horizontal="center" vertical="center" wrapText="1"/>
    </xf>
    <xf numFmtId="3" fontId="64" fillId="0" borderId="0" xfId="5" applyNumberFormat="1" applyFont="1" applyAlignment="1">
      <alignment horizontal="center"/>
    </xf>
    <xf numFmtId="0" fontId="67" fillId="0" borderId="0" xfId="5" applyFont="1" applyAlignment="1">
      <alignment horizontal="center"/>
    </xf>
    <xf numFmtId="0" fontId="2" fillId="0" borderId="0" xfId="5" applyFont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15" fillId="0" borderId="2" xfId="5" applyFont="1" applyBorder="1" applyAlignment="1">
      <alignment horizontal="center" vertical="center" wrapText="1"/>
    </xf>
    <xf numFmtId="0" fontId="15" fillId="0" borderId="3" xfId="5" applyFont="1" applyBorder="1" applyAlignment="1">
      <alignment horizontal="center" vertical="center" wrapText="1"/>
    </xf>
    <xf numFmtId="0" fontId="48" fillId="0" borderId="4" xfId="0" applyFont="1" applyBorder="1" applyAlignment="1">
      <alignment horizontal="center" vertical="center" wrapText="1"/>
    </xf>
    <xf numFmtId="0" fontId="48" fillId="0" borderId="0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64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/>
    </xf>
    <xf numFmtId="0" fontId="16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3" fontId="47" fillId="0" borderId="1" xfId="0" applyNumberFormat="1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5" fillId="0" borderId="0" xfId="0" applyFont="1" applyAlignment="1">
      <alignment horizontal="center"/>
    </xf>
    <xf numFmtId="0" fontId="19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73" fontId="47" fillId="0" borderId="1" xfId="0" applyNumberFormat="1" applyFont="1" applyBorder="1" applyAlignment="1">
      <alignment horizontal="center" vertical="center" wrapText="1"/>
    </xf>
    <xf numFmtId="173" fontId="47" fillId="0" borderId="1" xfId="0" applyNumberFormat="1" applyFont="1" applyBorder="1" applyAlignment="1">
      <alignment horizontal="center" vertical="center"/>
    </xf>
    <xf numFmtId="0" fontId="92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/>
    </xf>
    <xf numFmtId="0" fontId="77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61" fillId="0" borderId="0" xfId="0" applyFont="1" applyFill="1" applyAlignment="1">
      <alignment horizontal="center"/>
    </xf>
    <xf numFmtId="0" fontId="63" fillId="0" borderId="0" xfId="6" applyFont="1" applyFill="1" applyAlignment="1">
      <alignment horizontal="center" vertical="center" wrapText="1"/>
    </xf>
    <xf numFmtId="0" fontId="63" fillId="0" borderId="0" xfId="6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0">
    <cellStyle name="Comma 10" xfId="1"/>
    <cellStyle name="Comma 2" xfId="2"/>
    <cellStyle name="Comma 3" xfId="3"/>
    <cellStyle name="Comma 4" xfId="9"/>
    <cellStyle name="Normal" xfId="0" builtinId="0"/>
    <cellStyle name="Normal 2" xfId="4"/>
    <cellStyle name="Normal 2 2" xfId="7"/>
    <cellStyle name="Normal 2 3 2" xfId="5"/>
    <cellStyle name="Normal 2 3 2 2" xfId="8"/>
    <cellStyle name="Normal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546848</xdr:colOff>
      <xdr:row>4</xdr:row>
      <xdr:rowOff>6164</xdr:rowOff>
    </xdr:from>
    <xdr:to>
      <xdr:col>8</xdr:col>
      <xdr:colOff>200025</xdr:colOff>
      <xdr:row>4</xdr:row>
      <xdr:rowOff>6164</xdr:rowOff>
    </xdr:to>
    <xdr:cxnSp macro="">
      <xdr:nvCxnSpPr>
        <xdr:cNvPr id="2" name="Straight Connector 1"/>
        <xdr:cNvCxnSpPr/>
      </xdr:nvCxnSpPr>
      <xdr:spPr>
        <a:xfrm>
          <a:off x="5871210" y="1271270"/>
          <a:ext cx="193929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1156447</xdr:colOff>
      <xdr:row>4</xdr:row>
      <xdr:rowOff>71717</xdr:rowOff>
    </xdr:from>
    <xdr:to>
      <xdr:col>1</xdr:col>
      <xdr:colOff>2427642</xdr:colOff>
      <xdr:row>4</xdr:row>
      <xdr:rowOff>73062</xdr:rowOff>
    </xdr:to>
    <xdr:cxnSp macro="">
      <xdr:nvCxnSpPr>
        <xdr:cNvPr id="3" name="Straight Connector 2"/>
        <xdr:cNvCxnSpPr/>
      </xdr:nvCxnSpPr>
      <xdr:spPr>
        <a:xfrm>
          <a:off x="1200150" y="1336675"/>
          <a:ext cx="0" cy="19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3</xdr:row>
      <xdr:rowOff>196215</xdr:rowOff>
    </xdr:from>
    <xdr:to>
      <xdr:col>3</xdr:col>
      <xdr:colOff>666750</xdr:colOff>
      <xdr:row>3</xdr:row>
      <xdr:rowOff>196215</xdr:rowOff>
    </xdr:to>
    <xdr:cxnSp macro="">
      <xdr:nvCxnSpPr>
        <xdr:cNvPr id="4" name="Straight Connector 3"/>
        <xdr:cNvCxnSpPr/>
      </xdr:nvCxnSpPr>
      <xdr:spPr>
        <a:xfrm>
          <a:off x="1333500" y="1263650"/>
          <a:ext cx="14097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1156447</xdr:colOff>
      <xdr:row>4</xdr:row>
      <xdr:rowOff>71717</xdr:rowOff>
    </xdr:from>
    <xdr:to>
      <xdr:col>1</xdr:col>
      <xdr:colOff>2427642</xdr:colOff>
      <xdr:row>4</xdr:row>
      <xdr:rowOff>73062</xdr:rowOff>
    </xdr:to>
    <xdr:cxnSp macro="">
      <xdr:nvCxnSpPr>
        <xdr:cNvPr id="5" name="Straight Connector 4"/>
        <xdr:cNvCxnSpPr/>
      </xdr:nvCxnSpPr>
      <xdr:spPr>
        <a:xfrm>
          <a:off x="1200150" y="1336675"/>
          <a:ext cx="0" cy="19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1008530</xdr:colOff>
      <xdr:row>5</xdr:row>
      <xdr:rowOff>12101</xdr:rowOff>
    </xdr:from>
    <xdr:to>
      <xdr:col>1</xdr:col>
      <xdr:colOff>2185148</xdr:colOff>
      <xdr:row>5</xdr:row>
      <xdr:rowOff>12101</xdr:rowOff>
    </xdr:to>
    <xdr:cxnSp macro="">
      <xdr:nvCxnSpPr>
        <xdr:cNvPr id="2" name="Straight Connector 1"/>
        <xdr:cNvCxnSpPr/>
      </xdr:nvCxnSpPr>
      <xdr:spPr>
        <a:xfrm>
          <a:off x="1445559" y="1155101"/>
          <a:ext cx="117661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696894</xdr:colOff>
      <xdr:row>5</xdr:row>
      <xdr:rowOff>17930</xdr:rowOff>
    </xdr:from>
    <xdr:to>
      <xdr:col>8</xdr:col>
      <xdr:colOff>560294</xdr:colOff>
      <xdr:row>5</xdr:row>
      <xdr:rowOff>17930</xdr:rowOff>
    </xdr:to>
    <xdr:cxnSp macro="">
      <xdr:nvCxnSpPr>
        <xdr:cNvPr id="3" name="Straight Connector 2"/>
        <xdr:cNvCxnSpPr/>
      </xdr:nvCxnSpPr>
      <xdr:spPr>
        <a:xfrm>
          <a:off x="7811770" y="1130300"/>
          <a:ext cx="19113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101925</xdr:colOff>
      <xdr:row>3</xdr:row>
      <xdr:rowOff>86354</xdr:rowOff>
    </xdr:from>
    <xdr:to>
      <xdr:col>47</xdr:col>
      <xdr:colOff>466166</xdr:colOff>
      <xdr:row>3</xdr:row>
      <xdr:rowOff>86354</xdr:rowOff>
    </xdr:to>
    <xdr:cxnSp macro="">
      <xdr:nvCxnSpPr>
        <xdr:cNvPr id="2" name="Straight Connector 1"/>
        <xdr:cNvCxnSpPr/>
      </xdr:nvCxnSpPr>
      <xdr:spPr>
        <a:xfrm>
          <a:off x="27200550" y="953129"/>
          <a:ext cx="173584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0</xdr:colOff>
      <xdr:row>20</xdr:row>
      <xdr:rowOff>0</xdr:rowOff>
    </xdr:from>
    <xdr:to>
      <xdr:col>38</xdr:col>
      <xdr:colOff>304800</xdr:colOff>
      <xdr:row>21</xdr:row>
      <xdr:rowOff>42024</xdr:rowOff>
    </xdr:to>
    <xdr:sp macro="" textlink="">
      <xdr:nvSpPr>
        <xdr:cNvPr id="3" name="AutoShape 533"/>
        <xdr:cNvSpPr>
          <a:spLocks noChangeAspect="1" noChangeArrowheads="1"/>
        </xdr:cNvSpPr>
      </xdr:nvSpPr>
      <xdr:spPr bwMode="auto">
        <a:xfrm>
          <a:off x="22298025" y="7562850"/>
          <a:ext cx="304800" cy="423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84</xdr:row>
      <xdr:rowOff>0</xdr:rowOff>
    </xdr:from>
    <xdr:to>
      <xdr:col>38</xdr:col>
      <xdr:colOff>304800</xdr:colOff>
      <xdr:row>85</xdr:row>
      <xdr:rowOff>285299</xdr:rowOff>
    </xdr:to>
    <xdr:sp macro="" textlink="">
      <xdr:nvSpPr>
        <xdr:cNvPr id="4" name="AutoShape 533"/>
        <xdr:cNvSpPr>
          <a:spLocks noChangeAspect="1" noChangeArrowheads="1"/>
        </xdr:cNvSpPr>
      </xdr:nvSpPr>
      <xdr:spPr bwMode="auto">
        <a:xfrm>
          <a:off x="22298025" y="34775775"/>
          <a:ext cx="304800" cy="688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78</xdr:row>
      <xdr:rowOff>0</xdr:rowOff>
    </xdr:from>
    <xdr:to>
      <xdr:col>38</xdr:col>
      <xdr:colOff>304800</xdr:colOff>
      <xdr:row>79</xdr:row>
      <xdr:rowOff>262196</xdr:rowOff>
    </xdr:to>
    <xdr:sp macro="" textlink="">
      <xdr:nvSpPr>
        <xdr:cNvPr id="5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670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78</xdr:row>
      <xdr:rowOff>0</xdr:rowOff>
    </xdr:from>
    <xdr:to>
      <xdr:col>38</xdr:col>
      <xdr:colOff>304800</xdr:colOff>
      <xdr:row>79</xdr:row>
      <xdr:rowOff>270963</xdr:rowOff>
    </xdr:to>
    <xdr:sp macro="" textlink="">
      <xdr:nvSpPr>
        <xdr:cNvPr id="6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6794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33618</xdr:colOff>
      <xdr:row>4</xdr:row>
      <xdr:rowOff>1969</xdr:rowOff>
    </xdr:from>
    <xdr:to>
      <xdr:col>2</xdr:col>
      <xdr:colOff>1042147</xdr:colOff>
      <xdr:row>4</xdr:row>
      <xdr:rowOff>1969</xdr:rowOff>
    </xdr:to>
    <xdr:cxnSp macro="">
      <xdr:nvCxnSpPr>
        <xdr:cNvPr id="7" name="Straight Connector 6"/>
        <xdr:cNvCxnSpPr/>
      </xdr:nvCxnSpPr>
      <xdr:spPr>
        <a:xfrm>
          <a:off x="1424268" y="1068769"/>
          <a:ext cx="1008529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0</xdr:colOff>
      <xdr:row>78</xdr:row>
      <xdr:rowOff>0</xdr:rowOff>
    </xdr:from>
    <xdr:to>
      <xdr:col>38</xdr:col>
      <xdr:colOff>304800</xdr:colOff>
      <xdr:row>79</xdr:row>
      <xdr:rowOff>270963</xdr:rowOff>
    </xdr:to>
    <xdr:sp macro="" textlink="">
      <xdr:nvSpPr>
        <xdr:cNvPr id="8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6794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78</xdr:row>
      <xdr:rowOff>0</xdr:rowOff>
    </xdr:from>
    <xdr:to>
      <xdr:col>38</xdr:col>
      <xdr:colOff>304800</xdr:colOff>
      <xdr:row>79</xdr:row>
      <xdr:rowOff>265119</xdr:rowOff>
    </xdr:to>
    <xdr:sp macro="" textlink="">
      <xdr:nvSpPr>
        <xdr:cNvPr id="9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673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78</xdr:row>
      <xdr:rowOff>0</xdr:rowOff>
    </xdr:from>
    <xdr:to>
      <xdr:col>38</xdr:col>
      <xdr:colOff>304800</xdr:colOff>
      <xdr:row>79</xdr:row>
      <xdr:rowOff>41805</xdr:rowOff>
    </xdr:to>
    <xdr:sp macro="" textlink="">
      <xdr:nvSpPr>
        <xdr:cNvPr id="10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450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78</xdr:row>
      <xdr:rowOff>0</xdr:rowOff>
    </xdr:from>
    <xdr:to>
      <xdr:col>38</xdr:col>
      <xdr:colOff>304800</xdr:colOff>
      <xdr:row>79</xdr:row>
      <xdr:rowOff>50161</xdr:rowOff>
    </xdr:to>
    <xdr:sp macro="" textlink="">
      <xdr:nvSpPr>
        <xdr:cNvPr id="11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458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78</xdr:row>
      <xdr:rowOff>0</xdr:rowOff>
    </xdr:from>
    <xdr:to>
      <xdr:col>38</xdr:col>
      <xdr:colOff>304800</xdr:colOff>
      <xdr:row>79</xdr:row>
      <xdr:rowOff>42367</xdr:rowOff>
    </xdr:to>
    <xdr:sp macro="" textlink="">
      <xdr:nvSpPr>
        <xdr:cNvPr id="12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450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42</xdr:col>
      <xdr:colOff>307427</xdr:colOff>
      <xdr:row>5</xdr:row>
      <xdr:rowOff>26445</xdr:rowOff>
    </xdr:from>
    <xdr:to>
      <xdr:col>45</xdr:col>
      <xdr:colOff>3267</xdr:colOff>
      <xdr:row>5</xdr:row>
      <xdr:rowOff>26461</xdr:rowOff>
    </xdr:to>
    <xdr:cxnSp macro="">
      <xdr:nvCxnSpPr>
        <xdr:cNvPr id="13" name="Straight Connector 12"/>
        <xdr:cNvCxnSpPr/>
      </xdr:nvCxnSpPr>
      <xdr:spPr>
        <a:xfrm>
          <a:off x="25348652" y="1302795"/>
          <a:ext cx="1753240" cy="1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0</xdr:colOff>
      <xdr:row>78</xdr:row>
      <xdr:rowOff>0</xdr:rowOff>
    </xdr:from>
    <xdr:to>
      <xdr:col>38</xdr:col>
      <xdr:colOff>304800</xdr:colOff>
      <xdr:row>79</xdr:row>
      <xdr:rowOff>42367</xdr:rowOff>
    </xdr:to>
    <xdr:sp macro="" textlink="">
      <xdr:nvSpPr>
        <xdr:cNvPr id="14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450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78</xdr:row>
      <xdr:rowOff>0</xdr:rowOff>
    </xdr:from>
    <xdr:to>
      <xdr:col>38</xdr:col>
      <xdr:colOff>304800</xdr:colOff>
      <xdr:row>79</xdr:row>
      <xdr:rowOff>36519</xdr:rowOff>
    </xdr:to>
    <xdr:sp macro="" textlink="">
      <xdr:nvSpPr>
        <xdr:cNvPr id="15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444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0</xdr:colOff>
      <xdr:row>93</xdr:row>
      <xdr:rowOff>0</xdr:rowOff>
    </xdr:from>
    <xdr:to>
      <xdr:col>39</xdr:col>
      <xdr:colOff>304800</xdr:colOff>
      <xdr:row>94</xdr:row>
      <xdr:rowOff>24091</xdr:rowOff>
    </xdr:to>
    <xdr:sp macro="" textlink="">
      <xdr:nvSpPr>
        <xdr:cNvPr id="16" name="AutoShape 533"/>
        <xdr:cNvSpPr>
          <a:spLocks noChangeAspect="1" noChangeArrowheads="1"/>
        </xdr:cNvSpPr>
      </xdr:nvSpPr>
      <xdr:spPr bwMode="auto">
        <a:xfrm>
          <a:off x="22983825" y="38090475"/>
          <a:ext cx="304800" cy="4011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0</xdr:colOff>
      <xdr:row>78</xdr:row>
      <xdr:rowOff>0</xdr:rowOff>
    </xdr:from>
    <xdr:to>
      <xdr:col>39</xdr:col>
      <xdr:colOff>304800</xdr:colOff>
      <xdr:row>97</xdr:row>
      <xdr:rowOff>132447</xdr:rowOff>
    </xdr:to>
    <xdr:sp macro="" textlink="">
      <xdr:nvSpPr>
        <xdr:cNvPr id="17" name="AutoShape 533"/>
        <xdr:cNvSpPr>
          <a:spLocks noChangeAspect="1" noChangeArrowheads="1"/>
        </xdr:cNvSpPr>
      </xdr:nvSpPr>
      <xdr:spPr bwMode="auto">
        <a:xfrm>
          <a:off x="22983825" y="32194500"/>
          <a:ext cx="304800" cy="7499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0</xdr:colOff>
      <xdr:row>78</xdr:row>
      <xdr:rowOff>0</xdr:rowOff>
    </xdr:from>
    <xdr:to>
      <xdr:col>39</xdr:col>
      <xdr:colOff>304800</xdr:colOff>
      <xdr:row>86</xdr:row>
      <xdr:rowOff>146404</xdr:rowOff>
    </xdr:to>
    <xdr:sp macro="" textlink="">
      <xdr:nvSpPr>
        <xdr:cNvPr id="18" name="AutoShape 533"/>
        <xdr:cNvSpPr>
          <a:spLocks noChangeAspect="1" noChangeArrowheads="1"/>
        </xdr:cNvSpPr>
      </xdr:nvSpPr>
      <xdr:spPr bwMode="auto">
        <a:xfrm>
          <a:off x="22983825" y="32194500"/>
          <a:ext cx="304800" cy="3388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0</xdr:colOff>
      <xdr:row>78</xdr:row>
      <xdr:rowOff>0</xdr:rowOff>
    </xdr:from>
    <xdr:to>
      <xdr:col>39</xdr:col>
      <xdr:colOff>304800</xdr:colOff>
      <xdr:row>87</xdr:row>
      <xdr:rowOff>47599</xdr:rowOff>
    </xdr:to>
    <xdr:sp macro="" textlink="">
      <xdr:nvSpPr>
        <xdr:cNvPr id="19" name="AutoShape 533"/>
        <xdr:cNvSpPr>
          <a:spLocks noChangeAspect="1" noChangeArrowheads="1"/>
        </xdr:cNvSpPr>
      </xdr:nvSpPr>
      <xdr:spPr bwMode="auto">
        <a:xfrm>
          <a:off x="22983825" y="32194500"/>
          <a:ext cx="304800" cy="36934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0</xdr:colOff>
      <xdr:row>78</xdr:row>
      <xdr:rowOff>0</xdr:rowOff>
    </xdr:from>
    <xdr:to>
      <xdr:col>39</xdr:col>
      <xdr:colOff>304800</xdr:colOff>
      <xdr:row>88</xdr:row>
      <xdr:rowOff>289775</xdr:rowOff>
    </xdr:to>
    <xdr:sp macro="" textlink="">
      <xdr:nvSpPr>
        <xdr:cNvPr id="20" name="AutoShape 533"/>
        <xdr:cNvSpPr>
          <a:spLocks noChangeAspect="1" noChangeArrowheads="1"/>
        </xdr:cNvSpPr>
      </xdr:nvSpPr>
      <xdr:spPr bwMode="auto">
        <a:xfrm>
          <a:off x="22983825" y="32194500"/>
          <a:ext cx="304800" cy="43166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227479</xdr:colOff>
      <xdr:row>79</xdr:row>
      <xdr:rowOff>270964</xdr:rowOff>
    </xdr:to>
    <xdr:sp macro="" textlink="">
      <xdr:nvSpPr>
        <xdr:cNvPr id="2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679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227479</xdr:colOff>
      <xdr:row>79</xdr:row>
      <xdr:rowOff>55568</xdr:rowOff>
    </xdr:to>
    <xdr:sp macro="" textlink="">
      <xdr:nvSpPr>
        <xdr:cNvPr id="2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46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227479</xdr:colOff>
      <xdr:row>79</xdr:row>
      <xdr:rowOff>55568</xdr:rowOff>
    </xdr:to>
    <xdr:sp macro="" textlink="">
      <xdr:nvSpPr>
        <xdr:cNvPr id="2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46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227479</xdr:colOff>
      <xdr:row>79</xdr:row>
      <xdr:rowOff>78735</xdr:rowOff>
    </xdr:to>
    <xdr:sp macro="" textlink="">
      <xdr:nvSpPr>
        <xdr:cNvPr id="2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487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227479</xdr:colOff>
      <xdr:row>79</xdr:row>
      <xdr:rowOff>355497</xdr:rowOff>
    </xdr:to>
    <xdr:sp macro="" textlink="">
      <xdr:nvSpPr>
        <xdr:cNvPr id="25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689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227479</xdr:colOff>
      <xdr:row>79</xdr:row>
      <xdr:rowOff>65092</xdr:rowOff>
    </xdr:to>
    <xdr:sp macro="" textlink="">
      <xdr:nvSpPr>
        <xdr:cNvPr id="26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47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227479</xdr:colOff>
      <xdr:row>79</xdr:row>
      <xdr:rowOff>65092</xdr:rowOff>
    </xdr:to>
    <xdr:sp macro="" textlink="">
      <xdr:nvSpPr>
        <xdr:cNvPr id="2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47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227479</xdr:colOff>
      <xdr:row>79</xdr:row>
      <xdr:rowOff>107310</xdr:rowOff>
    </xdr:to>
    <xdr:sp macro="" textlink="">
      <xdr:nvSpPr>
        <xdr:cNvPr id="28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515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227479</xdr:colOff>
      <xdr:row>79</xdr:row>
      <xdr:rowOff>223339</xdr:rowOff>
    </xdr:to>
    <xdr:sp macro="" textlink="">
      <xdr:nvSpPr>
        <xdr:cNvPr id="29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631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30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3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3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3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3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35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36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3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676274"/>
    <xdr:sp macro="" textlink="">
      <xdr:nvSpPr>
        <xdr:cNvPr id="38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67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39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40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4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4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4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4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45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46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4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48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49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50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5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5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5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5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55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56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5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23</xdr:col>
      <xdr:colOff>0</xdr:colOff>
      <xdr:row>78</xdr:row>
      <xdr:rowOff>0</xdr:rowOff>
    </xdr:from>
    <xdr:to>
      <xdr:col>24</xdr:col>
      <xdr:colOff>220675</xdr:colOff>
      <xdr:row>79</xdr:row>
      <xdr:rowOff>270964</xdr:rowOff>
    </xdr:to>
    <xdr:sp macro="" textlink="">
      <xdr:nvSpPr>
        <xdr:cNvPr id="58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679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220675</xdr:colOff>
      <xdr:row>79</xdr:row>
      <xdr:rowOff>55568</xdr:rowOff>
    </xdr:to>
    <xdr:sp macro="" textlink="">
      <xdr:nvSpPr>
        <xdr:cNvPr id="59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46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220675</xdr:colOff>
      <xdr:row>79</xdr:row>
      <xdr:rowOff>55568</xdr:rowOff>
    </xdr:to>
    <xdr:sp macro="" textlink="">
      <xdr:nvSpPr>
        <xdr:cNvPr id="60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46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220675</xdr:colOff>
      <xdr:row>79</xdr:row>
      <xdr:rowOff>78735</xdr:rowOff>
    </xdr:to>
    <xdr:sp macro="" textlink="">
      <xdr:nvSpPr>
        <xdr:cNvPr id="61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487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220675</xdr:colOff>
      <xdr:row>79</xdr:row>
      <xdr:rowOff>355497</xdr:rowOff>
    </xdr:to>
    <xdr:sp macro="" textlink="">
      <xdr:nvSpPr>
        <xdr:cNvPr id="62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7689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220675</xdr:colOff>
      <xdr:row>79</xdr:row>
      <xdr:rowOff>65092</xdr:rowOff>
    </xdr:to>
    <xdr:sp macro="" textlink="">
      <xdr:nvSpPr>
        <xdr:cNvPr id="63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47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220675</xdr:colOff>
      <xdr:row>79</xdr:row>
      <xdr:rowOff>65092</xdr:rowOff>
    </xdr:to>
    <xdr:sp macro="" textlink="">
      <xdr:nvSpPr>
        <xdr:cNvPr id="64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47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220675</xdr:colOff>
      <xdr:row>79</xdr:row>
      <xdr:rowOff>107310</xdr:rowOff>
    </xdr:to>
    <xdr:sp macro="" textlink="">
      <xdr:nvSpPr>
        <xdr:cNvPr id="65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515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0</xdr:rowOff>
    </xdr:from>
    <xdr:to>
      <xdr:col>24</xdr:col>
      <xdr:colOff>220675</xdr:colOff>
      <xdr:row>79</xdr:row>
      <xdr:rowOff>223339</xdr:rowOff>
    </xdr:to>
    <xdr:sp macro="" textlink="">
      <xdr:nvSpPr>
        <xdr:cNvPr id="66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631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6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68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69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70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7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7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7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7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676274"/>
    <xdr:sp macro="" textlink="">
      <xdr:nvSpPr>
        <xdr:cNvPr id="75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67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76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7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78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79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80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8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8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8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8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85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86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8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88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89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90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9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9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9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78</xdr:row>
      <xdr:rowOff>0</xdr:rowOff>
    </xdr:from>
    <xdr:ext cx="742950" cy="704850"/>
    <xdr:sp macro="" textlink="">
      <xdr:nvSpPr>
        <xdr:cNvPr id="9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19</xdr:col>
      <xdr:colOff>179295</xdr:colOff>
      <xdr:row>4</xdr:row>
      <xdr:rowOff>11206</xdr:rowOff>
    </xdr:from>
    <xdr:to>
      <xdr:col>23</xdr:col>
      <xdr:colOff>347383</xdr:colOff>
      <xdr:row>4</xdr:row>
      <xdr:rowOff>11206</xdr:rowOff>
    </xdr:to>
    <xdr:cxnSp macro="">
      <xdr:nvCxnSpPr>
        <xdr:cNvPr id="95" name="Straight Connector 94"/>
        <xdr:cNvCxnSpPr/>
      </xdr:nvCxnSpPr>
      <xdr:spPr>
        <a:xfrm>
          <a:off x="10062883" y="1086971"/>
          <a:ext cx="197223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1443718</xdr:colOff>
      <xdr:row>4</xdr:row>
      <xdr:rowOff>5716</xdr:rowOff>
    </xdr:from>
    <xdr:to>
      <xdr:col>1</xdr:col>
      <xdr:colOff>2720068</xdr:colOff>
      <xdr:row>4</xdr:row>
      <xdr:rowOff>5716</xdr:rowOff>
    </xdr:to>
    <xdr:cxnSp macro="">
      <xdr:nvCxnSpPr>
        <xdr:cNvPr id="2" name="Straight Connector 1"/>
        <xdr:cNvCxnSpPr/>
      </xdr:nvCxnSpPr>
      <xdr:spPr>
        <a:xfrm>
          <a:off x="2015218" y="1224916"/>
          <a:ext cx="12763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1238250</xdr:colOff>
      <xdr:row>3</xdr:row>
      <xdr:rowOff>240574</xdr:rowOff>
    </xdr:from>
    <xdr:to>
      <xdr:col>6</xdr:col>
      <xdr:colOff>789214</xdr:colOff>
      <xdr:row>3</xdr:row>
      <xdr:rowOff>240574</xdr:rowOff>
    </xdr:to>
    <xdr:cxnSp macro="">
      <xdr:nvCxnSpPr>
        <xdr:cNvPr id="3" name="Straight Connector 2"/>
        <xdr:cNvCxnSpPr/>
      </xdr:nvCxnSpPr>
      <xdr:spPr>
        <a:xfrm>
          <a:off x="8763000" y="1221649"/>
          <a:ext cx="2284639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129480</xdr:colOff>
      <xdr:row>55</xdr:row>
      <xdr:rowOff>6018</xdr:rowOff>
    </xdr:from>
    <xdr:to>
      <xdr:col>2</xdr:col>
      <xdr:colOff>1315629</xdr:colOff>
      <xdr:row>55</xdr:row>
      <xdr:rowOff>6980</xdr:rowOff>
    </xdr:to>
    <xdr:cxnSp macro="">
      <xdr:nvCxnSpPr>
        <xdr:cNvPr id="2" name="Straight Connector 1"/>
        <xdr:cNvCxnSpPr/>
      </xdr:nvCxnSpPr>
      <xdr:spPr>
        <a:xfrm flipV="1">
          <a:off x="1443930" y="11426493"/>
          <a:ext cx="1186149" cy="9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49185</xdr:colOff>
      <xdr:row>171</xdr:row>
      <xdr:rowOff>196679</xdr:rowOff>
    </xdr:from>
    <xdr:to>
      <xdr:col>2</xdr:col>
      <xdr:colOff>1154207</xdr:colOff>
      <xdr:row>171</xdr:row>
      <xdr:rowOff>196679</xdr:rowOff>
    </xdr:to>
    <xdr:cxnSp macro="">
      <xdr:nvCxnSpPr>
        <xdr:cNvPr id="3" name="Straight Connector 2"/>
        <xdr:cNvCxnSpPr/>
      </xdr:nvCxnSpPr>
      <xdr:spPr>
        <a:xfrm>
          <a:off x="1363635" y="41668529"/>
          <a:ext cx="110502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49185</xdr:colOff>
      <xdr:row>3</xdr:row>
      <xdr:rowOff>257909</xdr:rowOff>
    </xdr:from>
    <xdr:to>
      <xdr:col>2</xdr:col>
      <xdr:colOff>1109267</xdr:colOff>
      <xdr:row>3</xdr:row>
      <xdr:rowOff>258871</xdr:rowOff>
    </xdr:to>
    <xdr:cxnSp macro="">
      <xdr:nvCxnSpPr>
        <xdr:cNvPr id="4" name="Straight Connector 3"/>
        <xdr:cNvCxnSpPr/>
      </xdr:nvCxnSpPr>
      <xdr:spPr>
        <a:xfrm flipV="1">
          <a:off x="1363635" y="1296134"/>
          <a:ext cx="1060082" cy="9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194861</xdr:colOff>
      <xdr:row>215</xdr:row>
      <xdr:rowOff>16423</xdr:rowOff>
    </xdr:from>
    <xdr:to>
      <xdr:col>2</xdr:col>
      <xdr:colOff>1254943</xdr:colOff>
      <xdr:row>215</xdr:row>
      <xdr:rowOff>17385</xdr:rowOff>
    </xdr:to>
    <xdr:cxnSp macro="">
      <xdr:nvCxnSpPr>
        <xdr:cNvPr id="6" name="Straight Connector 5"/>
        <xdr:cNvCxnSpPr/>
      </xdr:nvCxnSpPr>
      <xdr:spPr>
        <a:xfrm flipV="1">
          <a:off x="1509311" y="51470473"/>
          <a:ext cx="1060082" cy="9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194861</xdr:colOff>
      <xdr:row>129</xdr:row>
      <xdr:rowOff>16423</xdr:rowOff>
    </xdr:from>
    <xdr:to>
      <xdr:col>2</xdr:col>
      <xdr:colOff>1254943</xdr:colOff>
      <xdr:row>129</xdr:row>
      <xdr:rowOff>17385</xdr:rowOff>
    </xdr:to>
    <xdr:cxnSp macro="">
      <xdr:nvCxnSpPr>
        <xdr:cNvPr id="7" name="Straight Connector 6"/>
        <xdr:cNvCxnSpPr/>
      </xdr:nvCxnSpPr>
      <xdr:spPr>
        <a:xfrm flipV="1">
          <a:off x="1509311" y="31582273"/>
          <a:ext cx="1060082" cy="9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129480</xdr:colOff>
      <xdr:row>55</xdr:row>
      <xdr:rowOff>6018</xdr:rowOff>
    </xdr:from>
    <xdr:to>
      <xdr:col>2</xdr:col>
      <xdr:colOff>1315629</xdr:colOff>
      <xdr:row>55</xdr:row>
      <xdr:rowOff>6980</xdr:rowOff>
    </xdr:to>
    <xdr:cxnSp macro="">
      <xdr:nvCxnSpPr>
        <xdr:cNvPr id="8" name="Straight Connector 7"/>
        <xdr:cNvCxnSpPr/>
      </xdr:nvCxnSpPr>
      <xdr:spPr>
        <a:xfrm flipV="1">
          <a:off x="1386780" y="11426493"/>
          <a:ext cx="1167099" cy="9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217273</xdr:colOff>
      <xdr:row>172</xdr:row>
      <xdr:rowOff>6179</xdr:rowOff>
    </xdr:from>
    <xdr:to>
      <xdr:col>2</xdr:col>
      <xdr:colOff>1322295</xdr:colOff>
      <xdr:row>172</xdr:row>
      <xdr:rowOff>6179</xdr:rowOff>
    </xdr:to>
    <xdr:cxnSp macro="">
      <xdr:nvCxnSpPr>
        <xdr:cNvPr id="9" name="Straight Connector 8"/>
        <xdr:cNvCxnSpPr/>
      </xdr:nvCxnSpPr>
      <xdr:spPr>
        <a:xfrm>
          <a:off x="1474573" y="21227879"/>
          <a:ext cx="107644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239685</xdr:colOff>
      <xdr:row>3</xdr:row>
      <xdr:rowOff>257909</xdr:rowOff>
    </xdr:from>
    <xdr:to>
      <xdr:col>2</xdr:col>
      <xdr:colOff>1299767</xdr:colOff>
      <xdr:row>3</xdr:row>
      <xdr:rowOff>258871</xdr:rowOff>
    </xdr:to>
    <xdr:cxnSp macro="">
      <xdr:nvCxnSpPr>
        <xdr:cNvPr id="10" name="Straight Connector 9"/>
        <xdr:cNvCxnSpPr/>
      </xdr:nvCxnSpPr>
      <xdr:spPr>
        <a:xfrm flipV="1">
          <a:off x="1496985" y="1296134"/>
          <a:ext cx="1060082" cy="9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206067</xdr:colOff>
      <xdr:row>86</xdr:row>
      <xdr:rowOff>196679</xdr:rowOff>
    </xdr:from>
    <xdr:to>
      <xdr:col>2</xdr:col>
      <xdr:colOff>1311089</xdr:colOff>
      <xdr:row>86</xdr:row>
      <xdr:rowOff>196679</xdr:rowOff>
    </xdr:to>
    <xdr:cxnSp macro="">
      <xdr:nvCxnSpPr>
        <xdr:cNvPr id="11" name="Straight Connector 10"/>
        <xdr:cNvCxnSpPr/>
      </xdr:nvCxnSpPr>
      <xdr:spPr>
        <a:xfrm>
          <a:off x="1463367" y="19097625"/>
          <a:ext cx="10859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194861</xdr:colOff>
      <xdr:row>215</xdr:row>
      <xdr:rowOff>16423</xdr:rowOff>
    </xdr:from>
    <xdr:to>
      <xdr:col>2</xdr:col>
      <xdr:colOff>1254943</xdr:colOff>
      <xdr:row>215</xdr:row>
      <xdr:rowOff>17385</xdr:rowOff>
    </xdr:to>
    <xdr:cxnSp macro="">
      <xdr:nvCxnSpPr>
        <xdr:cNvPr id="12" name="Straight Connector 11"/>
        <xdr:cNvCxnSpPr/>
      </xdr:nvCxnSpPr>
      <xdr:spPr>
        <a:xfrm flipV="1">
          <a:off x="1452161" y="31020298"/>
          <a:ext cx="1060082" cy="9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194861</xdr:colOff>
      <xdr:row>123</xdr:row>
      <xdr:rowOff>16423</xdr:rowOff>
    </xdr:from>
    <xdr:to>
      <xdr:col>2</xdr:col>
      <xdr:colOff>1254943</xdr:colOff>
      <xdr:row>123</xdr:row>
      <xdr:rowOff>17385</xdr:rowOff>
    </xdr:to>
    <xdr:cxnSp macro="">
      <xdr:nvCxnSpPr>
        <xdr:cNvPr id="13" name="Straight Connector 12"/>
        <xdr:cNvCxnSpPr/>
      </xdr:nvCxnSpPr>
      <xdr:spPr>
        <a:xfrm flipV="1">
          <a:off x="1452161" y="19097625"/>
          <a:ext cx="10600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771169</xdr:colOff>
      <xdr:row>3</xdr:row>
      <xdr:rowOff>265784</xdr:rowOff>
    </xdr:from>
    <xdr:to>
      <xdr:col>4</xdr:col>
      <xdr:colOff>19000</xdr:colOff>
      <xdr:row>3</xdr:row>
      <xdr:rowOff>265784</xdr:rowOff>
    </xdr:to>
    <xdr:cxnSp macro="">
      <xdr:nvCxnSpPr>
        <xdr:cNvPr id="2" name="Straight Connector 1"/>
        <xdr:cNvCxnSpPr/>
      </xdr:nvCxnSpPr>
      <xdr:spPr>
        <a:xfrm>
          <a:off x="2399944" y="1265909"/>
          <a:ext cx="123855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449037</xdr:colOff>
      <xdr:row>3</xdr:row>
      <xdr:rowOff>257051</xdr:rowOff>
    </xdr:from>
    <xdr:to>
      <xdr:col>19</xdr:col>
      <xdr:colOff>392206</xdr:colOff>
      <xdr:row>3</xdr:row>
      <xdr:rowOff>257051</xdr:rowOff>
    </xdr:to>
    <xdr:cxnSp macro="">
      <xdr:nvCxnSpPr>
        <xdr:cNvPr id="3" name="Straight Connector 2"/>
        <xdr:cNvCxnSpPr/>
      </xdr:nvCxnSpPr>
      <xdr:spPr>
        <a:xfrm>
          <a:off x="10335987" y="1257176"/>
          <a:ext cx="2162494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883228</xdr:colOff>
      <xdr:row>3</xdr:row>
      <xdr:rowOff>254578</xdr:rowOff>
    </xdr:from>
    <xdr:to>
      <xdr:col>4</xdr:col>
      <xdr:colOff>131059</xdr:colOff>
      <xdr:row>3</xdr:row>
      <xdr:rowOff>254578</xdr:rowOff>
    </xdr:to>
    <xdr:cxnSp macro="">
      <xdr:nvCxnSpPr>
        <xdr:cNvPr id="2" name="Straight Connector 1"/>
        <xdr:cNvCxnSpPr/>
      </xdr:nvCxnSpPr>
      <xdr:spPr>
        <a:xfrm>
          <a:off x="2317581" y="1240696"/>
          <a:ext cx="124247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258536</xdr:colOff>
      <xdr:row>3</xdr:row>
      <xdr:rowOff>268257</xdr:rowOff>
    </xdr:from>
    <xdr:to>
      <xdr:col>22</xdr:col>
      <xdr:colOff>369794</xdr:colOff>
      <xdr:row>3</xdr:row>
      <xdr:rowOff>268257</xdr:rowOff>
    </xdr:to>
    <xdr:cxnSp macro="">
      <xdr:nvCxnSpPr>
        <xdr:cNvPr id="3" name="Straight Connector 2"/>
        <xdr:cNvCxnSpPr/>
      </xdr:nvCxnSpPr>
      <xdr:spPr>
        <a:xfrm>
          <a:off x="11598889" y="1254375"/>
          <a:ext cx="2161934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11206</xdr:colOff>
      <xdr:row>4</xdr:row>
      <xdr:rowOff>3328</xdr:rowOff>
    </xdr:from>
    <xdr:to>
      <xdr:col>18</xdr:col>
      <xdr:colOff>190500</xdr:colOff>
      <xdr:row>4</xdr:row>
      <xdr:rowOff>3328</xdr:rowOff>
    </xdr:to>
    <xdr:cxnSp macro="">
      <xdr:nvCxnSpPr>
        <xdr:cNvPr id="2" name="Straight Connector 1"/>
        <xdr:cNvCxnSpPr/>
      </xdr:nvCxnSpPr>
      <xdr:spPr>
        <a:xfrm>
          <a:off x="12023912" y="1179946"/>
          <a:ext cx="2017059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822949</xdr:colOff>
      <xdr:row>4</xdr:row>
      <xdr:rowOff>14935</xdr:rowOff>
    </xdr:from>
    <xdr:to>
      <xdr:col>2</xdr:col>
      <xdr:colOff>1230971</xdr:colOff>
      <xdr:row>4</xdr:row>
      <xdr:rowOff>14935</xdr:rowOff>
    </xdr:to>
    <xdr:cxnSp macro="">
      <xdr:nvCxnSpPr>
        <xdr:cNvPr id="3" name="Straight Connector 2"/>
        <xdr:cNvCxnSpPr/>
      </xdr:nvCxnSpPr>
      <xdr:spPr>
        <a:xfrm>
          <a:off x="1416861" y="1191553"/>
          <a:ext cx="133811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HA%20MAY\2025\LUONG%20CN%20TT\THANG%207\B&#7842;NG%20L&#431;&#416;NG%20%20CN%20XUONG%20CHE%20BIEN%20D1%20-TH&#193;NG%2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HA%20MAY\Doc%20so%20thanh%20chu%20tieng%20Campuchi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~1\AppData\Local\Temp\Zalo%20Temp\TempDownloads\BTH%20KHOI%20LUONG%20%20D2%20-%20THANG%201-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~1\AppData\Local\Temp\Zalo%20Temp\TempDownloads\BTH%20KHOI%20LUONG%20%20D1%20-%20THANG%201-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HA%20MAY\2026\LUONG%20CNTT\B&#7842;NG%20L&#431;&#416;NG%20%20CN%20XUONG%20CHE%20BIEN%20D1%20-TH&#193;NG%2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HA%20MAY\2025\LUONG%20CN%20TT\THANG%2012\B&#7842;NG%20L&#431;&#416;NG%20%20CN%20XUONG%20CHE%20BIEN%20D1%20-TH&#193;NG%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D D1t6"/>
      <sheetName val="BPTL D1T6 "/>
      <sheetName val="BCC D1 (26)"/>
      <sheetName val="KL mủ TPto1"/>
      <sheetName val="KL mu TP to2"/>
      <sheetName val="BKECHITIET TO1"/>
      <sheetName val="BKECHITIET TO1 (tp)"/>
      <sheetName val="BKECHITIET TO2"/>
      <sheetName val="BKECHITIET TO2 (TP)"/>
      <sheetName val="BPHAN CHIA "/>
      <sheetName val="BTHKL D1 T7 (26)"/>
      <sheetName val="TTL dot 1 (31948)"/>
      <sheetName val="KLCN t7 dot 1"/>
    </sheetNames>
    <sheetDataSet>
      <sheetData sheetId="0" refreshError="1"/>
      <sheetData sheetId="1"/>
      <sheetData sheetId="2">
        <row r="19">
          <cell r="V19">
            <v>11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>
        <row r="84">
          <cell r="G84">
            <v>48911815</v>
          </cell>
          <cell r="I84">
            <v>0</v>
          </cell>
        </row>
      </sheetData>
      <sheetData sheetId="12">
        <row r="13">
          <cell r="Z13">
            <v>13.11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8">
          <cell r="N8" t="str">
            <v>ប្រាំបីពាន់ ដប់ប្រាំបួនដុល្លារអាមេរិក និងដប់សេនគត់។</v>
          </cell>
        </row>
        <row r="9">
          <cell r="N9" t="str">
            <v>ម្ភៃប្រាំពីរលាន បីរយម្ភៃប្រាំមួយពាន់ បីរយបួនរៀលគត់។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C D1"/>
      <sheetName val="BCC D1 (26)"/>
      <sheetName val="BTHKL D1 T1"/>
      <sheetName val="BTHKL D1 T1 (26)"/>
      <sheetName val="KL mủ TPto1"/>
      <sheetName val="KL mu TP to2"/>
      <sheetName val="BPHAN CHIA "/>
      <sheetName val="BKECHITIET TO1"/>
      <sheetName val="BKECHITIET TO2"/>
      <sheetName val="BKECHITIET TO1 (tp)"/>
      <sheetName val="BKECHITIET TO2 (TP)"/>
    </sheetNames>
    <sheetDataSet>
      <sheetData sheetId="0" refreshError="1"/>
      <sheetData sheetId="1" refreshError="1">
        <row r="13">
          <cell r="X13">
            <v>14</v>
          </cell>
        </row>
        <row r="55">
          <cell r="X55">
            <v>14</v>
          </cell>
        </row>
        <row r="95">
          <cell r="X95">
            <v>10.5</v>
          </cell>
        </row>
        <row r="98">
          <cell r="X98">
            <v>15.5</v>
          </cell>
        </row>
        <row r="107">
          <cell r="X107">
            <v>64</v>
          </cell>
        </row>
        <row r="121">
          <cell r="V121">
            <v>71</v>
          </cell>
          <cell r="W121">
            <v>60</v>
          </cell>
        </row>
      </sheetData>
      <sheetData sheetId="2" refreshError="1">
        <row r="13">
          <cell r="E13">
            <v>945.15</v>
          </cell>
        </row>
        <row r="14">
          <cell r="E14">
            <v>363.85</v>
          </cell>
        </row>
        <row r="18">
          <cell r="J18">
            <v>40.5</v>
          </cell>
        </row>
        <row r="20">
          <cell r="J20">
            <v>27</v>
          </cell>
        </row>
        <row r="21">
          <cell r="J21">
            <v>12</v>
          </cell>
        </row>
      </sheetData>
      <sheetData sheetId="3" refreshError="1"/>
      <sheetData sheetId="4" refreshError="1">
        <row r="11">
          <cell r="A11">
            <v>16</v>
          </cell>
          <cell r="B11">
            <v>0</v>
          </cell>
          <cell r="D11">
            <v>0</v>
          </cell>
          <cell r="K11">
            <v>0</v>
          </cell>
        </row>
        <row r="12">
          <cell r="A12">
            <v>17</v>
          </cell>
          <cell r="B12">
            <v>0</v>
          </cell>
          <cell r="D12">
            <v>0</v>
          </cell>
          <cell r="K12">
            <v>0</v>
          </cell>
        </row>
        <row r="13">
          <cell r="A13">
            <v>18</v>
          </cell>
          <cell r="B13">
            <v>0</v>
          </cell>
          <cell r="D13">
            <v>0</v>
          </cell>
          <cell r="K13">
            <v>0</v>
          </cell>
        </row>
        <row r="14">
          <cell r="A14">
            <v>19</v>
          </cell>
          <cell r="B14">
            <v>0</v>
          </cell>
          <cell r="D14">
            <v>0</v>
          </cell>
          <cell r="K14">
            <v>0</v>
          </cell>
        </row>
        <row r="15">
          <cell r="A15">
            <v>20</v>
          </cell>
          <cell r="B15">
            <v>899</v>
          </cell>
          <cell r="C15">
            <v>899</v>
          </cell>
          <cell r="D15">
            <v>31465</v>
          </cell>
          <cell r="K15">
            <v>31465</v>
          </cell>
        </row>
        <row r="16">
          <cell r="A16">
            <v>21</v>
          </cell>
          <cell r="B16">
            <v>963</v>
          </cell>
          <cell r="C16">
            <v>963</v>
          </cell>
          <cell r="D16">
            <v>33705</v>
          </cell>
          <cell r="K16">
            <v>33705</v>
          </cell>
        </row>
        <row r="17">
          <cell r="A17">
            <v>22</v>
          </cell>
          <cell r="B17">
            <v>1060</v>
          </cell>
          <cell r="C17">
            <v>1060</v>
          </cell>
          <cell r="D17">
            <v>37100</v>
          </cell>
          <cell r="K17">
            <v>37100</v>
          </cell>
        </row>
        <row r="18">
          <cell r="A18">
            <v>23</v>
          </cell>
          <cell r="B18">
            <v>988</v>
          </cell>
          <cell r="C18">
            <v>988</v>
          </cell>
          <cell r="D18">
            <v>34580</v>
          </cell>
          <cell r="K18">
            <v>34580</v>
          </cell>
        </row>
        <row r="19">
          <cell r="A19">
            <v>24</v>
          </cell>
          <cell r="B19">
            <v>1080</v>
          </cell>
          <cell r="C19">
            <v>1080</v>
          </cell>
          <cell r="D19">
            <v>37800</v>
          </cell>
          <cell r="K19">
            <v>37800</v>
          </cell>
        </row>
        <row r="20">
          <cell r="A20">
            <v>25</v>
          </cell>
          <cell r="B20">
            <v>0</v>
          </cell>
          <cell r="D20">
            <v>0</v>
          </cell>
          <cell r="K20">
            <v>0</v>
          </cell>
        </row>
        <row r="21">
          <cell r="A21">
            <v>26</v>
          </cell>
          <cell r="B21">
            <v>0</v>
          </cell>
          <cell r="D21">
            <v>0</v>
          </cell>
          <cell r="K21">
            <v>0</v>
          </cell>
        </row>
        <row r="22">
          <cell r="A22">
            <v>27</v>
          </cell>
          <cell r="B22">
            <v>0</v>
          </cell>
          <cell r="D22">
            <v>0</v>
          </cell>
          <cell r="K22">
            <v>0</v>
          </cell>
        </row>
        <row r="23">
          <cell r="A23">
            <v>28</v>
          </cell>
          <cell r="B23">
            <v>0</v>
          </cell>
          <cell r="D23">
            <v>0</v>
          </cell>
          <cell r="K23">
            <v>0</v>
          </cell>
        </row>
        <row r="24">
          <cell r="A24">
            <v>29</v>
          </cell>
          <cell r="B24">
            <v>0</v>
          </cell>
          <cell r="D24">
            <v>0</v>
          </cell>
          <cell r="K24">
            <v>0</v>
          </cell>
        </row>
        <row r="25">
          <cell r="A25">
            <v>30</v>
          </cell>
          <cell r="B25">
            <v>0</v>
          </cell>
          <cell r="D25">
            <v>0</v>
          </cell>
          <cell r="K25">
            <v>0</v>
          </cell>
        </row>
      </sheetData>
      <sheetData sheetId="5" refreshError="1"/>
      <sheetData sheetId="6" refreshError="1"/>
      <sheetData sheetId="7" refreshError="1">
        <row r="11">
          <cell r="A11">
            <v>16</v>
          </cell>
          <cell r="C11">
            <v>5.3</v>
          </cell>
          <cell r="E11">
            <v>5.3</v>
          </cell>
          <cell r="F11">
            <v>16</v>
          </cell>
          <cell r="G11">
            <v>5.3</v>
          </cell>
          <cell r="H11">
            <v>0</v>
          </cell>
          <cell r="I11">
            <v>0</v>
          </cell>
          <cell r="J11">
            <v>36888</v>
          </cell>
          <cell r="K11">
            <v>36888</v>
          </cell>
        </row>
        <row r="12">
          <cell r="A12">
            <v>17</v>
          </cell>
          <cell r="C12">
            <v>5.3</v>
          </cell>
          <cell r="E12">
            <v>5.3</v>
          </cell>
          <cell r="F12">
            <v>0</v>
          </cell>
          <cell r="G12">
            <v>5.3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>
            <v>18</v>
          </cell>
          <cell r="C13">
            <v>5.3</v>
          </cell>
          <cell r="E13">
            <v>5.3</v>
          </cell>
          <cell r="F13">
            <v>15</v>
          </cell>
          <cell r="G13">
            <v>5.3</v>
          </cell>
          <cell r="H13">
            <v>0</v>
          </cell>
          <cell r="I13">
            <v>0</v>
          </cell>
          <cell r="J13">
            <v>34582</v>
          </cell>
          <cell r="K13">
            <v>34582</v>
          </cell>
        </row>
        <row r="14">
          <cell r="A14">
            <v>19</v>
          </cell>
          <cell r="C14">
            <v>5.3</v>
          </cell>
          <cell r="E14">
            <v>5.3</v>
          </cell>
          <cell r="F14">
            <v>21</v>
          </cell>
          <cell r="G14">
            <v>5.3</v>
          </cell>
          <cell r="H14">
            <v>0</v>
          </cell>
          <cell r="I14">
            <v>0</v>
          </cell>
          <cell r="J14">
            <v>48415</v>
          </cell>
          <cell r="K14">
            <v>48415</v>
          </cell>
        </row>
        <row r="15">
          <cell r="A15">
            <v>20</v>
          </cell>
          <cell r="C15">
            <v>5.3</v>
          </cell>
          <cell r="E15">
            <v>5.3</v>
          </cell>
          <cell r="F15">
            <v>0</v>
          </cell>
          <cell r="G15">
            <v>5.3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>
            <v>21</v>
          </cell>
          <cell r="C16">
            <v>5.3</v>
          </cell>
          <cell r="E16">
            <v>5.3</v>
          </cell>
          <cell r="F16">
            <v>17</v>
          </cell>
          <cell r="G16">
            <v>5.3</v>
          </cell>
          <cell r="H16">
            <v>0</v>
          </cell>
          <cell r="I16">
            <v>0</v>
          </cell>
          <cell r="J16">
            <v>39194</v>
          </cell>
          <cell r="K16">
            <v>39194</v>
          </cell>
        </row>
        <row r="17">
          <cell r="A17">
            <v>22</v>
          </cell>
          <cell r="C17">
            <v>5.3</v>
          </cell>
          <cell r="E17">
            <v>5.3</v>
          </cell>
          <cell r="F17">
            <v>12</v>
          </cell>
          <cell r="G17">
            <v>5.3</v>
          </cell>
          <cell r="H17">
            <v>0</v>
          </cell>
          <cell r="I17">
            <v>0</v>
          </cell>
          <cell r="J17">
            <v>27666</v>
          </cell>
          <cell r="K17">
            <v>27666</v>
          </cell>
        </row>
        <row r="18">
          <cell r="A18">
            <v>23</v>
          </cell>
          <cell r="C18">
            <v>5.3</v>
          </cell>
          <cell r="E18">
            <v>5.3</v>
          </cell>
          <cell r="F18">
            <v>16</v>
          </cell>
          <cell r="G18">
            <v>5.3</v>
          </cell>
          <cell r="H18">
            <v>0</v>
          </cell>
          <cell r="I18">
            <v>0</v>
          </cell>
          <cell r="J18">
            <v>36888</v>
          </cell>
          <cell r="K18">
            <v>36888</v>
          </cell>
        </row>
        <row r="19">
          <cell r="A19">
            <v>24</v>
          </cell>
          <cell r="C19">
            <v>5.3</v>
          </cell>
          <cell r="E19">
            <v>5.3</v>
          </cell>
          <cell r="F19">
            <v>16</v>
          </cell>
          <cell r="G19">
            <v>5.3</v>
          </cell>
          <cell r="H19">
            <v>0</v>
          </cell>
          <cell r="I19">
            <v>0</v>
          </cell>
          <cell r="J19">
            <v>36888</v>
          </cell>
          <cell r="K19">
            <v>36888</v>
          </cell>
        </row>
        <row r="20">
          <cell r="A20">
            <v>25</v>
          </cell>
          <cell r="C20">
            <v>5.3</v>
          </cell>
          <cell r="E20">
            <v>5.3</v>
          </cell>
          <cell r="F20">
            <v>16</v>
          </cell>
          <cell r="G20">
            <v>5.3</v>
          </cell>
          <cell r="H20">
            <v>0</v>
          </cell>
          <cell r="I20">
            <v>0</v>
          </cell>
          <cell r="J20">
            <v>36888</v>
          </cell>
          <cell r="K20">
            <v>36888</v>
          </cell>
        </row>
        <row r="21">
          <cell r="A21">
            <v>26</v>
          </cell>
          <cell r="C21">
            <v>5.3</v>
          </cell>
          <cell r="E21">
            <v>5.3</v>
          </cell>
          <cell r="F21">
            <v>16</v>
          </cell>
          <cell r="G21">
            <v>5.3</v>
          </cell>
          <cell r="H21">
            <v>0</v>
          </cell>
          <cell r="I21">
            <v>0</v>
          </cell>
          <cell r="J21">
            <v>36888</v>
          </cell>
          <cell r="K21">
            <v>36888</v>
          </cell>
        </row>
        <row r="22">
          <cell r="A22">
            <v>27</v>
          </cell>
          <cell r="C22">
            <v>5.3</v>
          </cell>
          <cell r="E22">
            <v>5.3</v>
          </cell>
          <cell r="F22">
            <v>15</v>
          </cell>
          <cell r="G22">
            <v>5.3</v>
          </cell>
          <cell r="H22">
            <v>0</v>
          </cell>
          <cell r="I22">
            <v>0</v>
          </cell>
          <cell r="J22">
            <v>34583</v>
          </cell>
          <cell r="K22">
            <v>34583</v>
          </cell>
        </row>
        <row r="23">
          <cell r="A23">
            <v>27</v>
          </cell>
          <cell r="C23">
            <v>5.3</v>
          </cell>
          <cell r="E23">
            <v>5.3</v>
          </cell>
          <cell r="F23">
            <v>4</v>
          </cell>
          <cell r="G23">
            <v>3</v>
          </cell>
          <cell r="H23">
            <v>0</v>
          </cell>
          <cell r="I23">
            <v>0</v>
          </cell>
          <cell r="J23">
            <v>5220</v>
          </cell>
          <cell r="K23">
            <v>5220</v>
          </cell>
        </row>
        <row r="24">
          <cell r="A24">
            <v>28</v>
          </cell>
          <cell r="C24">
            <v>5.3</v>
          </cell>
          <cell r="E24">
            <v>5.3</v>
          </cell>
          <cell r="F24">
            <v>16</v>
          </cell>
          <cell r="G24">
            <v>5.3</v>
          </cell>
          <cell r="H24">
            <v>0</v>
          </cell>
          <cell r="I24">
            <v>0</v>
          </cell>
          <cell r="J24">
            <v>36888</v>
          </cell>
          <cell r="K24">
            <v>36888</v>
          </cell>
        </row>
        <row r="25">
          <cell r="A25">
            <v>29</v>
          </cell>
          <cell r="C25">
            <v>5.3</v>
          </cell>
          <cell r="E25">
            <v>5.3</v>
          </cell>
          <cell r="F25">
            <v>17</v>
          </cell>
          <cell r="G25">
            <v>5.3</v>
          </cell>
          <cell r="H25">
            <v>0</v>
          </cell>
          <cell r="I25">
            <v>0</v>
          </cell>
          <cell r="J25">
            <v>39194</v>
          </cell>
          <cell r="K25">
            <v>39194</v>
          </cell>
        </row>
        <row r="26">
          <cell r="A26">
            <v>30</v>
          </cell>
          <cell r="C26">
            <v>5.3</v>
          </cell>
          <cell r="E26">
            <v>5.3</v>
          </cell>
          <cell r="F26">
            <v>20</v>
          </cell>
          <cell r="G26">
            <v>5.3</v>
          </cell>
          <cell r="H26">
            <v>0</v>
          </cell>
          <cell r="I26">
            <v>0</v>
          </cell>
          <cell r="J26">
            <v>46110</v>
          </cell>
          <cell r="K26">
            <v>46110</v>
          </cell>
        </row>
        <row r="27">
          <cell r="A27">
            <v>31</v>
          </cell>
          <cell r="C27">
            <v>5.3</v>
          </cell>
          <cell r="E27">
            <v>5.3</v>
          </cell>
          <cell r="G27">
            <v>5.3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</sheetData>
      <sheetData sheetId="8" refreshError="1">
        <row r="5">
          <cell r="A5" t="str">
            <v>NGÀY​​​​ 16 ĐẾN 31 THÁNG 01 NĂM 2026</v>
          </cell>
        </row>
        <row r="11">
          <cell r="A11">
            <v>16</v>
          </cell>
          <cell r="C11">
            <v>5.3</v>
          </cell>
          <cell r="E11">
            <v>5.3</v>
          </cell>
          <cell r="F11">
            <v>15</v>
          </cell>
          <cell r="G11">
            <v>5.3</v>
          </cell>
          <cell r="I11">
            <v>0</v>
          </cell>
          <cell r="J11">
            <v>34583</v>
          </cell>
          <cell r="K11">
            <v>34583</v>
          </cell>
        </row>
        <row r="12">
          <cell r="A12">
            <v>17</v>
          </cell>
          <cell r="C12">
            <v>5.3</v>
          </cell>
          <cell r="E12">
            <v>5.3</v>
          </cell>
          <cell r="F12">
            <v>10</v>
          </cell>
          <cell r="G12">
            <v>5.3</v>
          </cell>
          <cell r="I12">
            <v>0</v>
          </cell>
          <cell r="J12">
            <v>23055</v>
          </cell>
          <cell r="K12">
            <v>23055</v>
          </cell>
        </row>
        <row r="13">
          <cell r="A13">
            <v>18</v>
          </cell>
          <cell r="C13">
            <v>5.3</v>
          </cell>
          <cell r="E13">
            <v>5.3</v>
          </cell>
          <cell r="F13">
            <v>13</v>
          </cell>
          <cell r="G13">
            <v>5.3</v>
          </cell>
          <cell r="I13">
            <v>0</v>
          </cell>
          <cell r="J13">
            <v>29972</v>
          </cell>
          <cell r="K13">
            <v>29972</v>
          </cell>
        </row>
        <row r="14">
          <cell r="A14">
            <v>19</v>
          </cell>
          <cell r="C14">
            <v>5.3</v>
          </cell>
          <cell r="E14">
            <v>5.3</v>
          </cell>
          <cell r="F14">
            <v>15</v>
          </cell>
          <cell r="G14">
            <v>5.3</v>
          </cell>
          <cell r="I14">
            <v>0</v>
          </cell>
          <cell r="J14">
            <v>34583</v>
          </cell>
          <cell r="K14">
            <v>34583</v>
          </cell>
        </row>
        <row r="15">
          <cell r="A15">
            <v>20</v>
          </cell>
          <cell r="C15">
            <v>5.3</v>
          </cell>
          <cell r="E15">
            <v>5.3</v>
          </cell>
          <cell r="F15">
            <v>0</v>
          </cell>
          <cell r="G15">
            <v>5.3</v>
          </cell>
          <cell r="I15">
            <v>0</v>
          </cell>
          <cell r="J15">
            <v>0</v>
          </cell>
          <cell r="K15">
            <v>0</v>
          </cell>
        </row>
        <row r="16">
          <cell r="A16">
            <v>21</v>
          </cell>
          <cell r="C16">
            <v>5.3</v>
          </cell>
          <cell r="E16">
            <v>5.3</v>
          </cell>
          <cell r="F16">
            <v>0</v>
          </cell>
          <cell r="G16">
            <v>5.3</v>
          </cell>
          <cell r="I16">
            <v>0</v>
          </cell>
          <cell r="J16">
            <v>0</v>
          </cell>
          <cell r="K16">
            <v>0</v>
          </cell>
        </row>
        <row r="17">
          <cell r="A17">
            <v>22</v>
          </cell>
          <cell r="C17">
            <v>5.3</v>
          </cell>
          <cell r="E17">
            <v>5.3</v>
          </cell>
          <cell r="F17">
            <v>12</v>
          </cell>
          <cell r="G17">
            <v>5.3</v>
          </cell>
          <cell r="I17">
            <v>0</v>
          </cell>
          <cell r="J17">
            <v>27666</v>
          </cell>
          <cell r="K17">
            <v>27666</v>
          </cell>
        </row>
        <row r="18">
          <cell r="A18">
            <v>23</v>
          </cell>
          <cell r="C18">
            <v>5.3</v>
          </cell>
          <cell r="E18">
            <v>5.3</v>
          </cell>
          <cell r="F18">
            <v>14</v>
          </cell>
          <cell r="G18">
            <v>5.3</v>
          </cell>
          <cell r="I18">
            <v>0</v>
          </cell>
          <cell r="J18">
            <v>32277</v>
          </cell>
          <cell r="K18">
            <v>32277</v>
          </cell>
        </row>
        <row r="19">
          <cell r="A19">
            <v>24</v>
          </cell>
          <cell r="C19">
            <v>5.3</v>
          </cell>
          <cell r="E19">
            <v>5.3</v>
          </cell>
          <cell r="F19">
            <v>15</v>
          </cell>
          <cell r="G19">
            <v>5.3</v>
          </cell>
          <cell r="I19">
            <v>0</v>
          </cell>
          <cell r="J19">
            <v>34583</v>
          </cell>
          <cell r="K19">
            <v>34583</v>
          </cell>
        </row>
        <row r="20">
          <cell r="A20">
            <v>25</v>
          </cell>
          <cell r="C20">
            <v>5.3</v>
          </cell>
          <cell r="E20">
            <v>5.3</v>
          </cell>
          <cell r="F20">
            <v>15</v>
          </cell>
          <cell r="G20">
            <v>5.3</v>
          </cell>
          <cell r="I20">
            <v>0</v>
          </cell>
          <cell r="J20">
            <v>34583</v>
          </cell>
          <cell r="K20">
            <v>34583</v>
          </cell>
        </row>
        <row r="21">
          <cell r="A21">
            <v>26</v>
          </cell>
          <cell r="C21">
            <v>5.3</v>
          </cell>
          <cell r="E21">
            <v>5.3</v>
          </cell>
          <cell r="F21">
            <v>16</v>
          </cell>
          <cell r="G21">
            <v>5.3</v>
          </cell>
          <cell r="I21">
            <v>0</v>
          </cell>
          <cell r="J21">
            <v>36888</v>
          </cell>
          <cell r="K21">
            <v>36888</v>
          </cell>
        </row>
        <row r="22">
          <cell r="A22">
            <v>27</v>
          </cell>
          <cell r="C22">
            <v>5.3</v>
          </cell>
          <cell r="E22">
            <v>5.3</v>
          </cell>
          <cell r="F22">
            <v>16</v>
          </cell>
          <cell r="G22">
            <v>5.3</v>
          </cell>
          <cell r="I22">
            <v>0</v>
          </cell>
          <cell r="J22">
            <v>36888</v>
          </cell>
          <cell r="K22">
            <v>36888</v>
          </cell>
        </row>
        <row r="23">
          <cell r="A23">
            <v>28</v>
          </cell>
          <cell r="C23">
            <v>5.3</v>
          </cell>
          <cell r="E23">
            <v>5.3</v>
          </cell>
          <cell r="F23">
            <v>15</v>
          </cell>
          <cell r="G23">
            <v>5.3</v>
          </cell>
          <cell r="I23">
            <v>0</v>
          </cell>
          <cell r="J23">
            <v>34583</v>
          </cell>
          <cell r="K23">
            <v>34583</v>
          </cell>
        </row>
        <row r="24">
          <cell r="A24">
            <v>29</v>
          </cell>
          <cell r="C24">
            <v>5.3</v>
          </cell>
          <cell r="E24">
            <v>5.3</v>
          </cell>
          <cell r="F24">
            <v>16</v>
          </cell>
          <cell r="G24">
            <v>5.3</v>
          </cell>
          <cell r="I24">
            <v>0</v>
          </cell>
          <cell r="J24">
            <v>36888</v>
          </cell>
          <cell r="K24">
            <v>36888</v>
          </cell>
        </row>
        <row r="25">
          <cell r="A25">
            <v>30</v>
          </cell>
          <cell r="C25">
            <v>5.3</v>
          </cell>
          <cell r="E25">
            <v>5.3</v>
          </cell>
          <cell r="F25">
            <v>18</v>
          </cell>
          <cell r="G25">
            <v>5.3</v>
          </cell>
          <cell r="I25">
            <v>0</v>
          </cell>
          <cell r="J25">
            <v>41499</v>
          </cell>
          <cell r="K25">
            <v>41499</v>
          </cell>
        </row>
        <row r="26">
          <cell r="A26">
            <v>31</v>
          </cell>
          <cell r="C26">
            <v>5.3</v>
          </cell>
          <cell r="E26">
            <v>5.3</v>
          </cell>
          <cell r="G26">
            <v>5.3</v>
          </cell>
          <cell r="I26">
            <v>0</v>
          </cell>
          <cell r="J26">
            <v>0</v>
          </cell>
          <cell r="K26">
            <v>0</v>
          </cell>
        </row>
      </sheetData>
      <sheetData sheetId="9" refreshError="1">
        <row r="11">
          <cell r="A11">
            <v>1</v>
          </cell>
          <cell r="B11">
            <v>0</v>
          </cell>
          <cell r="C11">
            <v>5.3</v>
          </cell>
          <cell r="E11">
            <v>5.3</v>
          </cell>
          <cell r="G11">
            <v>5.3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>
            <v>2</v>
          </cell>
          <cell r="B12">
            <v>0</v>
          </cell>
          <cell r="C12">
            <v>5.3</v>
          </cell>
          <cell r="E12">
            <v>5.3</v>
          </cell>
          <cell r="G12">
            <v>5.3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>
            <v>3</v>
          </cell>
          <cell r="B13">
            <v>0</v>
          </cell>
          <cell r="C13">
            <v>5.3</v>
          </cell>
          <cell r="E13">
            <v>5.3</v>
          </cell>
          <cell r="G13">
            <v>5.3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>
            <v>4</v>
          </cell>
          <cell r="B14">
            <v>0</v>
          </cell>
          <cell r="C14">
            <v>5.3</v>
          </cell>
          <cell r="E14">
            <v>5.3</v>
          </cell>
          <cell r="G14">
            <v>5.3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A15">
            <v>5</v>
          </cell>
          <cell r="B15">
            <v>0</v>
          </cell>
          <cell r="C15">
            <v>5.3</v>
          </cell>
          <cell r="E15">
            <v>5.3</v>
          </cell>
          <cell r="G15">
            <v>5.3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>
            <v>6</v>
          </cell>
          <cell r="B16">
            <v>0</v>
          </cell>
          <cell r="C16">
            <v>5.3</v>
          </cell>
          <cell r="E16">
            <v>5.3</v>
          </cell>
          <cell r="G16">
            <v>5.3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A17">
            <v>7</v>
          </cell>
          <cell r="B17">
            <v>0</v>
          </cell>
          <cell r="C17">
            <v>5.3</v>
          </cell>
          <cell r="E17">
            <v>5.3</v>
          </cell>
          <cell r="G17">
            <v>5.3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A18">
            <v>8</v>
          </cell>
          <cell r="B18">
            <v>0</v>
          </cell>
          <cell r="C18">
            <v>5.3</v>
          </cell>
          <cell r="E18">
            <v>5.3</v>
          </cell>
          <cell r="G18">
            <v>5.3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>
            <v>9</v>
          </cell>
          <cell r="B19">
            <v>0</v>
          </cell>
          <cell r="C19">
            <v>5.3</v>
          </cell>
          <cell r="E19">
            <v>5.3</v>
          </cell>
          <cell r="G19">
            <v>5.3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>
            <v>10</v>
          </cell>
          <cell r="B20">
            <v>0</v>
          </cell>
          <cell r="C20">
            <v>5.3</v>
          </cell>
          <cell r="E20">
            <v>5.3</v>
          </cell>
          <cell r="G20">
            <v>5.3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>
            <v>11</v>
          </cell>
          <cell r="B21">
            <v>0</v>
          </cell>
          <cell r="C21">
            <v>5.3</v>
          </cell>
          <cell r="E21">
            <v>5.3</v>
          </cell>
          <cell r="G21">
            <v>5.3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A22">
            <v>12</v>
          </cell>
          <cell r="B22">
            <v>0</v>
          </cell>
          <cell r="C22">
            <v>5.3</v>
          </cell>
          <cell r="E22">
            <v>5.3</v>
          </cell>
          <cell r="G22">
            <v>5.3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>
            <v>13</v>
          </cell>
          <cell r="B23">
            <v>0</v>
          </cell>
          <cell r="C23">
            <v>5.3</v>
          </cell>
          <cell r="E23">
            <v>5.3</v>
          </cell>
          <cell r="G23">
            <v>5.3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>
            <v>14</v>
          </cell>
          <cell r="B24">
            <v>0</v>
          </cell>
          <cell r="C24">
            <v>5.3</v>
          </cell>
          <cell r="E24">
            <v>5.3</v>
          </cell>
          <cell r="G24">
            <v>5.3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15</v>
          </cell>
          <cell r="B25">
            <v>0</v>
          </cell>
          <cell r="C25">
            <v>5.3</v>
          </cell>
          <cell r="E25">
            <v>5.3</v>
          </cell>
          <cell r="G25">
            <v>5.3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</sheetData>
      <sheetData sheetId="10" refreshError="1">
        <row r="11">
          <cell r="A11">
            <v>1</v>
          </cell>
          <cell r="B11">
            <v>0</v>
          </cell>
          <cell r="C11">
            <v>5.3</v>
          </cell>
          <cell r="D11">
            <v>0</v>
          </cell>
          <cell r="E11">
            <v>5.3</v>
          </cell>
          <cell r="G11">
            <v>5.3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>
            <v>2</v>
          </cell>
          <cell r="B12">
            <v>0</v>
          </cell>
          <cell r="C12">
            <v>5.3</v>
          </cell>
          <cell r="D12">
            <v>0</v>
          </cell>
          <cell r="E12">
            <v>5.3</v>
          </cell>
          <cell r="G12">
            <v>5.3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>
            <v>3</v>
          </cell>
          <cell r="B13">
            <v>0</v>
          </cell>
          <cell r="C13">
            <v>5.3</v>
          </cell>
          <cell r="D13">
            <v>0</v>
          </cell>
          <cell r="E13">
            <v>5.3</v>
          </cell>
          <cell r="G13">
            <v>5.3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>
            <v>4</v>
          </cell>
          <cell r="B14">
            <v>0</v>
          </cell>
          <cell r="C14">
            <v>5.3</v>
          </cell>
          <cell r="D14">
            <v>0</v>
          </cell>
          <cell r="E14">
            <v>5.3</v>
          </cell>
          <cell r="G14">
            <v>5.3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A15">
            <v>5</v>
          </cell>
          <cell r="B15">
            <v>0</v>
          </cell>
          <cell r="C15">
            <v>5.3</v>
          </cell>
          <cell r="E15">
            <v>5.3</v>
          </cell>
          <cell r="G15">
            <v>5.3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>
            <v>6</v>
          </cell>
          <cell r="B16">
            <v>0</v>
          </cell>
          <cell r="C16">
            <v>5.3</v>
          </cell>
          <cell r="D16">
            <v>0</v>
          </cell>
          <cell r="E16">
            <v>5.3</v>
          </cell>
          <cell r="G16">
            <v>5.3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A17">
            <v>7</v>
          </cell>
          <cell r="B17">
            <v>0</v>
          </cell>
          <cell r="C17">
            <v>5.3</v>
          </cell>
          <cell r="E17">
            <v>5.3</v>
          </cell>
          <cell r="G17">
            <v>5.3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A18">
            <v>8</v>
          </cell>
          <cell r="B18">
            <v>0</v>
          </cell>
          <cell r="C18">
            <v>5.3</v>
          </cell>
          <cell r="E18">
            <v>5.3</v>
          </cell>
          <cell r="G18">
            <v>5.3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>
            <v>9</v>
          </cell>
          <cell r="B19">
            <v>0</v>
          </cell>
          <cell r="C19">
            <v>5.3</v>
          </cell>
          <cell r="E19">
            <v>5.3</v>
          </cell>
          <cell r="G19">
            <v>5.3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>
            <v>10</v>
          </cell>
          <cell r="B20">
            <v>0</v>
          </cell>
          <cell r="C20">
            <v>5.3</v>
          </cell>
          <cell r="E20">
            <v>5.3</v>
          </cell>
          <cell r="G20">
            <v>5.3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>
            <v>11</v>
          </cell>
          <cell r="B21">
            <v>0</v>
          </cell>
          <cell r="C21">
            <v>5.3</v>
          </cell>
          <cell r="E21">
            <v>5.3</v>
          </cell>
          <cell r="G21">
            <v>5.3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A22">
            <v>12</v>
          </cell>
          <cell r="B22">
            <v>0</v>
          </cell>
          <cell r="C22">
            <v>5.3</v>
          </cell>
          <cell r="E22">
            <v>5.3</v>
          </cell>
          <cell r="G22">
            <v>5.3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>
            <v>13</v>
          </cell>
          <cell r="B23">
            <v>0</v>
          </cell>
          <cell r="C23">
            <v>5.3</v>
          </cell>
          <cell r="E23">
            <v>5.3</v>
          </cell>
          <cell r="G23">
            <v>5.3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>
            <v>14</v>
          </cell>
          <cell r="B24">
            <v>0</v>
          </cell>
          <cell r="C24">
            <v>5.3</v>
          </cell>
          <cell r="E24">
            <v>5.3</v>
          </cell>
          <cell r="G24">
            <v>5.3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15</v>
          </cell>
          <cell r="B25">
            <v>0</v>
          </cell>
          <cell r="C25">
            <v>5.3</v>
          </cell>
          <cell r="E25">
            <v>5.3</v>
          </cell>
          <cell r="G25">
            <v>5.3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C D1"/>
      <sheetName val="BCC D1(26)"/>
      <sheetName val="BTHKL D1 T1"/>
      <sheetName val="BTHKL D1 T1 (26)"/>
      <sheetName val="KL mủ TPto1"/>
      <sheetName val="KL mu TP to2"/>
      <sheetName val="BPHAN CHIA "/>
      <sheetName val="BKECHITIET TO1"/>
      <sheetName val="BKECHITIET TO2"/>
      <sheetName val="BKECHITIET TO1 (tp)"/>
      <sheetName val="BKECHITIET TO2 (TP)"/>
    </sheetNames>
    <sheetDataSet>
      <sheetData sheetId="0">
        <row r="6">
          <cell r="A6" t="str">
            <v xml:space="preserve">តារាងវត្តមានកម្មកររោងចក្រកែច្នៃជ័រកៅស៊ូ
</v>
          </cell>
        </row>
      </sheetData>
      <sheetData sheetId="1">
        <row r="12">
          <cell r="V12">
            <v>10.5</v>
          </cell>
        </row>
      </sheetData>
      <sheetData sheetId="2">
        <row r="13">
          <cell r="E13">
            <v>1007.12</v>
          </cell>
        </row>
      </sheetData>
      <sheetData sheetId="3"/>
      <sheetData sheetId="4">
        <row r="11">
          <cell r="A11">
            <v>1</v>
          </cell>
        </row>
      </sheetData>
      <sheetData sheetId="5">
        <row r="12">
          <cell r="A12">
            <v>1</v>
          </cell>
          <cell r="B12">
            <v>0</v>
          </cell>
          <cell r="D12">
            <v>0</v>
          </cell>
          <cell r="K12">
            <v>0</v>
          </cell>
        </row>
        <row r="13">
          <cell r="A13">
            <v>2</v>
          </cell>
          <cell r="B13">
            <v>0</v>
          </cell>
          <cell r="D13">
            <v>0</v>
          </cell>
          <cell r="K13">
            <v>0</v>
          </cell>
        </row>
        <row r="14">
          <cell r="A14">
            <v>3</v>
          </cell>
          <cell r="B14">
            <v>0</v>
          </cell>
          <cell r="D14">
            <v>0</v>
          </cell>
          <cell r="K14">
            <v>0</v>
          </cell>
        </row>
        <row r="15">
          <cell r="A15">
            <v>4</v>
          </cell>
          <cell r="B15">
            <v>0</v>
          </cell>
          <cell r="D15">
            <v>0</v>
          </cell>
          <cell r="K15">
            <v>0</v>
          </cell>
        </row>
        <row r="16">
          <cell r="A16">
            <v>5</v>
          </cell>
          <cell r="B16">
            <v>0</v>
          </cell>
          <cell r="D16">
            <v>0</v>
          </cell>
          <cell r="K16">
            <v>0</v>
          </cell>
        </row>
        <row r="17">
          <cell r="A17">
            <v>6</v>
          </cell>
          <cell r="B17">
            <v>0</v>
          </cell>
          <cell r="D17">
            <v>0</v>
          </cell>
          <cell r="K17">
            <v>0</v>
          </cell>
        </row>
        <row r="18">
          <cell r="A18">
            <v>7</v>
          </cell>
          <cell r="B18">
            <v>0</v>
          </cell>
          <cell r="D18">
            <v>0</v>
          </cell>
          <cell r="K18">
            <v>0</v>
          </cell>
        </row>
        <row r="19">
          <cell r="A19">
            <v>8</v>
          </cell>
          <cell r="B19">
            <v>0</v>
          </cell>
          <cell r="D19">
            <v>0</v>
          </cell>
          <cell r="K19">
            <v>0</v>
          </cell>
        </row>
        <row r="20">
          <cell r="A20">
            <v>9</v>
          </cell>
          <cell r="B20">
            <v>0</v>
          </cell>
          <cell r="D20">
            <v>0</v>
          </cell>
          <cell r="K20">
            <v>0</v>
          </cell>
        </row>
        <row r="21">
          <cell r="A21">
            <v>10</v>
          </cell>
          <cell r="B21">
            <v>955</v>
          </cell>
          <cell r="C21">
            <v>955</v>
          </cell>
          <cell r="D21">
            <v>33425</v>
          </cell>
          <cell r="K21">
            <v>33425</v>
          </cell>
        </row>
        <row r="22">
          <cell r="A22">
            <v>11</v>
          </cell>
          <cell r="B22">
            <v>972</v>
          </cell>
          <cell r="C22">
            <v>972</v>
          </cell>
          <cell r="D22">
            <v>34020</v>
          </cell>
          <cell r="K22">
            <v>34020</v>
          </cell>
        </row>
        <row r="23">
          <cell r="A23">
            <v>12</v>
          </cell>
          <cell r="B23">
            <v>975</v>
          </cell>
          <cell r="C23">
            <v>975</v>
          </cell>
          <cell r="D23">
            <v>34125</v>
          </cell>
          <cell r="K23">
            <v>34125</v>
          </cell>
        </row>
        <row r="24">
          <cell r="A24">
            <v>13</v>
          </cell>
          <cell r="B24">
            <v>991</v>
          </cell>
          <cell r="C24">
            <v>991</v>
          </cell>
          <cell r="D24">
            <v>34685</v>
          </cell>
          <cell r="K24">
            <v>34685</v>
          </cell>
        </row>
        <row r="25">
          <cell r="A25">
            <v>14</v>
          </cell>
          <cell r="B25">
            <v>975</v>
          </cell>
          <cell r="C25">
            <v>975</v>
          </cell>
          <cell r="D25">
            <v>34125</v>
          </cell>
          <cell r="K25">
            <v>34125</v>
          </cell>
        </row>
        <row r="26">
          <cell r="A26">
            <v>15</v>
          </cell>
          <cell r="B26">
            <v>962</v>
          </cell>
          <cell r="C26">
            <v>962</v>
          </cell>
          <cell r="D26">
            <v>33670</v>
          </cell>
          <cell r="K26">
            <v>33670</v>
          </cell>
        </row>
      </sheetData>
      <sheetData sheetId="6"/>
      <sheetData sheetId="7">
        <row r="11">
          <cell r="A11">
            <v>1</v>
          </cell>
        </row>
      </sheetData>
      <sheetData sheetId="8">
        <row r="5">
          <cell r="A5" t="str">
            <v>NGÀY​​​​ 01 ĐẾN 15 THÁNG 01 NĂM 2026</v>
          </cell>
        </row>
      </sheetData>
      <sheetData sheetId="9">
        <row r="11">
          <cell r="A11">
            <v>1</v>
          </cell>
        </row>
      </sheetData>
      <sheetData sheetId="10">
        <row r="11">
          <cell r="A11">
            <v>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D D1T1"/>
      <sheetName val="BPTL D1T1"/>
      <sheetName val="BCC D1(26)"/>
      <sheetName val="BTHKL D1 T1 (26)"/>
      <sheetName val="BPHAN CHIA "/>
      <sheetName val="KLCN t1 dot 1"/>
      <sheetName val="TTL dot​2 (31947)"/>
    </sheetNames>
    <sheetDataSet>
      <sheetData sheetId="0" refreshError="1"/>
      <sheetData sheetId="1" refreshError="1"/>
      <sheetData sheetId="2" refreshError="1">
        <row r="12">
          <cell r="V12">
            <v>10.5</v>
          </cell>
        </row>
        <row r="13">
          <cell r="V13">
            <v>13</v>
          </cell>
        </row>
        <row r="14">
          <cell r="V14">
            <v>3</v>
          </cell>
        </row>
        <row r="15">
          <cell r="V15">
            <v>12.5</v>
          </cell>
        </row>
        <row r="16">
          <cell r="V16">
            <v>12</v>
          </cell>
        </row>
        <row r="17">
          <cell r="V17">
            <v>5.5</v>
          </cell>
        </row>
        <row r="18">
          <cell r="V18">
            <v>8.5</v>
          </cell>
        </row>
        <row r="19">
          <cell r="V19">
            <v>2.5</v>
          </cell>
        </row>
        <row r="20">
          <cell r="V20">
            <v>12</v>
          </cell>
        </row>
        <row r="21">
          <cell r="V21">
            <v>5.5</v>
          </cell>
        </row>
        <row r="53">
          <cell r="V53">
            <v>10</v>
          </cell>
        </row>
        <row r="55">
          <cell r="V55">
            <v>13</v>
          </cell>
        </row>
        <row r="56">
          <cell r="V56">
            <v>13</v>
          </cell>
        </row>
        <row r="57">
          <cell r="V57">
            <v>5.5</v>
          </cell>
        </row>
        <row r="58">
          <cell r="V58">
            <v>11</v>
          </cell>
        </row>
        <row r="59">
          <cell r="V59">
            <v>3</v>
          </cell>
        </row>
        <row r="60">
          <cell r="V60">
            <v>13</v>
          </cell>
        </row>
        <row r="61">
          <cell r="V61">
            <v>5.5</v>
          </cell>
        </row>
        <row r="93">
          <cell r="V93">
            <v>3.5</v>
          </cell>
        </row>
        <row r="95">
          <cell r="V95">
            <v>4</v>
          </cell>
        </row>
        <row r="96">
          <cell r="V96">
            <v>4</v>
          </cell>
        </row>
        <row r="98">
          <cell r="B98" t="str">
            <v>ហ៊ីម មករា</v>
          </cell>
          <cell r="C98" t="str">
            <v>HIM MAKRA</v>
          </cell>
          <cell r="D98">
            <v>150978188</v>
          </cell>
          <cell r="E98">
            <v>37990</v>
          </cell>
          <cell r="F98" t="str">
            <v>/</v>
          </cell>
          <cell r="G98" t="str">
            <v>X</v>
          </cell>
          <cell r="V98">
            <v>1.5</v>
          </cell>
        </row>
        <row r="99">
          <cell r="B99" t="str">
            <v>គា​ ទីណូ</v>
          </cell>
          <cell r="C99" t="str">
            <v>KHEA TINO</v>
          </cell>
          <cell r="D99">
            <v>151055393</v>
          </cell>
          <cell r="E99">
            <v>39725</v>
          </cell>
          <cell r="F99" t="str">
            <v>/</v>
          </cell>
          <cell r="G99" t="str">
            <v>X</v>
          </cell>
          <cell r="V99">
            <v>1.5</v>
          </cell>
        </row>
        <row r="100">
          <cell r="B100" t="str">
            <v>ទៀង ចាន់ថា</v>
          </cell>
          <cell r="C100" t="str">
            <v>TIENG CHANTHA</v>
          </cell>
          <cell r="D100">
            <v>220175294</v>
          </cell>
          <cell r="E100">
            <v>34814</v>
          </cell>
          <cell r="F100" t="str">
            <v>/</v>
          </cell>
          <cell r="G100" t="str">
            <v>X</v>
          </cell>
          <cell r="U100">
            <v>0</v>
          </cell>
          <cell r="V100">
            <v>1.5</v>
          </cell>
        </row>
        <row r="101">
          <cell r="B101" t="str">
            <v>មាស ស៊ីន​</v>
          </cell>
          <cell r="C101" t="str">
            <v>MEAS SIN</v>
          </cell>
          <cell r="D101">
            <v>150582830</v>
          </cell>
          <cell r="E101">
            <v>35768</v>
          </cell>
          <cell r="F101" t="str">
            <v>/</v>
          </cell>
          <cell r="G101" t="str">
            <v>X</v>
          </cell>
          <cell r="V101">
            <v>1.5</v>
          </cell>
        </row>
      </sheetData>
      <sheetData sheetId="3" refreshError="1"/>
      <sheetData sheetId="4" refreshError="1">
        <row r="11">
          <cell r="B11" t="str">
            <v>ជឿន ថា</v>
          </cell>
          <cell r="C11" t="str">
            <v>CHOEUN THA</v>
          </cell>
          <cell r="D11" t="str">
            <v>តោន (Tấn)</v>
          </cell>
          <cell r="G11">
            <v>3587</v>
          </cell>
          <cell r="H11">
            <v>4098</v>
          </cell>
          <cell r="I11">
            <v>3587</v>
          </cell>
          <cell r="J11">
            <v>3074</v>
          </cell>
          <cell r="K11">
            <v>3330</v>
          </cell>
          <cell r="L11">
            <v>3842</v>
          </cell>
          <cell r="M11">
            <v>4035</v>
          </cell>
          <cell r="N11">
            <v>2306</v>
          </cell>
          <cell r="O11">
            <v>3586</v>
          </cell>
          <cell r="P11">
            <v>3330</v>
          </cell>
          <cell r="Q11">
            <v>4355</v>
          </cell>
          <cell r="R11">
            <v>4355</v>
          </cell>
          <cell r="S11">
            <v>4098</v>
          </cell>
          <cell r="T11">
            <v>47.582999999999998</v>
          </cell>
        </row>
        <row r="12">
          <cell r="B12" t="str">
            <v>ហ៊ុន ម៉ៅ</v>
          </cell>
          <cell r="C12" t="str">
            <v>HUN MAO</v>
          </cell>
          <cell r="D12" t="str">
            <v>តោន (Tấn)</v>
          </cell>
          <cell r="G12">
            <v>3587</v>
          </cell>
          <cell r="H12">
            <v>4098</v>
          </cell>
          <cell r="I12">
            <v>3587</v>
          </cell>
          <cell r="J12">
            <v>3074</v>
          </cell>
          <cell r="K12">
            <v>3330</v>
          </cell>
          <cell r="L12">
            <v>3842</v>
          </cell>
          <cell r="M12">
            <v>4035</v>
          </cell>
          <cell r="N12">
            <v>2305</v>
          </cell>
          <cell r="O12">
            <v>3587</v>
          </cell>
          <cell r="P12">
            <v>3330</v>
          </cell>
          <cell r="Q12">
            <v>4355</v>
          </cell>
          <cell r="R12">
            <v>4355</v>
          </cell>
          <cell r="S12">
            <v>4098</v>
          </cell>
          <cell r="T12">
            <v>47.582999999999998</v>
          </cell>
        </row>
        <row r="13">
          <cell r="B13" t="str">
            <v>ជឿន ថី</v>
          </cell>
          <cell r="C13" t="str">
            <v>CHOEUN THEY</v>
          </cell>
          <cell r="D13" t="str">
            <v>តោន (Tấn)</v>
          </cell>
          <cell r="G13">
            <v>3587</v>
          </cell>
          <cell r="H13">
            <v>4098</v>
          </cell>
          <cell r="I13">
            <v>3587</v>
          </cell>
          <cell r="J13">
            <v>3074</v>
          </cell>
          <cell r="K13">
            <v>3330</v>
          </cell>
          <cell r="L13">
            <v>3842</v>
          </cell>
          <cell r="M13">
            <v>4035</v>
          </cell>
          <cell r="N13">
            <v>2305</v>
          </cell>
          <cell r="O13">
            <v>3587</v>
          </cell>
          <cell r="P13">
            <v>3330</v>
          </cell>
          <cell r="Q13">
            <v>4355</v>
          </cell>
          <cell r="R13">
            <v>4355</v>
          </cell>
          <cell r="S13">
            <v>4098</v>
          </cell>
          <cell r="T13">
            <v>47.582999999999998</v>
          </cell>
        </row>
        <row r="14">
          <cell r="B14" t="str">
            <v>ឆឹម ខុន</v>
          </cell>
          <cell r="C14" t="str">
            <v>CHHEOM KHON</v>
          </cell>
          <cell r="D14" t="str">
            <v>តោន (Tấn)</v>
          </cell>
          <cell r="G14">
            <v>3586</v>
          </cell>
          <cell r="H14">
            <v>4099</v>
          </cell>
          <cell r="I14">
            <v>3586</v>
          </cell>
          <cell r="J14">
            <v>3074</v>
          </cell>
          <cell r="K14">
            <v>3331</v>
          </cell>
          <cell r="L14">
            <v>3842</v>
          </cell>
          <cell r="M14">
            <v>4035</v>
          </cell>
          <cell r="N14">
            <v>2305</v>
          </cell>
          <cell r="O14">
            <v>3587</v>
          </cell>
          <cell r="P14">
            <v>3330</v>
          </cell>
          <cell r="Q14">
            <v>4355</v>
          </cell>
          <cell r="R14">
            <v>4355</v>
          </cell>
          <cell r="S14">
            <v>4098</v>
          </cell>
          <cell r="T14">
            <v>47.582999999999998</v>
          </cell>
        </row>
        <row r="15">
          <cell r="B15" t="str">
            <v>ថន សុខធា</v>
          </cell>
          <cell r="C15" t="str">
            <v>THON SOKHTHEA</v>
          </cell>
          <cell r="D15" t="str">
            <v>តោន (Tấn)</v>
          </cell>
          <cell r="G15">
            <v>3586</v>
          </cell>
          <cell r="H15">
            <v>4099</v>
          </cell>
          <cell r="I15">
            <v>3586</v>
          </cell>
          <cell r="J15">
            <v>3074</v>
          </cell>
          <cell r="K15">
            <v>3331</v>
          </cell>
          <cell r="L15">
            <v>3842</v>
          </cell>
          <cell r="M15">
            <v>4035</v>
          </cell>
          <cell r="N15">
            <v>2305</v>
          </cell>
          <cell r="O15">
            <v>3586</v>
          </cell>
          <cell r="P15">
            <v>3331</v>
          </cell>
          <cell r="Q15">
            <v>4355</v>
          </cell>
          <cell r="R15">
            <v>4355</v>
          </cell>
          <cell r="S15">
            <v>4098</v>
          </cell>
          <cell r="T15">
            <v>47.582999999999998</v>
          </cell>
        </row>
        <row r="16">
          <cell r="B16" t="str">
            <v>នី គីន</v>
          </cell>
          <cell r="C16" t="str">
            <v>NY KIN</v>
          </cell>
          <cell r="D16" t="str">
            <v>តោន (Tấn)</v>
          </cell>
          <cell r="G16">
            <v>3586</v>
          </cell>
          <cell r="H16">
            <v>4099</v>
          </cell>
          <cell r="I16">
            <v>3586</v>
          </cell>
          <cell r="J16">
            <v>3074</v>
          </cell>
          <cell r="K16">
            <v>3330</v>
          </cell>
          <cell r="L16">
            <v>3843</v>
          </cell>
          <cell r="M16" t="str">
            <v>-</v>
          </cell>
          <cell r="N16">
            <v>2306</v>
          </cell>
          <cell r="O16">
            <v>3586</v>
          </cell>
          <cell r="P16">
            <v>3331</v>
          </cell>
          <cell r="Q16">
            <v>4354</v>
          </cell>
          <cell r="R16">
            <v>4355</v>
          </cell>
          <cell r="S16">
            <v>4100</v>
          </cell>
          <cell r="T16">
            <v>43.55</v>
          </cell>
        </row>
        <row r="17">
          <cell r="B17" t="str">
            <v xml:space="preserve"> វុន ហួន</v>
          </cell>
          <cell r="C17" t="str">
            <v>VUN HOUN</v>
          </cell>
          <cell r="D17" t="str">
            <v>តោន (Tấn)</v>
          </cell>
          <cell r="G17">
            <v>3586</v>
          </cell>
          <cell r="H17">
            <v>4099</v>
          </cell>
          <cell r="I17">
            <v>3586</v>
          </cell>
          <cell r="J17">
            <v>3074</v>
          </cell>
          <cell r="K17">
            <v>3330</v>
          </cell>
          <cell r="L17">
            <v>3843</v>
          </cell>
          <cell r="M17">
            <v>4034</v>
          </cell>
          <cell r="N17">
            <v>2306</v>
          </cell>
          <cell r="O17">
            <v>3586</v>
          </cell>
          <cell r="P17">
            <v>3330</v>
          </cell>
          <cell r="Q17">
            <v>4355</v>
          </cell>
          <cell r="R17">
            <v>4355</v>
          </cell>
          <cell r="S17">
            <v>4099</v>
          </cell>
          <cell r="T17">
            <v>47.582999999999998</v>
          </cell>
        </row>
        <row r="18">
          <cell r="B18" t="str">
            <v>លី​ ប៊ុនយ៉េន</v>
          </cell>
          <cell r="C18" t="str">
            <v>LY BUNYEN</v>
          </cell>
          <cell r="D18" t="str">
            <v>តោន (Tấn)</v>
          </cell>
          <cell r="G18">
            <v>3586</v>
          </cell>
          <cell r="H18">
            <v>4099</v>
          </cell>
          <cell r="I18">
            <v>3586</v>
          </cell>
          <cell r="J18">
            <v>3074</v>
          </cell>
          <cell r="K18">
            <v>3330</v>
          </cell>
          <cell r="L18">
            <v>3843</v>
          </cell>
          <cell r="M18">
            <v>4034</v>
          </cell>
          <cell r="N18">
            <v>2306</v>
          </cell>
          <cell r="O18">
            <v>3586</v>
          </cell>
          <cell r="P18">
            <v>3330</v>
          </cell>
          <cell r="Q18">
            <v>4355</v>
          </cell>
          <cell r="R18">
            <v>4355</v>
          </cell>
          <cell r="S18">
            <v>4099</v>
          </cell>
          <cell r="T18">
            <v>47.582999999999998</v>
          </cell>
        </row>
        <row r="19">
          <cell r="B19" t="str">
            <v>ធឿន​ វុឌ្ឍី</v>
          </cell>
          <cell r="C19" t="str">
            <v>THOEUN VUTHY</v>
          </cell>
          <cell r="D19" t="str">
            <v>តោន (Tấn)</v>
          </cell>
          <cell r="G19">
            <v>3586</v>
          </cell>
          <cell r="H19">
            <v>4099</v>
          </cell>
          <cell r="I19">
            <v>3586</v>
          </cell>
          <cell r="J19">
            <v>3074</v>
          </cell>
          <cell r="K19">
            <v>3330</v>
          </cell>
          <cell r="L19">
            <v>3843</v>
          </cell>
          <cell r="M19">
            <v>4034</v>
          </cell>
          <cell r="N19">
            <v>2306</v>
          </cell>
          <cell r="O19">
            <v>3586</v>
          </cell>
          <cell r="P19">
            <v>3330</v>
          </cell>
          <cell r="Q19">
            <v>4355</v>
          </cell>
          <cell r="R19">
            <v>4354</v>
          </cell>
          <cell r="S19">
            <v>4100</v>
          </cell>
          <cell r="T19">
            <v>47.582999999999998</v>
          </cell>
        </row>
        <row r="64">
          <cell r="B64" t="str">
            <v>សន ម៉ាប់</v>
          </cell>
          <cell r="C64" t="str">
            <v>SORN MAB</v>
          </cell>
          <cell r="D64" t="str">
            <v>តោន (Tấn)</v>
          </cell>
          <cell r="G64">
            <v>4035</v>
          </cell>
          <cell r="H64">
            <v>4035</v>
          </cell>
          <cell r="I64">
            <v>3746</v>
          </cell>
          <cell r="J64">
            <v>3074</v>
          </cell>
          <cell r="K64">
            <v>3586</v>
          </cell>
          <cell r="L64">
            <v>3843</v>
          </cell>
          <cell r="M64">
            <v>3330</v>
          </cell>
          <cell r="N64">
            <v>3074</v>
          </cell>
          <cell r="O64">
            <v>3330</v>
          </cell>
          <cell r="Q64">
            <v>4035</v>
          </cell>
          <cell r="R64">
            <v>3586</v>
          </cell>
          <cell r="S64">
            <v>4355</v>
          </cell>
          <cell r="T64">
            <v>44.029000000000003</v>
          </cell>
        </row>
        <row r="65">
          <cell r="B65" t="str">
            <v>ម៉ន ពឿយ</v>
          </cell>
          <cell r="C65" t="str">
            <v>MORN POEUY</v>
          </cell>
          <cell r="D65" t="str">
            <v>តោន (Tấn)</v>
          </cell>
          <cell r="G65">
            <v>4035</v>
          </cell>
          <cell r="H65">
            <v>4035</v>
          </cell>
          <cell r="I65">
            <v>3746</v>
          </cell>
          <cell r="J65">
            <v>3074</v>
          </cell>
          <cell r="K65">
            <v>3586</v>
          </cell>
          <cell r="L65">
            <v>3843</v>
          </cell>
          <cell r="M65">
            <v>3330</v>
          </cell>
          <cell r="N65">
            <v>3074</v>
          </cell>
          <cell r="O65">
            <v>3330</v>
          </cell>
          <cell r="Q65">
            <v>4035</v>
          </cell>
          <cell r="R65">
            <v>3586</v>
          </cell>
          <cell r="S65">
            <v>4355</v>
          </cell>
          <cell r="T65">
            <v>44.029000000000003</v>
          </cell>
        </row>
        <row r="66">
          <cell r="B66" t="str">
            <v>ថន ចារី</v>
          </cell>
          <cell r="C66" t="str">
            <v>THON CHAREY</v>
          </cell>
          <cell r="D66" t="str">
            <v>តោន (Tấn)</v>
          </cell>
          <cell r="G66">
            <v>4035</v>
          </cell>
          <cell r="H66">
            <v>4034</v>
          </cell>
          <cell r="I66">
            <v>3747</v>
          </cell>
          <cell r="J66">
            <v>3074</v>
          </cell>
          <cell r="K66">
            <v>3586</v>
          </cell>
          <cell r="L66">
            <v>3843</v>
          </cell>
          <cell r="M66">
            <v>3330</v>
          </cell>
          <cell r="N66">
            <v>3074</v>
          </cell>
          <cell r="O66">
            <v>3330</v>
          </cell>
          <cell r="Q66">
            <v>4035</v>
          </cell>
          <cell r="R66">
            <v>3586</v>
          </cell>
          <cell r="S66">
            <v>4355</v>
          </cell>
          <cell r="T66">
            <v>44.029000000000003</v>
          </cell>
        </row>
        <row r="67">
          <cell r="B67" t="str">
            <v>គ្រឿន រិត</v>
          </cell>
          <cell r="C67" t="str">
            <v>KROEUN RITH</v>
          </cell>
          <cell r="D67" t="str">
            <v>តោន (Tấn)</v>
          </cell>
          <cell r="G67" t="str">
            <v>-</v>
          </cell>
          <cell r="H67" t="str">
            <v>-</v>
          </cell>
          <cell r="I67" t="str">
            <v>-</v>
          </cell>
          <cell r="J67">
            <v>3074</v>
          </cell>
          <cell r="K67">
            <v>3587</v>
          </cell>
          <cell r="L67">
            <v>3843</v>
          </cell>
          <cell r="M67">
            <v>3330</v>
          </cell>
          <cell r="N67">
            <v>3074</v>
          </cell>
          <cell r="O67">
            <v>3330</v>
          </cell>
          <cell r="Q67">
            <v>4035</v>
          </cell>
          <cell r="R67">
            <v>3586</v>
          </cell>
          <cell r="S67">
            <v>4354</v>
          </cell>
          <cell r="T67">
            <v>32.213000000000001</v>
          </cell>
        </row>
        <row r="68">
          <cell r="B68" t="str">
            <v>រឿន រឿង</v>
          </cell>
          <cell r="C68" t="str">
            <v>ROEUN ROEUNG</v>
          </cell>
          <cell r="D68" t="str">
            <v>តោន (Tấn)</v>
          </cell>
          <cell r="G68">
            <v>4035</v>
          </cell>
          <cell r="H68">
            <v>4034</v>
          </cell>
          <cell r="I68">
            <v>3747</v>
          </cell>
          <cell r="J68">
            <v>3074</v>
          </cell>
          <cell r="K68">
            <v>3586</v>
          </cell>
          <cell r="L68">
            <v>3843</v>
          </cell>
          <cell r="M68">
            <v>3330</v>
          </cell>
          <cell r="N68">
            <v>3074</v>
          </cell>
          <cell r="O68">
            <v>3330</v>
          </cell>
          <cell r="Q68">
            <v>4035</v>
          </cell>
          <cell r="R68">
            <v>3586</v>
          </cell>
          <cell r="S68">
            <v>4355</v>
          </cell>
          <cell r="T68">
            <v>44.029000000000003</v>
          </cell>
        </row>
        <row r="69">
          <cell r="B69" t="str">
            <v>អ៊ឹម ថាច</v>
          </cell>
          <cell r="C69" t="str">
            <v>OEM THACH</v>
          </cell>
          <cell r="D69" t="str">
            <v>តោន (Tấn)</v>
          </cell>
          <cell r="G69">
            <v>4035</v>
          </cell>
          <cell r="H69">
            <v>4034</v>
          </cell>
          <cell r="I69">
            <v>3747</v>
          </cell>
          <cell r="J69">
            <v>3074</v>
          </cell>
          <cell r="K69">
            <v>3586</v>
          </cell>
          <cell r="L69">
            <v>3842</v>
          </cell>
          <cell r="M69">
            <v>3331</v>
          </cell>
          <cell r="N69">
            <v>3074</v>
          </cell>
          <cell r="O69">
            <v>3330</v>
          </cell>
          <cell r="Q69">
            <v>4034</v>
          </cell>
          <cell r="R69">
            <v>3587</v>
          </cell>
          <cell r="S69">
            <v>4355</v>
          </cell>
          <cell r="T69">
            <v>44.029000000000003</v>
          </cell>
        </row>
        <row r="70">
          <cell r="B70" t="str">
            <v>សន ចាន់រី</v>
          </cell>
          <cell r="C70" t="str">
            <v>SORN CHANRY</v>
          </cell>
          <cell r="D70" t="str">
            <v>តោន (Tấn)</v>
          </cell>
          <cell r="G70">
            <v>4034</v>
          </cell>
          <cell r="H70">
            <v>4035</v>
          </cell>
          <cell r="I70">
            <v>3747</v>
          </cell>
          <cell r="J70">
            <v>3074</v>
          </cell>
          <cell r="K70">
            <v>3586</v>
          </cell>
          <cell r="L70">
            <v>3842</v>
          </cell>
          <cell r="M70">
            <v>3331</v>
          </cell>
          <cell r="N70">
            <v>3074</v>
          </cell>
          <cell r="O70">
            <v>3330</v>
          </cell>
          <cell r="Q70" t="str">
            <v>-</v>
          </cell>
          <cell r="R70">
            <v>3587</v>
          </cell>
          <cell r="S70">
            <v>4354</v>
          </cell>
          <cell r="T70">
            <v>39.994</v>
          </cell>
        </row>
        <row r="71">
          <cell r="B71" t="str">
            <v>សន ហ៊ុច</v>
          </cell>
          <cell r="C71" t="str">
            <v>SORN HUCH</v>
          </cell>
          <cell r="D71" t="str">
            <v>តោន (Tấn)</v>
          </cell>
          <cell r="G71">
            <v>4034</v>
          </cell>
          <cell r="H71">
            <v>4035</v>
          </cell>
          <cell r="I71">
            <v>3746</v>
          </cell>
          <cell r="J71">
            <v>3074</v>
          </cell>
          <cell r="K71">
            <v>3587</v>
          </cell>
          <cell r="L71">
            <v>3842</v>
          </cell>
          <cell r="M71">
            <v>3330</v>
          </cell>
          <cell r="N71">
            <v>3074</v>
          </cell>
          <cell r="O71">
            <v>3331</v>
          </cell>
          <cell r="Q71">
            <v>4034</v>
          </cell>
          <cell r="R71">
            <v>3587</v>
          </cell>
          <cell r="S71">
            <v>4355</v>
          </cell>
          <cell r="T71">
            <v>44.029000000000003</v>
          </cell>
        </row>
        <row r="72">
          <cell r="B72" t="str">
            <v>សន ឆៃលី</v>
          </cell>
          <cell r="C72" t="str">
            <v>SORN CHHAILY</v>
          </cell>
          <cell r="D72" t="str">
            <v>តោន (Tấn)</v>
          </cell>
          <cell r="G72">
            <v>4034</v>
          </cell>
          <cell r="H72">
            <v>4035</v>
          </cell>
          <cell r="I72">
            <v>3746</v>
          </cell>
          <cell r="J72">
            <v>3074</v>
          </cell>
          <cell r="K72">
            <v>3587</v>
          </cell>
          <cell r="L72">
            <v>3842</v>
          </cell>
          <cell r="M72">
            <v>3330</v>
          </cell>
          <cell r="N72">
            <v>3074</v>
          </cell>
          <cell r="O72">
            <v>3331</v>
          </cell>
          <cell r="Q72">
            <v>4034</v>
          </cell>
          <cell r="R72">
            <v>3586</v>
          </cell>
          <cell r="S72">
            <v>4356</v>
          </cell>
          <cell r="T72">
            <v>44.029000000000003</v>
          </cell>
        </row>
        <row r="100">
          <cell r="B100" t="str">
            <v>ហឿង សុជឿន</v>
          </cell>
          <cell r="C100" t="str">
            <v>HOEUNG SOCHOEUN</v>
          </cell>
          <cell r="D100" t="str">
            <v>តោន (Tấn)</v>
          </cell>
          <cell r="I100">
            <v>3255</v>
          </cell>
          <cell r="J100">
            <v>2594</v>
          </cell>
          <cell r="L100">
            <v>3074</v>
          </cell>
          <cell r="T100">
            <v>8.923</v>
          </cell>
        </row>
        <row r="101">
          <cell r="B101" t="str">
            <v>ថន សំណាង</v>
          </cell>
          <cell r="C101" t="str">
            <v>THAN SAMNANG</v>
          </cell>
          <cell r="D101" t="str">
            <v>តោន (Tấn)</v>
          </cell>
          <cell r="I101">
            <v>3255</v>
          </cell>
          <cell r="J101">
            <v>2594</v>
          </cell>
          <cell r="K101">
            <v>3623</v>
          </cell>
          <cell r="L101">
            <v>3074</v>
          </cell>
          <cell r="T101">
            <v>12.545999999999999</v>
          </cell>
        </row>
        <row r="102">
          <cell r="B102" t="str">
            <v>អែល សាន់</v>
          </cell>
          <cell r="C102" t="str">
            <v xml:space="preserve">EL SANN </v>
          </cell>
          <cell r="D102" t="str">
            <v>តោន (Tấn)</v>
          </cell>
          <cell r="I102">
            <v>3255</v>
          </cell>
          <cell r="J102">
            <v>2594</v>
          </cell>
          <cell r="K102">
            <v>3623</v>
          </cell>
          <cell r="L102">
            <v>3074</v>
          </cell>
          <cell r="T102">
            <v>12.545999999999999</v>
          </cell>
        </row>
        <row r="103">
          <cell r="B103" t="str">
            <v>អ៊ាវ ខាត់</v>
          </cell>
          <cell r="C103" t="str">
            <v>EAV KHATH</v>
          </cell>
          <cell r="D103" t="str">
            <v>តោន (Tấn)</v>
          </cell>
          <cell r="K103">
            <v>3623</v>
          </cell>
          <cell r="T103">
            <v>3.6230000000000002</v>
          </cell>
        </row>
        <row r="104">
          <cell r="B104" t="str">
            <v>ហឿន សាវុធ</v>
          </cell>
          <cell r="C104" t="str">
            <v>HOEURN SAVUTH</v>
          </cell>
          <cell r="D104" t="str">
            <v>តោន (Tấn)</v>
          </cell>
          <cell r="I104">
            <v>3255</v>
          </cell>
          <cell r="J104">
            <v>2594</v>
          </cell>
          <cell r="K104">
            <v>3623</v>
          </cell>
          <cell r="L104">
            <v>3074</v>
          </cell>
          <cell r="T104">
            <v>12.545999999999999</v>
          </cell>
        </row>
        <row r="105">
          <cell r="B105" t="str">
            <v>បាន ចន្ថា</v>
          </cell>
          <cell r="C105" t="str">
            <v>BAN CHANTHA</v>
          </cell>
          <cell r="D105" t="str">
            <v>តោន (Tấn)</v>
          </cell>
          <cell r="I105">
            <v>3255</v>
          </cell>
          <cell r="J105">
            <v>2593</v>
          </cell>
          <cell r="K105">
            <v>3623</v>
          </cell>
          <cell r="L105">
            <v>3074</v>
          </cell>
          <cell r="T105">
            <v>12.545</v>
          </cell>
        </row>
        <row r="106">
          <cell r="B106" t="str">
            <v>សាន់ យូស័រ</v>
          </cell>
          <cell r="C106" t="str">
            <v>SAN YUSOR</v>
          </cell>
          <cell r="D106" t="str">
            <v>តោន (Tấn)</v>
          </cell>
          <cell r="I106">
            <v>3255</v>
          </cell>
          <cell r="J106">
            <v>2593</v>
          </cell>
          <cell r="K106">
            <v>3623</v>
          </cell>
          <cell r="L106">
            <v>3074</v>
          </cell>
          <cell r="T106">
            <v>12.545</v>
          </cell>
        </row>
        <row r="107">
          <cell r="B107" t="str">
            <v>វុន វណ្ណា</v>
          </cell>
          <cell r="C107" t="str">
            <v>VUN VANNA</v>
          </cell>
          <cell r="D107" t="str">
            <v>តោន (Tấn)</v>
          </cell>
          <cell r="I107">
            <v>3255</v>
          </cell>
          <cell r="L107">
            <v>3074</v>
          </cell>
          <cell r="T107">
            <v>6.3289999999999997</v>
          </cell>
        </row>
        <row r="108">
          <cell r="B108" t="str">
            <v>ម៉ុន ម៉ោល</v>
          </cell>
          <cell r="C108" t="str">
            <v>MON MORL</v>
          </cell>
          <cell r="D108" t="str">
            <v>តោន (Tấn)</v>
          </cell>
          <cell r="I108">
            <v>3254</v>
          </cell>
          <cell r="J108">
            <v>2594</v>
          </cell>
          <cell r="K108">
            <v>3622</v>
          </cell>
          <cell r="L108">
            <v>3074</v>
          </cell>
          <cell r="T108">
            <v>12.544</v>
          </cell>
        </row>
        <row r="109">
          <cell r="B109" t="str">
            <v>កែវ ប្រុសសុទ្ធ</v>
          </cell>
          <cell r="C109" t="str">
            <v>KEO BROSSOTH</v>
          </cell>
          <cell r="D109" t="str">
            <v>តោន (Tấn)</v>
          </cell>
          <cell r="I109">
            <v>1627</v>
          </cell>
          <cell r="T109">
            <v>1.627</v>
          </cell>
        </row>
        <row r="110">
          <cell r="B110" t="str">
            <v>ម៉ុក សុធា</v>
          </cell>
          <cell r="C110" t="str">
            <v>MOK SOTHEA</v>
          </cell>
          <cell r="D110" t="str">
            <v>តោន (Tấn)</v>
          </cell>
          <cell r="J110">
            <v>2594</v>
          </cell>
          <cell r="L110">
            <v>3074</v>
          </cell>
          <cell r="T110">
            <v>5.6680000000000001</v>
          </cell>
        </row>
        <row r="136">
          <cell r="B136" t="str">
            <v>ហ៊ីម មករា</v>
          </cell>
          <cell r="C136" t="str">
            <v>HIM MAKRA</v>
          </cell>
          <cell r="D136" t="str">
            <v>តោន (Tấn)</v>
          </cell>
          <cell r="J136">
            <v>3074</v>
          </cell>
          <cell r="K136">
            <v>3747</v>
          </cell>
          <cell r="L136">
            <v>4034</v>
          </cell>
          <cell r="T136">
            <v>10.855</v>
          </cell>
        </row>
        <row r="137">
          <cell r="B137" t="str">
            <v xml:space="preserve">គួន ធី </v>
          </cell>
          <cell r="C137" t="str">
            <v xml:space="preserve">KOURN THY </v>
          </cell>
          <cell r="D137" t="str">
            <v>តោន (Tấn)</v>
          </cell>
          <cell r="J137">
            <v>3074</v>
          </cell>
          <cell r="T137">
            <v>3.0739999999999998</v>
          </cell>
        </row>
        <row r="138">
          <cell r="B138" t="str">
            <v>ម៉ៅ សុខនី</v>
          </cell>
          <cell r="C138" t="str">
            <v>MAO SOKNY</v>
          </cell>
          <cell r="D138" t="str">
            <v>តោន (Tấn)</v>
          </cell>
          <cell r="J138">
            <v>3074</v>
          </cell>
          <cell r="K138">
            <v>3747</v>
          </cell>
          <cell r="T138">
            <v>6.8209999999999997</v>
          </cell>
        </row>
        <row r="139">
          <cell r="B139" t="str">
            <v>ម៉ឹង គា</v>
          </cell>
          <cell r="C139" t="str">
            <v xml:space="preserve">MOENG KEA </v>
          </cell>
          <cell r="D139" t="str">
            <v>តោន (Tấn)</v>
          </cell>
          <cell r="J139">
            <v>3074</v>
          </cell>
          <cell r="K139">
            <v>3747</v>
          </cell>
          <cell r="L139">
            <v>4034</v>
          </cell>
          <cell r="T139">
            <v>10.855</v>
          </cell>
        </row>
        <row r="140">
          <cell r="B140" t="str">
            <v>ម៉ៅ សុខម៉េង</v>
          </cell>
          <cell r="C140" t="str">
            <v>MAO SOKMENG</v>
          </cell>
          <cell r="D140" t="str">
            <v>តោន (Tấn)</v>
          </cell>
          <cell r="J140">
            <v>3074</v>
          </cell>
          <cell r="K140">
            <v>3747</v>
          </cell>
          <cell r="T140">
            <v>6.8209999999999997</v>
          </cell>
        </row>
        <row r="141">
          <cell r="B141" t="str">
            <v>គា​ ទីណូ</v>
          </cell>
          <cell r="C141" t="str">
            <v>KHEA TINO</v>
          </cell>
          <cell r="D141" t="str">
            <v>តោន (Tấn)</v>
          </cell>
          <cell r="J141">
            <v>3074</v>
          </cell>
          <cell r="K141">
            <v>3746</v>
          </cell>
          <cell r="L141">
            <v>4035</v>
          </cell>
          <cell r="T141">
            <v>10.855</v>
          </cell>
        </row>
        <row r="142">
          <cell r="B142" t="str">
            <v>ធួន ធីម</v>
          </cell>
          <cell r="C142" t="str">
            <v>THUN THIM</v>
          </cell>
          <cell r="D142" t="str">
            <v>តោន (Tấn)</v>
          </cell>
          <cell r="L142">
            <v>4035</v>
          </cell>
          <cell r="T142">
            <v>4.0350000000000001</v>
          </cell>
        </row>
        <row r="143">
          <cell r="B143" t="str">
            <v>សេន សីហា</v>
          </cell>
          <cell r="C143" t="str">
            <v>SEN SEYHA</v>
          </cell>
          <cell r="D143" t="str">
            <v>តោន (Tấn)</v>
          </cell>
          <cell r="L143">
            <v>4035</v>
          </cell>
          <cell r="T143">
            <v>4.0350000000000001</v>
          </cell>
        </row>
        <row r="144">
          <cell r="B144" t="str">
            <v>មេង បូរី</v>
          </cell>
          <cell r="C144" t="str">
            <v>MENG BOREY</v>
          </cell>
          <cell r="D144" t="str">
            <v>តោន (Tấn)</v>
          </cell>
          <cell r="L144">
            <v>4035</v>
          </cell>
          <cell r="T144">
            <v>4.0350000000000001</v>
          </cell>
        </row>
        <row r="145">
          <cell r="B145" t="str">
            <v>មាស សៀក</v>
          </cell>
          <cell r="C145" t="str">
            <v>MEAS SEAK</v>
          </cell>
          <cell r="D145" t="str">
            <v>តោន (Tấn)</v>
          </cell>
          <cell r="J145">
            <v>3074</v>
          </cell>
          <cell r="K145">
            <v>3746</v>
          </cell>
          <cell r="T145">
            <v>6.82</v>
          </cell>
        </row>
        <row r="146">
          <cell r="B146" t="str">
            <v>ទៀង ចាន់ថា</v>
          </cell>
          <cell r="C146" t="str">
            <v>TIENG CHANTHA</v>
          </cell>
          <cell r="D146" t="str">
            <v>តោន (Tấn)</v>
          </cell>
          <cell r="J146">
            <v>3074</v>
          </cell>
          <cell r="K146">
            <v>3746</v>
          </cell>
          <cell r="T146">
            <v>6.82</v>
          </cell>
        </row>
        <row r="147">
          <cell r="B147" t="str">
            <v xml:space="preserve">កិក រក្សា </v>
          </cell>
          <cell r="C147" t="str">
            <v>KEK REAKSA</v>
          </cell>
          <cell r="D147" t="str">
            <v>តោន (Tấn)</v>
          </cell>
          <cell r="J147">
            <v>3074</v>
          </cell>
          <cell r="K147">
            <v>3746</v>
          </cell>
          <cell r="L147">
            <v>4035</v>
          </cell>
          <cell r="T147">
            <v>10.855</v>
          </cell>
        </row>
        <row r="148">
          <cell r="B148" t="str">
            <v>មាស ស៊ីន​</v>
          </cell>
          <cell r="C148" t="str">
            <v>MEAS SIN</v>
          </cell>
          <cell r="D148" t="str">
            <v>តោន (Tấn)</v>
          </cell>
          <cell r="L148">
            <v>4034</v>
          </cell>
          <cell r="T148">
            <v>4.0339999999999998</v>
          </cell>
        </row>
        <row r="179">
          <cell r="B179" t="str">
            <v>ហឿង សុជឿន</v>
          </cell>
          <cell r="C179" t="str">
            <v>HOEUNG SOCHOEUN</v>
          </cell>
          <cell r="D179" t="str">
            <v>តោន (Tấn)</v>
          </cell>
          <cell r="M179">
            <v>1373</v>
          </cell>
          <cell r="N179">
            <v>1940</v>
          </cell>
          <cell r="O179">
            <v>1720</v>
          </cell>
          <cell r="P179">
            <v>1705</v>
          </cell>
          <cell r="Q179">
            <v>1625</v>
          </cell>
          <cell r="R179">
            <v>1599</v>
          </cell>
          <cell r="S179">
            <v>1991</v>
          </cell>
          <cell r="T179">
            <v>11.952999999999999</v>
          </cell>
        </row>
        <row r="180">
          <cell r="B180" t="str">
            <v>ថន សំណាង</v>
          </cell>
          <cell r="C180" t="str">
            <v>THAN SAMNANG</v>
          </cell>
          <cell r="D180" t="str">
            <v>តោន (Tấn)</v>
          </cell>
          <cell r="M180">
            <v>1373</v>
          </cell>
          <cell r="N180">
            <v>1940</v>
          </cell>
          <cell r="O180">
            <v>1720</v>
          </cell>
          <cell r="P180">
            <v>1705</v>
          </cell>
          <cell r="Q180">
            <v>1625</v>
          </cell>
          <cell r="R180" t="str">
            <v>-</v>
          </cell>
          <cell r="S180">
            <v>1991</v>
          </cell>
          <cell r="T180">
            <v>10.353999999999999</v>
          </cell>
        </row>
        <row r="181">
          <cell r="B181" t="str">
            <v>ថូរ សុភ័ណ្ឌ</v>
          </cell>
          <cell r="C181" t="str">
            <v>THO SOPHORN</v>
          </cell>
          <cell r="D181" t="str">
            <v>តោន (Tấn)</v>
          </cell>
          <cell r="M181">
            <v>1373</v>
          </cell>
          <cell r="N181">
            <v>1940</v>
          </cell>
          <cell r="O181">
            <v>1720</v>
          </cell>
          <cell r="P181">
            <v>1704</v>
          </cell>
          <cell r="Q181">
            <v>1625</v>
          </cell>
          <cell r="R181">
            <v>1600</v>
          </cell>
          <cell r="S181">
            <v>1991</v>
          </cell>
          <cell r="T181">
            <v>11.952999999999999</v>
          </cell>
        </row>
        <row r="182">
          <cell r="B182" t="str">
            <v>ធៀម សំនាង</v>
          </cell>
          <cell r="C182" t="str">
            <v>THEAM SAMNEANG</v>
          </cell>
          <cell r="D182" t="str">
            <v>តោន (Tấn)</v>
          </cell>
          <cell r="M182">
            <v>1373</v>
          </cell>
          <cell r="N182">
            <v>1940</v>
          </cell>
          <cell r="O182">
            <v>1720</v>
          </cell>
          <cell r="P182">
            <v>1704</v>
          </cell>
          <cell r="Q182">
            <v>1625</v>
          </cell>
          <cell r="R182">
            <v>1600</v>
          </cell>
          <cell r="S182" t="str">
            <v>-</v>
          </cell>
          <cell r="T182">
            <v>9.9619999999999997</v>
          </cell>
        </row>
        <row r="183">
          <cell r="B183" t="str">
            <v>អែល សាន់</v>
          </cell>
          <cell r="C183" t="str">
            <v xml:space="preserve">EL SANN </v>
          </cell>
          <cell r="D183" t="str">
            <v>តោន (Tấn)</v>
          </cell>
          <cell r="M183">
            <v>1373</v>
          </cell>
          <cell r="N183">
            <v>1940</v>
          </cell>
          <cell r="O183">
            <v>1720</v>
          </cell>
          <cell r="P183">
            <v>1704</v>
          </cell>
          <cell r="Q183">
            <v>1625</v>
          </cell>
          <cell r="R183">
            <v>1600</v>
          </cell>
          <cell r="S183">
            <v>1991</v>
          </cell>
          <cell r="T183">
            <v>11.952999999999999</v>
          </cell>
        </row>
        <row r="184">
          <cell r="B184" t="str">
            <v>អ៊ាវ ខាត់</v>
          </cell>
          <cell r="C184" t="str">
            <v>EAV KHATH</v>
          </cell>
          <cell r="D184" t="str">
            <v>តោន (Tấn)</v>
          </cell>
          <cell r="M184">
            <v>1373</v>
          </cell>
          <cell r="N184">
            <v>1940</v>
          </cell>
          <cell r="O184">
            <v>1720</v>
          </cell>
          <cell r="P184">
            <v>1704</v>
          </cell>
          <cell r="Q184">
            <v>1625</v>
          </cell>
          <cell r="R184">
            <v>1600</v>
          </cell>
          <cell r="S184">
            <v>1991</v>
          </cell>
          <cell r="T184">
            <v>11.952999999999999</v>
          </cell>
        </row>
        <row r="185">
          <cell r="B185" t="str">
            <v>ភី ផូ</v>
          </cell>
          <cell r="C185" t="str">
            <v>PHI PHO</v>
          </cell>
          <cell r="D185" t="str">
            <v>តោន (Tấn)</v>
          </cell>
          <cell r="M185">
            <v>1373</v>
          </cell>
          <cell r="N185">
            <v>1940</v>
          </cell>
          <cell r="O185">
            <v>1720</v>
          </cell>
          <cell r="P185">
            <v>1704</v>
          </cell>
          <cell r="Q185">
            <v>1625</v>
          </cell>
          <cell r="R185">
            <v>1600</v>
          </cell>
          <cell r="S185">
            <v>1991</v>
          </cell>
          <cell r="T185">
            <v>11.952999999999999</v>
          </cell>
        </row>
        <row r="186">
          <cell r="B186" t="str">
            <v>វុន វណ្ណនី</v>
          </cell>
          <cell r="C186" t="str">
            <v>VON VANNY</v>
          </cell>
          <cell r="D186" t="str">
            <v>តោន (Tấn)</v>
          </cell>
          <cell r="M186">
            <v>1372</v>
          </cell>
          <cell r="N186">
            <v>970</v>
          </cell>
          <cell r="O186">
            <v>1721</v>
          </cell>
          <cell r="P186">
            <v>1704</v>
          </cell>
          <cell r="Q186">
            <v>1625</v>
          </cell>
          <cell r="R186">
            <v>1600</v>
          </cell>
          <cell r="S186" t="str">
            <v>-</v>
          </cell>
          <cell r="T186">
            <v>8.9920000000000009</v>
          </cell>
        </row>
        <row r="187">
          <cell r="B187" t="str">
            <v>លឿន ឆាលី</v>
          </cell>
          <cell r="C187" t="str">
            <v>LOEUN CHALY</v>
          </cell>
          <cell r="D187" t="str">
            <v>តោន (Tấn)</v>
          </cell>
          <cell r="M187">
            <v>1372</v>
          </cell>
          <cell r="N187">
            <v>1940</v>
          </cell>
          <cell r="O187">
            <v>1721</v>
          </cell>
          <cell r="P187">
            <v>1704</v>
          </cell>
          <cell r="Q187">
            <v>1625</v>
          </cell>
          <cell r="R187" t="str">
            <v>-</v>
          </cell>
          <cell r="S187">
            <v>1991</v>
          </cell>
          <cell r="T187">
            <v>10.353</v>
          </cell>
        </row>
        <row r="188">
          <cell r="B188" t="str">
            <v>ហឿន សាវុធ</v>
          </cell>
          <cell r="C188" t="str">
            <v>HOEURN SAVUTH</v>
          </cell>
          <cell r="D188" t="str">
            <v>តោន (Tấn)</v>
          </cell>
          <cell r="M188" t="str">
            <v>-</v>
          </cell>
          <cell r="N188">
            <v>1940</v>
          </cell>
          <cell r="O188">
            <v>1721</v>
          </cell>
          <cell r="P188">
            <v>1704</v>
          </cell>
          <cell r="Q188">
            <v>1625</v>
          </cell>
          <cell r="R188">
            <v>1600</v>
          </cell>
          <cell r="S188">
            <v>1991</v>
          </cell>
          <cell r="T188">
            <v>10.581</v>
          </cell>
        </row>
        <row r="189">
          <cell r="B189" t="str">
            <v>រឿន សារី</v>
          </cell>
          <cell r="C189" t="str">
            <v>ROEUN SARY</v>
          </cell>
          <cell r="D189" t="str">
            <v>តោន (Tấn)</v>
          </cell>
          <cell r="M189" t="str">
            <v>-</v>
          </cell>
          <cell r="N189" t="str">
            <v>-</v>
          </cell>
          <cell r="O189">
            <v>1721</v>
          </cell>
          <cell r="P189">
            <v>1704</v>
          </cell>
          <cell r="Q189">
            <v>1625</v>
          </cell>
          <cell r="R189">
            <v>1600</v>
          </cell>
          <cell r="S189" t="str">
            <v>-</v>
          </cell>
          <cell r="T189">
            <v>6.65</v>
          </cell>
        </row>
        <row r="190">
          <cell r="B190" t="str">
            <v>ហ៊ុច សំណាង</v>
          </cell>
          <cell r="C190" t="str">
            <v>HOCH SOMNANG</v>
          </cell>
          <cell r="D190" t="str">
            <v>តោន (Tấn)</v>
          </cell>
          <cell r="M190">
            <v>1372</v>
          </cell>
          <cell r="N190">
            <v>1940</v>
          </cell>
          <cell r="O190">
            <v>1721</v>
          </cell>
          <cell r="P190">
            <v>1704</v>
          </cell>
          <cell r="Q190">
            <v>1625</v>
          </cell>
          <cell r="R190">
            <v>1600</v>
          </cell>
          <cell r="S190">
            <v>1991</v>
          </cell>
          <cell r="T190">
            <v>11.952999999999999</v>
          </cell>
        </row>
        <row r="191">
          <cell r="B191" t="str">
            <v>បាន ចន្ថា</v>
          </cell>
          <cell r="C191" t="str">
            <v>BAN CHANTHA</v>
          </cell>
          <cell r="D191" t="str">
            <v>តោន (Tấn)</v>
          </cell>
          <cell r="M191">
            <v>1372</v>
          </cell>
          <cell r="N191" t="str">
            <v>-</v>
          </cell>
          <cell r="O191">
            <v>1720</v>
          </cell>
          <cell r="P191">
            <v>1705</v>
          </cell>
          <cell r="Q191">
            <v>1625</v>
          </cell>
          <cell r="R191">
            <v>1600</v>
          </cell>
          <cell r="S191">
            <v>1991</v>
          </cell>
          <cell r="T191">
            <v>10.013</v>
          </cell>
        </row>
        <row r="192">
          <cell r="B192" t="str">
            <v>សាន់ យូស័រ</v>
          </cell>
          <cell r="C192" t="str">
            <v>SAN YUSOR</v>
          </cell>
          <cell r="D192" t="str">
            <v>តោន (Tấn)</v>
          </cell>
          <cell r="M192">
            <v>1372</v>
          </cell>
          <cell r="N192" t="str">
            <v>-</v>
          </cell>
          <cell r="O192">
            <v>1720</v>
          </cell>
          <cell r="P192">
            <v>1705</v>
          </cell>
          <cell r="Q192" t="str">
            <v>-</v>
          </cell>
          <cell r="R192">
            <v>1599</v>
          </cell>
          <cell r="S192">
            <v>1992</v>
          </cell>
          <cell r="T192">
            <v>8.3879999999999999</v>
          </cell>
        </row>
        <row r="193">
          <cell r="B193" t="str">
            <v>វុន វណ្ណា</v>
          </cell>
          <cell r="C193" t="str">
            <v>VUN VANNA</v>
          </cell>
          <cell r="D193" t="str">
            <v>តោន (Tấn)</v>
          </cell>
          <cell r="M193">
            <v>1372</v>
          </cell>
          <cell r="N193">
            <v>1940</v>
          </cell>
          <cell r="O193">
            <v>1720</v>
          </cell>
          <cell r="P193">
            <v>1705</v>
          </cell>
          <cell r="Q193">
            <v>1625</v>
          </cell>
          <cell r="R193">
            <v>1599</v>
          </cell>
          <cell r="S193" t="str">
            <v>-</v>
          </cell>
          <cell r="T193">
            <v>9.9610000000000003</v>
          </cell>
        </row>
        <row r="194">
          <cell r="B194" t="str">
            <v>ជឿន នីន</v>
          </cell>
          <cell r="C194" t="str">
            <v>CHOEUN NIN</v>
          </cell>
          <cell r="D194" t="str">
            <v>តោន (Tấn)</v>
          </cell>
          <cell r="M194">
            <v>1372</v>
          </cell>
          <cell r="N194">
            <v>1940</v>
          </cell>
          <cell r="O194">
            <v>1720</v>
          </cell>
          <cell r="P194">
            <v>1705</v>
          </cell>
          <cell r="Q194">
            <v>1625</v>
          </cell>
          <cell r="R194">
            <v>1599</v>
          </cell>
          <cell r="S194">
            <v>1991</v>
          </cell>
          <cell r="T194">
            <v>11.952</v>
          </cell>
        </row>
        <row r="195">
          <cell r="B195" t="str">
            <v xml:space="preserve">ហឿង ហេង </v>
          </cell>
          <cell r="C195" t="str">
            <v>HOEUNG HENG</v>
          </cell>
          <cell r="D195" t="str">
            <v>តោន (Tấn)</v>
          </cell>
          <cell r="M195">
            <v>1372</v>
          </cell>
          <cell r="N195">
            <v>1940</v>
          </cell>
          <cell r="O195">
            <v>1720</v>
          </cell>
          <cell r="P195">
            <v>1705</v>
          </cell>
          <cell r="Q195">
            <v>1625</v>
          </cell>
          <cell r="R195">
            <v>1599</v>
          </cell>
          <cell r="S195">
            <v>1991</v>
          </cell>
          <cell r="T195">
            <v>11.952</v>
          </cell>
        </row>
        <row r="196">
          <cell r="B196" t="str">
            <v xml:space="preserve">គង់ ចាន់ទ្រឿន </v>
          </cell>
          <cell r="C196" t="str">
            <v>KONG CHANTROEUN</v>
          </cell>
          <cell r="D196" t="str">
            <v>តោន (Tấn)</v>
          </cell>
          <cell r="M196">
            <v>1372</v>
          </cell>
          <cell r="N196">
            <v>1940</v>
          </cell>
          <cell r="O196">
            <v>1720</v>
          </cell>
          <cell r="P196">
            <v>1705</v>
          </cell>
          <cell r="Q196">
            <v>1625</v>
          </cell>
          <cell r="R196">
            <v>1599</v>
          </cell>
          <cell r="S196">
            <v>1991</v>
          </cell>
          <cell r="T196">
            <v>11.952</v>
          </cell>
        </row>
        <row r="197">
          <cell r="B197" t="str">
            <v>ទៀង ឡៃស៊ីម</v>
          </cell>
          <cell r="C197" t="str">
            <v>TIENG LAISIM</v>
          </cell>
          <cell r="D197" t="str">
            <v>តោន (Tấn)</v>
          </cell>
          <cell r="M197">
            <v>1372</v>
          </cell>
          <cell r="N197">
            <v>1940</v>
          </cell>
          <cell r="O197">
            <v>1720</v>
          </cell>
          <cell r="P197">
            <v>1705</v>
          </cell>
          <cell r="Q197">
            <v>1625</v>
          </cell>
          <cell r="R197">
            <v>1599</v>
          </cell>
          <cell r="S197">
            <v>1991</v>
          </cell>
          <cell r="T197">
            <v>11.952</v>
          </cell>
        </row>
        <row r="198">
          <cell r="B198" t="str">
            <v>ម៉ុន ម៉ោល</v>
          </cell>
          <cell r="C198" t="str">
            <v>MON MORL</v>
          </cell>
          <cell r="D198" t="str">
            <v>តោន (Tấn)</v>
          </cell>
          <cell r="M198" t="str">
            <v>-</v>
          </cell>
          <cell r="N198" t="str">
            <v>-</v>
          </cell>
          <cell r="O198" t="str">
            <v>-</v>
          </cell>
          <cell r="P198" t="str">
            <v>-</v>
          </cell>
          <cell r="Q198">
            <v>1625</v>
          </cell>
          <cell r="R198">
            <v>1599</v>
          </cell>
          <cell r="S198">
            <v>1992</v>
          </cell>
          <cell r="T198">
            <v>5.2160000000000002</v>
          </cell>
        </row>
        <row r="199">
          <cell r="B199" t="str">
            <v>កែវ ប្រុសសុទ្ធ</v>
          </cell>
          <cell r="C199" t="str">
            <v>KEO BROSSOTH</v>
          </cell>
          <cell r="D199" t="str">
            <v>តោន (Tấn)</v>
          </cell>
          <cell r="M199">
            <v>1372</v>
          </cell>
          <cell r="N199">
            <v>1940</v>
          </cell>
          <cell r="O199" t="str">
            <v>-</v>
          </cell>
          <cell r="P199" t="str">
            <v>-</v>
          </cell>
          <cell r="Q199">
            <v>1625</v>
          </cell>
          <cell r="R199">
            <v>1599</v>
          </cell>
          <cell r="S199">
            <v>1991</v>
          </cell>
          <cell r="T199">
            <v>8.5269999999999992</v>
          </cell>
        </row>
        <row r="200">
          <cell r="B200" t="str">
            <v>ម៉ុក សុធា</v>
          </cell>
          <cell r="C200" t="str">
            <v>MOK SOTHEA</v>
          </cell>
          <cell r="D200" t="str">
            <v>តោន (Tấn)</v>
          </cell>
          <cell r="M200">
            <v>1372</v>
          </cell>
          <cell r="N200">
            <v>1940</v>
          </cell>
          <cell r="O200">
            <v>1720</v>
          </cell>
          <cell r="P200">
            <v>1705</v>
          </cell>
          <cell r="Q200">
            <v>1625</v>
          </cell>
          <cell r="R200">
            <v>1599</v>
          </cell>
          <cell r="S200">
            <v>1991</v>
          </cell>
          <cell r="T200">
            <v>11.952</v>
          </cell>
        </row>
        <row r="222">
          <cell r="B222" t="str">
            <v>ហ៊ីម មករា</v>
          </cell>
          <cell r="C222" t="str">
            <v>HIM MAKRA</v>
          </cell>
          <cell r="D222" t="str">
            <v>តោន (Tấn)</v>
          </cell>
          <cell r="N222">
            <v>1760</v>
          </cell>
          <cell r="O222">
            <v>1890</v>
          </cell>
          <cell r="P222">
            <v>1706</v>
          </cell>
          <cell r="Q222">
            <v>1734</v>
          </cell>
          <cell r="R222">
            <v>1796</v>
          </cell>
          <cell r="S222">
            <v>1871</v>
          </cell>
          <cell r="T222">
            <v>10.757</v>
          </cell>
        </row>
        <row r="223">
          <cell r="B223" t="str">
            <v>ហុក តុងសេង</v>
          </cell>
          <cell r="C223" t="str">
            <v>HUK TUNGSENG</v>
          </cell>
          <cell r="D223" t="str">
            <v>តោន (Tấn)</v>
          </cell>
          <cell r="N223">
            <v>1760</v>
          </cell>
          <cell r="O223">
            <v>1890</v>
          </cell>
          <cell r="P223">
            <v>1706</v>
          </cell>
          <cell r="Q223">
            <v>1734</v>
          </cell>
          <cell r="R223">
            <v>1796</v>
          </cell>
          <cell r="S223">
            <v>1871</v>
          </cell>
          <cell r="T223">
            <v>10.757</v>
          </cell>
        </row>
        <row r="224">
          <cell r="B224" t="str">
            <v xml:space="preserve">គួន ធី </v>
          </cell>
          <cell r="C224" t="str">
            <v xml:space="preserve">KOURN THY </v>
          </cell>
          <cell r="D224" t="str">
            <v>តោន (Tấn)</v>
          </cell>
          <cell r="N224">
            <v>1760</v>
          </cell>
          <cell r="O224">
            <v>1890</v>
          </cell>
          <cell r="P224">
            <v>1706</v>
          </cell>
          <cell r="Q224">
            <v>1734</v>
          </cell>
          <cell r="R224">
            <v>1796</v>
          </cell>
          <cell r="S224">
            <v>1871</v>
          </cell>
          <cell r="T224">
            <v>10.757</v>
          </cell>
        </row>
        <row r="225">
          <cell r="B225" t="str">
            <v xml:space="preserve">អៀង អ៊ា </v>
          </cell>
          <cell r="C225" t="str">
            <v xml:space="preserve">EANG EAR </v>
          </cell>
          <cell r="D225" t="str">
            <v>តោន (Tấn)</v>
          </cell>
          <cell r="N225">
            <v>1760</v>
          </cell>
          <cell r="O225" t="str">
            <v>-</v>
          </cell>
          <cell r="P225">
            <v>1706</v>
          </cell>
          <cell r="Q225">
            <v>1734</v>
          </cell>
          <cell r="R225">
            <v>1796</v>
          </cell>
          <cell r="S225">
            <v>1871</v>
          </cell>
          <cell r="T225">
            <v>8.8670000000000009</v>
          </cell>
        </row>
        <row r="226">
          <cell r="B226" t="str">
            <v>ម៉ៅ សុខនី</v>
          </cell>
          <cell r="C226" t="str">
            <v>MAO SOKNY</v>
          </cell>
          <cell r="D226" t="str">
            <v>តោន (Tấn)</v>
          </cell>
          <cell r="N226">
            <v>1759</v>
          </cell>
          <cell r="O226">
            <v>1890</v>
          </cell>
          <cell r="P226">
            <v>1707</v>
          </cell>
          <cell r="Q226">
            <v>1734</v>
          </cell>
          <cell r="R226">
            <v>1796</v>
          </cell>
          <cell r="S226">
            <v>1871</v>
          </cell>
          <cell r="T226">
            <v>10.757</v>
          </cell>
        </row>
        <row r="227">
          <cell r="B227" t="str">
            <v>ម៉ឹង គា</v>
          </cell>
          <cell r="C227" t="str">
            <v xml:space="preserve">MOENG KEA </v>
          </cell>
          <cell r="D227" t="str">
            <v>តោន (Tấn)</v>
          </cell>
          <cell r="N227">
            <v>1759</v>
          </cell>
          <cell r="O227">
            <v>1890</v>
          </cell>
          <cell r="P227">
            <v>1707</v>
          </cell>
          <cell r="Q227">
            <v>1734</v>
          </cell>
          <cell r="R227">
            <v>1796</v>
          </cell>
          <cell r="S227">
            <v>1871</v>
          </cell>
          <cell r="T227">
            <v>10.757</v>
          </cell>
        </row>
        <row r="228">
          <cell r="B228" t="str">
            <v>ម៉ៅ សុខម៉េង</v>
          </cell>
          <cell r="C228" t="str">
            <v>MAO SOKMENG</v>
          </cell>
          <cell r="D228" t="str">
            <v>តោន (Tấn)</v>
          </cell>
          <cell r="N228">
            <v>1759</v>
          </cell>
          <cell r="O228">
            <v>1890</v>
          </cell>
          <cell r="P228">
            <v>1707</v>
          </cell>
          <cell r="Q228">
            <v>1734</v>
          </cell>
          <cell r="R228">
            <v>1796</v>
          </cell>
          <cell r="S228">
            <v>1871</v>
          </cell>
          <cell r="T228">
            <v>10.757</v>
          </cell>
        </row>
        <row r="229">
          <cell r="B229" t="str">
            <v>គា​ ទីណូ</v>
          </cell>
          <cell r="C229" t="str">
            <v>KHEA TINO</v>
          </cell>
          <cell r="D229" t="str">
            <v>តោន (Tấn)</v>
          </cell>
          <cell r="N229">
            <v>1759</v>
          </cell>
          <cell r="O229">
            <v>1890</v>
          </cell>
          <cell r="P229">
            <v>1707</v>
          </cell>
          <cell r="Q229">
            <v>1734</v>
          </cell>
          <cell r="R229">
            <v>1796</v>
          </cell>
          <cell r="S229">
            <v>1870</v>
          </cell>
          <cell r="T229">
            <v>10.756</v>
          </cell>
        </row>
        <row r="230">
          <cell r="B230" t="str">
            <v>ធួន ធីម</v>
          </cell>
          <cell r="C230" t="str">
            <v>THUN THIM</v>
          </cell>
          <cell r="D230" t="str">
            <v>តោន (Tấn)</v>
          </cell>
          <cell r="N230">
            <v>1759</v>
          </cell>
          <cell r="O230">
            <v>1890</v>
          </cell>
          <cell r="P230">
            <v>1707</v>
          </cell>
          <cell r="Q230">
            <v>1734</v>
          </cell>
          <cell r="R230">
            <v>1796</v>
          </cell>
          <cell r="S230">
            <v>1870</v>
          </cell>
          <cell r="T230">
            <v>10.756</v>
          </cell>
        </row>
        <row r="231">
          <cell r="B231" t="str">
            <v>មាស ភា</v>
          </cell>
          <cell r="C231" t="str">
            <v>MEAS PHEA</v>
          </cell>
          <cell r="D231" t="str">
            <v>តោន (Tấn)</v>
          </cell>
          <cell r="N231">
            <v>1759</v>
          </cell>
          <cell r="O231">
            <v>1890</v>
          </cell>
          <cell r="P231">
            <v>1706</v>
          </cell>
          <cell r="Q231">
            <v>1735</v>
          </cell>
          <cell r="R231">
            <v>1796</v>
          </cell>
          <cell r="S231">
            <v>1870</v>
          </cell>
          <cell r="T231">
            <v>10.756</v>
          </cell>
        </row>
        <row r="232">
          <cell r="B232" t="str">
            <v>សេន សីហា</v>
          </cell>
          <cell r="C232" t="str">
            <v>SEN SEYHA</v>
          </cell>
          <cell r="D232" t="str">
            <v>តោន (Tấn)</v>
          </cell>
          <cell r="N232">
            <v>1759</v>
          </cell>
          <cell r="O232">
            <v>1890</v>
          </cell>
          <cell r="P232">
            <v>1706</v>
          </cell>
          <cell r="Q232">
            <v>1735</v>
          </cell>
          <cell r="R232">
            <v>1796</v>
          </cell>
          <cell r="S232">
            <v>1870</v>
          </cell>
          <cell r="T232">
            <v>10.756</v>
          </cell>
        </row>
        <row r="233">
          <cell r="B233" t="str">
            <v>មេង បូរី</v>
          </cell>
          <cell r="C233" t="str">
            <v>MENG BOREY</v>
          </cell>
          <cell r="D233" t="str">
            <v>តោន (Tấn)</v>
          </cell>
          <cell r="N233">
            <v>1759</v>
          </cell>
          <cell r="O233">
            <v>1890</v>
          </cell>
          <cell r="P233">
            <v>1706</v>
          </cell>
          <cell r="Q233">
            <v>1735</v>
          </cell>
          <cell r="R233">
            <v>1796</v>
          </cell>
          <cell r="S233">
            <v>1870</v>
          </cell>
          <cell r="T233">
            <v>10.756</v>
          </cell>
        </row>
        <row r="234">
          <cell r="B234" t="str">
            <v>មាស សៀក</v>
          </cell>
          <cell r="C234" t="str">
            <v>MEAS SEAK</v>
          </cell>
          <cell r="D234" t="str">
            <v>តោន (Tấn)</v>
          </cell>
          <cell r="N234">
            <v>1759</v>
          </cell>
          <cell r="O234">
            <v>1890</v>
          </cell>
          <cell r="P234">
            <v>1706</v>
          </cell>
          <cell r="Q234">
            <v>1735</v>
          </cell>
          <cell r="R234">
            <v>1796</v>
          </cell>
          <cell r="S234">
            <v>1870</v>
          </cell>
          <cell r="T234">
            <v>10.756</v>
          </cell>
        </row>
        <row r="235">
          <cell r="B235" t="str">
            <v>ម៉ៅ ឆូន</v>
          </cell>
          <cell r="C235" t="str">
            <v>MAO CHHAUN</v>
          </cell>
          <cell r="D235" t="str">
            <v>តោន (Tấn)</v>
          </cell>
          <cell r="N235">
            <v>1759</v>
          </cell>
          <cell r="O235">
            <v>1890</v>
          </cell>
          <cell r="P235">
            <v>1706</v>
          </cell>
          <cell r="Q235">
            <v>1735</v>
          </cell>
          <cell r="R235">
            <v>1796</v>
          </cell>
          <cell r="S235">
            <v>1870</v>
          </cell>
          <cell r="T235">
            <v>10.756</v>
          </cell>
        </row>
        <row r="236">
          <cell r="B236" t="str">
            <v>សាញ់ ខុម</v>
          </cell>
          <cell r="C236" t="str">
            <v>SANH KHOM</v>
          </cell>
          <cell r="D236" t="str">
            <v>តោន (Tấn)</v>
          </cell>
          <cell r="N236">
            <v>1759</v>
          </cell>
          <cell r="O236">
            <v>1890</v>
          </cell>
          <cell r="P236">
            <v>1706</v>
          </cell>
          <cell r="Q236">
            <v>1734</v>
          </cell>
          <cell r="R236">
            <v>1797</v>
          </cell>
          <cell r="S236">
            <v>1870</v>
          </cell>
          <cell r="T236">
            <v>10.756</v>
          </cell>
        </row>
        <row r="237">
          <cell r="B237" t="str">
            <v>ទៀង ចាន់ថា</v>
          </cell>
          <cell r="C237" t="str">
            <v>TIENG CHANTHA</v>
          </cell>
          <cell r="D237" t="str">
            <v>តោន (Tấn)</v>
          </cell>
          <cell r="N237">
            <v>1759</v>
          </cell>
          <cell r="O237">
            <v>1890</v>
          </cell>
          <cell r="P237">
            <v>1706</v>
          </cell>
          <cell r="Q237">
            <v>1734</v>
          </cell>
          <cell r="R237">
            <v>1796</v>
          </cell>
          <cell r="S237">
            <v>1871</v>
          </cell>
          <cell r="T237">
            <v>10.756</v>
          </cell>
        </row>
        <row r="238">
          <cell r="B238" t="str">
            <v xml:space="preserve">កិក រក្សា </v>
          </cell>
          <cell r="C238" t="str">
            <v>KEK REAKSA</v>
          </cell>
          <cell r="D238" t="str">
            <v>តោន (Tấn)</v>
          </cell>
          <cell r="N238">
            <v>1759</v>
          </cell>
          <cell r="O238">
            <v>1890</v>
          </cell>
          <cell r="P238">
            <v>1706</v>
          </cell>
          <cell r="Q238">
            <v>1734</v>
          </cell>
          <cell r="R238">
            <v>1796</v>
          </cell>
          <cell r="S238" t="str">
            <v>-</v>
          </cell>
          <cell r="T238">
            <v>8.8849999999999998</v>
          </cell>
        </row>
        <row r="239">
          <cell r="B239" t="str">
            <v>ផាត ចាន់លី</v>
          </cell>
          <cell r="C239" t="str">
            <v>PHAT CHANLY</v>
          </cell>
          <cell r="D239" t="str">
            <v>តោន (Tấn)</v>
          </cell>
          <cell r="N239">
            <v>1759</v>
          </cell>
          <cell r="O239">
            <v>1890</v>
          </cell>
          <cell r="P239">
            <v>1706</v>
          </cell>
          <cell r="Q239">
            <v>1734</v>
          </cell>
          <cell r="R239">
            <v>1796</v>
          </cell>
          <cell r="S239" t="str">
            <v>-</v>
          </cell>
          <cell r="T239">
            <v>8.8849999999999998</v>
          </cell>
        </row>
        <row r="240">
          <cell r="B240" t="str">
            <v>មាស ស៊ីន​</v>
          </cell>
          <cell r="C240" t="str">
            <v>MEAS SIN</v>
          </cell>
          <cell r="D240" t="str">
            <v>តោន (Tấn)</v>
          </cell>
          <cell r="N240">
            <v>1759</v>
          </cell>
          <cell r="O240" t="str">
            <v>-</v>
          </cell>
          <cell r="P240">
            <v>1706</v>
          </cell>
          <cell r="Q240">
            <v>1734</v>
          </cell>
          <cell r="R240">
            <v>1796</v>
          </cell>
          <cell r="S240">
            <v>1871</v>
          </cell>
          <cell r="T240">
            <v>8.8659999999999997</v>
          </cell>
        </row>
        <row r="241">
          <cell r="B241" t="str">
            <v>ស៊ុត លី</v>
          </cell>
          <cell r="C241" t="str">
            <v>SOTLY</v>
          </cell>
          <cell r="D241" t="str">
            <v>តោន (Tấn)</v>
          </cell>
          <cell r="O241">
            <v>1890</v>
          </cell>
          <cell r="P241">
            <v>1706</v>
          </cell>
          <cell r="Q241">
            <v>1734</v>
          </cell>
          <cell r="R241" t="str">
            <v>-</v>
          </cell>
          <cell r="S241">
            <v>1871</v>
          </cell>
          <cell r="T241">
            <v>7.2009999999999996</v>
          </cell>
        </row>
      </sheetData>
      <sheetData sheetId="5" refreshError="1"/>
      <sheetData sheetId="6" refreshError="1">
        <row r="13">
          <cell r="B13" t="str">
            <v>រិន ច្រិប</v>
          </cell>
          <cell r="C13" t="str">
            <v xml:space="preserve">RIN CHRIB   </v>
          </cell>
          <cell r="D13">
            <v>150952531</v>
          </cell>
          <cell r="E13">
            <v>31947</v>
          </cell>
          <cell r="F13">
            <v>13.11</v>
          </cell>
          <cell r="G13">
            <v>418825</v>
          </cell>
          <cell r="K13">
            <v>418825</v>
          </cell>
          <cell r="M13">
            <v>8377</v>
          </cell>
          <cell r="P13">
            <v>0</v>
          </cell>
          <cell r="Q13">
            <v>8377</v>
          </cell>
          <cell r="R13">
            <v>410448</v>
          </cell>
        </row>
        <row r="14">
          <cell r="B14" t="str">
            <v>កែវ សម្បត្តិ</v>
          </cell>
          <cell r="C14" t="str">
            <v>KEO SAMBATH</v>
          </cell>
          <cell r="D14">
            <v>110471355</v>
          </cell>
          <cell r="E14">
            <v>31947</v>
          </cell>
          <cell r="F14">
            <v>20.189999999999998</v>
          </cell>
          <cell r="G14">
            <v>645010</v>
          </cell>
          <cell r="K14">
            <v>645010</v>
          </cell>
          <cell r="M14">
            <v>12900</v>
          </cell>
          <cell r="P14">
            <v>0</v>
          </cell>
          <cell r="Q14">
            <v>12900</v>
          </cell>
          <cell r="R14">
            <v>632110</v>
          </cell>
        </row>
        <row r="15">
          <cell r="B15" t="str">
            <v xml:space="preserve">ផន ឃី </v>
          </cell>
          <cell r="C15" t="str">
            <v>PHORN KHY</v>
          </cell>
          <cell r="D15">
            <v>150981478</v>
          </cell>
          <cell r="E15">
            <v>31947</v>
          </cell>
          <cell r="F15">
            <v>12.22</v>
          </cell>
          <cell r="G15">
            <v>390392</v>
          </cell>
          <cell r="K15">
            <v>390392</v>
          </cell>
          <cell r="M15">
            <v>8000</v>
          </cell>
          <cell r="P15">
            <v>0</v>
          </cell>
          <cell r="Q15">
            <v>8000</v>
          </cell>
          <cell r="R15">
            <v>382392</v>
          </cell>
        </row>
        <row r="16">
          <cell r="B16" t="str">
            <v>ថន ម៉ន</v>
          </cell>
          <cell r="C16" t="str">
            <v>THORN MORN</v>
          </cell>
          <cell r="D16">
            <v>150644309</v>
          </cell>
          <cell r="E16">
            <v>31947</v>
          </cell>
          <cell r="F16">
            <v>25.66</v>
          </cell>
          <cell r="G16">
            <v>819760</v>
          </cell>
          <cell r="K16">
            <v>819760</v>
          </cell>
          <cell r="M16">
            <v>16395</v>
          </cell>
          <cell r="P16">
            <v>0</v>
          </cell>
          <cell r="Q16">
            <v>16395</v>
          </cell>
          <cell r="R16">
            <v>803365</v>
          </cell>
        </row>
        <row r="17">
          <cell r="B17" t="str">
            <v>សៃ រិទ្ធី</v>
          </cell>
          <cell r="C17" t="str">
            <v>SAI RITHY</v>
          </cell>
          <cell r="D17">
            <v>220195668</v>
          </cell>
          <cell r="E17">
            <v>31947</v>
          </cell>
          <cell r="F17">
            <v>16.260000000000002</v>
          </cell>
          <cell r="G17">
            <v>519458</v>
          </cell>
          <cell r="K17">
            <v>519458</v>
          </cell>
          <cell r="M17">
            <v>10389</v>
          </cell>
          <cell r="P17">
            <v>0</v>
          </cell>
          <cell r="Q17">
            <v>10389</v>
          </cell>
          <cell r="R17">
            <v>509069</v>
          </cell>
        </row>
        <row r="18">
          <cell r="B18" t="str">
            <v>សាត រិទ្ធិសាក់</v>
          </cell>
          <cell r="C18" t="str">
            <v>SAT RITHYSAK</v>
          </cell>
          <cell r="D18">
            <v>220208913</v>
          </cell>
          <cell r="E18">
            <v>31947</v>
          </cell>
          <cell r="F18">
            <v>25.56</v>
          </cell>
          <cell r="G18">
            <v>816565</v>
          </cell>
          <cell r="K18">
            <v>816565</v>
          </cell>
          <cell r="M18">
            <v>16331</v>
          </cell>
          <cell r="P18">
            <v>0</v>
          </cell>
          <cell r="Q18">
            <v>16331</v>
          </cell>
          <cell r="R18">
            <v>800234</v>
          </cell>
        </row>
        <row r="19">
          <cell r="B19" t="str">
            <v>ហឿង សុជឿន</v>
          </cell>
          <cell r="C19" t="str">
            <v>HOEUNG SOCHOEUN</v>
          </cell>
          <cell r="D19">
            <v>150911076</v>
          </cell>
          <cell r="E19">
            <v>31947</v>
          </cell>
          <cell r="F19">
            <v>22.130000000000003</v>
          </cell>
          <cell r="G19">
            <v>706987</v>
          </cell>
          <cell r="K19">
            <v>706987</v>
          </cell>
          <cell r="M19">
            <v>14140</v>
          </cell>
          <cell r="P19">
            <v>0</v>
          </cell>
          <cell r="Q19">
            <v>14140</v>
          </cell>
          <cell r="R19">
            <v>692847</v>
          </cell>
        </row>
        <row r="20">
          <cell r="B20" t="str">
            <v>ថន សំណាង</v>
          </cell>
          <cell r="C20" t="str">
            <v>THAN SAMNANG</v>
          </cell>
          <cell r="D20">
            <v>220102094</v>
          </cell>
          <cell r="E20">
            <v>31947</v>
          </cell>
          <cell r="F20">
            <v>20.369999999999997</v>
          </cell>
          <cell r="G20">
            <v>650760</v>
          </cell>
          <cell r="K20">
            <v>650760</v>
          </cell>
          <cell r="M20">
            <v>13015</v>
          </cell>
          <cell r="P20">
            <v>0</v>
          </cell>
          <cell r="Q20">
            <v>13015</v>
          </cell>
          <cell r="R20">
            <v>637745</v>
          </cell>
        </row>
        <row r="21">
          <cell r="B21" t="str">
            <v>ថូរ សុភ័ណ្ឌ</v>
          </cell>
          <cell r="C21" t="str">
            <v>THO SOPHORN</v>
          </cell>
          <cell r="D21">
            <v>210050404</v>
          </cell>
          <cell r="E21">
            <v>31947</v>
          </cell>
          <cell r="F21">
            <v>13.09</v>
          </cell>
          <cell r="G21">
            <v>418186</v>
          </cell>
          <cell r="K21">
            <v>418186</v>
          </cell>
          <cell r="M21">
            <v>8364</v>
          </cell>
          <cell r="P21">
            <v>0</v>
          </cell>
          <cell r="Q21">
            <v>8364</v>
          </cell>
          <cell r="R21">
            <v>409822</v>
          </cell>
        </row>
        <row r="22">
          <cell r="B22" t="str">
            <v>ធៀម សំនាង</v>
          </cell>
          <cell r="C22" t="str">
            <v>THEAM SAMNEANG</v>
          </cell>
          <cell r="D22">
            <v>151006137</v>
          </cell>
          <cell r="E22">
            <v>31947</v>
          </cell>
          <cell r="F22">
            <v>10.91</v>
          </cell>
          <cell r="G22">
            <v>348542</v>
          </cell>
          <cell r="K22">
            <v>348542</v>
          </cell>
          <cell r="M22">
            <v>8000</v>
          </cell>
          <cell r="P22">
            <v>0</v>
          </cell>
          <cell r="Q22">
            <v>8000</v>
          </cell>
          <cell r="R22">
            <v>340542</v>
          </cell>
        </row>
        <row r="23">
          <cell r="B23" t="str">
            <v>អែល សាន់</v>
          </cell>
          <cell r="C23" t="str">
            <v xml:space="preserve">EL SANN </v>
          </cell>
          <cell r="D23" t="str">
            <v>040322767</v>
          </cell>
          <cell r="E23">
            <v>31947</v>
          </cell>
          <cell r="F23">
            <v>22.119999999999997</v>
          </cell>
          <cell r="G23">
            <v>706668</v>
          </cell>
          <cell r="K23">
            <v>706668</v>
          </cell>
          <cell r="M23">
            <v>14133</v>
          </cell>
          <cell r="P23">
            <v>0</v>
          </cell>
          <cell r="Q23">
            <v>14133</v>
          </cell>
          <cell r="R23">
            <v>692535</v>
          </cell>
        </row>
        <row r="24">
          <cell r="B24" t="str">
            <v>អ៊ាវ ខាត់</v>
          </cell>
          <cell r="C24" t="str">
            <v>EAV KHATH</v>
          </cell>
          <cell r="D24">
            <v>150469697</v>
          </cell>
          <cell r="E24">
            <v>31947</v>
          </cell>
          <cell r="F24">
            <v>15.7</v>
          </cell>
          <cell r="G24">
            <v>501568</v>
          </cell>
          <cell r="K24">
            <v>501568</v>
          </cell>
          <cell r="M24">
            <v>10031</v>
          </cell>
          <cell r="P24">
            <v>0</v>
          </cell>
          <cell r="Q24">
            <v>10031</v>
          </cell>
          <cell r="R24">
            <v>491537</v>
          </cell>
        </row>
        <row r="25">
          <cell r="B25" t="str">
            <v>ភី ផូ</v>
          </cell>
          <cell r="C25" t="str">
            <v>PHI PHO</v>
          </cell>
          <cell r="D25">
            <v>150927708</v>
          </cell>
          <cell r="E25">
            <v>31947</v>
          </cell>
          <cell r="F25">
            <v>13.09</v>
          </cell>
          <cell r="G25">
            <v>418186</v>
          </cell>
          <cell r="K25">
            <v>418186</v>
          </cell>
          <cell r="M25">
            <v>8364</v>
          </cell>
          <cell r="P25">
            <v>0</v>
          </cell>
          <cell r="Q25">
            <v>8364</v>
          </cell>
          <cell r="R25">
            <v>409822</v>
          </cell>
        </row>
        <row r="26">
          <cell r="B26" t="str">
            <v>វុន វណ្ណនី</v>
          </cell>
          <cell r="C26" t="str">
            <v>VON VANNY</v>
          </cell>
          <cell r="D26">
            <v>151034061</v>
          </cell>
          <cell r="E26">
            <v>31947</v>
          </cell>
          <cell r="F26">
            <v>9.85</v>
          </cell>
          <cell r="G26">
            <v>314678</v>
          </cell>
          <cell r="K26">
            <v>314678</v>
          </cell>
          <cell r="M26">
            <v>8000</v>
          </cell>
          <cell r="P26">
            <v>0</v>
          </cell>
          <cell r="Q26">
            <v>8000</v>
          </cell>
          <cell r="R26">
            <v>306678</v>
          </cell>
        </row>
        <row r="27">
          <cell r="B27" t="str">
            <v>លឿន ឆាលី</v>
          </cell>
          <cell r="C27" t="str">
            <v>LOEUN CHALY</v>
          </cell>
          <cell r="D27">
            <v>150911069</v>
          </cell>
          <cell r="E27">
            <v>31947</v>
          </cell>
          <cell r="F27">
            <v>11.34</v>
          </cell>
          <cell r="G27">
            <v>362279</v>
          </cell>
          <cell r="K27">
            <v>362279</v>
          </cell>
          <cell r="M27">
            <v>8000</v>
          </cell>
          <cell r="P27">
            <v>0</v>
          </cell>
          <cell r="Q27">
            <v>8000</v>
          </cell>
          <cell r="R27">
            <v>354279</v>
          </cell>
        </row>
        <row r="28">
          <cell r="B28" t="str">
            <v>ហឿន សាវុធ</v>
          </cell>
          <cell r="C28" t="str">
            <v>HOEURN SAVUTH</v>
          </cell>
          <cell r="D28" t="str">
            <v>020520213</v>
          </cell>
          <cell r="E28">
            <v>31947</v>
          </cell>
          <cell r="F28">
            <v>20.619999999999997</v>
          </cell>
          <cell r="G28">
            <v>658747</v>
          </cell>
          <cell r="K28">
            <v>658747</v>
          </cell>
          <cell r="M28">
            <v>13175</v>
          </cell>
          <cell r="P28">
            <v>0</v>
          </cell>
          <cell r="Q28">
            <v>13175</v>
          </cell>
          <cell r="R28">
            <v>645572</v>
          </cell>
        </row>
        <row r="29">
          <cell r="B29" t="str">
            <v>រឿន សារី</v>
          </cell>
          <cell r="C29" t="str">
            <v>ROEUN SARY</v>
          </cell>
          <cell r="D29">
            <v>220175393</v>
          </cell>
          <cell r="E29">
            <v>31947</v>
          </cell>
          <cell r="F29">
            <v>7.29</v>
          </cell>
          <cell r="G29">
            <v>232894</v>
          </cell>
          <cell r="K29">
            <v>232894</v>
          </cell>
          <cell r="M29">
            <v>8000</v>
          </cell>
          <cell r="P29">
            <v>0</v>
          </cell>
          <cell r="Q29">
            <v>8000</v>
          </cell>
          <cell r="R29">
            <v>224894</v>
          </cell>
        </row>
        <row r="30">
          <cell r="B30" t="str">
            <v>ហ៊ុច សំណាង</v>
          </cell>
          <cell r="C30" t="str">
            <v>HOCH SOMNANG</v>
          </cell>
          <cell r="D30">
            <v>150936257</v>
          </cell>
          <cell r="E30">
            <v>31947</v>
          </cell>
          <cell r="F30">
            <v>13.09</v>
          </cell>
          <cell r="G30">
            <v>418186</v>
          </cell>
          <cell r="K30">
            <v>418186</v>
          </cell>
          <cell r="M30">
            <v>8364</v>
          </cell>
          <cell r="P30">
            <v>0</v>
          </cell>
          <cell r="Q30">
            <v>8364</v>
          </cell>
          <cell r="R30">
            <v>409822</v>
          </cell>
        </row>
        <row r="31">
          <cell r="B31" t="str">
            <v>បាន ចន្ថា</v>
          </cell>
          <cell r="C31" t="str">
            <v>BAN CHANTHA</v>
          </cell>
          <cell r="D31">
            <v>220137301</v>
          </cell>
          <cell r="E31">
            <v>31947</v>
          </cell>
          <cell r="F31">
            <v>23.759999999999998</v>
          </cell>
          <cell r="G31">
            <v>759061</v>
          </cell>
          <cell r="K31">
            <v>759061</v>
          </cell>
          <cell r="M31">
            <v>15181</v>
          </cell>
          <cell r="P31">
            <v>0</v>
          </cell>
          <cell r="Q31">
            <v>15181</v>
          </cell>
          <cell r="R31">
            <v>743880</v>
          </cell>
        </row>
        <row r="32">
          <cell r="B32" t="str">
            <v>សាន់ យូស័រ</v>
          </cell>
          <cell r="C32" t="str">
            <v>SAN YUSOR</v>
          </cell>
          <cell r="D32">
            <v>150940509</v>
          </cell>
          <cell r="E32">
            <v>31947</v>
          </cell>
          <cell r="F32">
            <v>18.22</v>
          </cell>
          <cell r="G32">
            <v>582074</v>
          </cell>
          <cell r="K32">
            <v>582074</v>
          </cell>
          <cell r="M32">
            <v>11641</v>
          </cell>
          <cell r="P32">
            <v>0</v>
          </cell>
          <cell r="Q32">
            <v>11641</v>
          </cell>
          <cell r="R32">
            <v>570433</v>
          </cell>
        </row>
        <row r="33">
          <cell r="B33" t="str">
            <v>វុន វណ្ណា</v>
          </cell>
          <cell r="C33" t="str">
            <v>VUN VANNA</v>
          </cell>
          <cell r="D33">
            <v>150657948</v>
          </cell>
          <cell r="E33">
            <v>31947</v>
          </cell>
          <cell r="F33">
            <v>15.469999999999999</v>
          </cell>
          <cell r="G33">
            <v>494220</v>
          </cell>
          <cell r="K33">
            <v>494220</v>
          </cell>
          <cell r="M33">
            <v>9884</v>
          </cell>
          <cell r="P33">
            <v>0</v>
          </cell>
          <cell r="Q33">
            <v>9884</v>
          </cell>
          <cell r="R33">
            <v>484336</v>
          </cell>
        </row>
        <row r="34">
          <cell r="B34" t="str">
            <v>ជឿន នីន</v>
          </cell>
          <cell r="C34" t="str">
            <v>CHOEUN NIN</v>
          </cell>
          <cell r="D34">
            <v>150952503</v>
          </cell>
          <cell r="E34">
            <v>31947</v>
          </cell>
          <cell r="F34">
            <v>13.09</v>
          </cell>
          <cell r="G34">
            <v>418186</v>
          </cell>
          <cell r="K34">
            <v>418186</v>
          </cell>
          <cell r="M34">
            <v>8364</v>
          </cell>
          <cell r="P34">
            <v>0</v>
          </cell>
          <cell r="Q34">
            <v>8364</v>
          </cell>
          <cell r="R34">
            <v>409822</v>
          </cell>
        </row>
        <row r="35">
          <cell r="B35" t="str">
            <v xml:space="preserve">ហឿង ហេង </v>
          </cell>
          <cell r="C35" t="str">
            <v>HOEUNG HENG</v>
          </cell>
          <cell r="D35">
            <v>220248893</v>
          </cell>
          <cell r="E35">
            <v>31947</v>
          </cell>
          <cell r="F35">
            <v>13.09</v>
          </cell>
          <cell r="G35">
            <v>418186</v>
          </cell>
          <cell r="K35">
            <v>418186</v>
          </cell>
          <cell r="M35">
            <v>8364</v>
          </cell>
          <cell r="P35">
            <v>0</v>
          </cell>
          <cell r="Q35">
            <v>8364</v>
          </cell>
          <cell r="R35">
            <v>409822</v>
          </cell>
        </row>
        <row r="36">
          <cell r="B36" t="str">
            <v xml:space="preserve">គង់ ចាន់ទ្រឿន </v>
          </cell>
          <cell r="C36" t="str">
            <v>KONG CHANTROEUN</v>
          </cell>
          <cell r="D36">
            <v>220105697</v>
          </cell>
          <cell r="E36">
            <v>31947</v>
          </cell>
          <cell r="F36">
            <v>13.09</v>
          </cell>
          <cell r="G36">
            <v>418186</v>
          </cell>
          <cell r="K36">
            <v>418186</v>
          </cell>
          <cell r="M36">
            <v>8364</v>
          </cell>
          <cell r="P36">
            <v>0</v>
          </cell>
          <cell r="Q36">
            <v>8364</v>
          </cell>
          <cell r="R36">
            <v>409822</v>
          </cell>
        </row>
        <row r="37">
          <cell r="B37" t="str">
            <v>ទៀង ឡៃស៊ីម</v>
          </cell>
          <cell r="C37" t="str">
            <v>TIENG LAISIM</v>
          </cell>
          <cell r="D37">
            <v>220216744</v>
          </cell>
          <cell r="E37">
            <v>31947</v>
          </cell>
          <cell r="F37">
            <v>13.09</v>
          </cell>
          <cell r="G37">
            <v>418186</v>
          </cell>
          <cell r="K37">
            <v>418186</v>
          </cell>
          <cell r="M37">
            <v>8364</v>
          </cell>
          <cell r="P37">
            <v>0</v>
          </cell>
          <cell r="Q37">
            <v>8364</v>
          </cell>
          <cell r="R37">
            <v>409822</v>
          </cell>
        </row>
        <row r="38">
          <cell r="B38" t="str">
            <v>ម៉ុន ម៉ោល</v>
          </cell>
          <cell r="C38" t="str">
            <v>MON MORL</v>
          </cell>
          <cell r="D38">
            <v>220211460</v>
          </cell>
          <cell r="E38">
            <v>31947</v>
          </cell>
          <cell r="F38">
            <v>18.509999999999998</v>
          </cell>
          <cell r="G38">
            <v>591339</v>
          </cell>
          <cell r="K38">
            <v>591339</v>
          </cell>
          <cell r="M38">
            <v>11827</v>
          </cell>
          <cell r="P38">
            <v>0</v>
          </cell>
          <cell r="Q38">
            <v>11827</v>
          </cell>
          <cell r="R38">
            <v>579512</v>
          </cell>
        </row>
        <row r="39">
          <cell r="B39" t="str">
            <v>កែវ ប្រុសសុទ្ធ</v>
          </cell>
          <cell r="C39" t="str">
            <v>KEO BROSSOTH</v>
          </cell>
          <cell r="D39">
            <v>151056059</v>
          </cell>
          <cell r="E39">
            <v>31947</v>
          </cell>
          <cell r="F39">
            <v>10.52</v>
          </cell>
          <cell r="G39">
            <v>336082</v>
          </cell>
          <cell r="K39">
            <v>336082</v>
          </cell>
          <cell r="M39">
            <v>8000</v>
          </cell>
          <cell r="P39">
            <v>0</v>
          </cell>
          <cell r="Q39">
            <v>8000</v>
          </cell>
          <cell r="R39">
            <v>328082</v>
          </cell>
        </row>
        <row r="40">
          <cell r="B40" t="str">
            <v>ម៉ុក សុធា</v>
          </cell>
          <cell r="C40" t="str">
            <v>MOK SOTHEA</v>
          </cell>
          <cell r="D40" t="str">
            <v>150306182 (01)</v>
          </cell>
          <cell r="E40">
            <v>31947</v>
          </cell>
          <cell r="F40">
            <v>17.170000000000002</v>
          </cell>
          <cell r="G40">
            <v>548530</v>
          </cell>
          <cell r="K40">
            <v>548530</v>
          </cell>
          <cell r="M40">
            <v>10971</v>
          </cell>
          <cell r="P40">
            <v>0</v>
          </cell>
          <cell r="Q40">
            <v>10971</v>
          </cell>
          <cell r="R40">
            <v>537559</v>
          </cell>
        </row>
        <row r="41">
          <cell r="B41" t="str">
            <v>ជឿន ថា</v>
          </cell>
          <cell r="C41" t="str">
            <v>CHOEUN THA</v>
          </cell>
          <cell r="D41" t="str">
            <v>150429482 (01)</v>
          </cell>
          <cell r="E41">
            <v>31947</v>
          </cell>
          <cell r="F41">
            <v>37.68</v>
          </cell>
          <cell r="G41">
            <v>1203763</v>
          </cell>
          <cell r="K41">
            <v>1203763</v>
          </cell>
          <cell r="M41">
            <v>24000</v>
          </cell>
          <cell r="P41">
            <v>0</v>
          </cell>
          <cell r="Q41">
            <v>24000</v>
          </cell>
          <cell r="R41">
            <v>1179763</v>
          </cell>
        </row>
        <row r="42">
          <cell r="B42" t="str">
            <v>ហ៊ុន ម៉ៅ</v>
          </cell>
          <cell r="C42" t="str">
            <v>HUN MAO</v>
          </cell>
          <cell r="D42">
            <v>150839024</v>
          </cell>
          <cell r="E42">
            <v>31947</v>
          </cell>
          <cell r="F42">
            <v>34.25</v>
          </cell>
          <cell r="G42">
            <v>1094185</v>
          </cell>
          <cell r="K42">
            <v>1094185</v>
          </cell>
          <cell r="M42">
            <v>21884</v>
          </cell>
          <cell r="P42">
            <v>0</v>
          </cell>
          <cell r="Q42">
            <v>21884</v>
          </cell>
          <cell r="R42">
            <v>1072301</v>
          </cell>
        </row>
        <row r="43">
          <cell r="B43" t="str">
            <v>ជឿន ថី</v>
          </cell>
          <cell r="C43" t="str">
            <v>CHOEUN THEY</v>
          </cell>
          <cell r="D43" t="str">
            <v>150469703 (01)</v>
          </cell>
          <cell r="E43">
            <v>31947</v>
          </cell>
          <cell r="F43">
            <v>34.25</v>
          </cell>
          <cell r="G43">
            <v>1094185</v>
          </cell>
          <cell r="K43">
            <v>1094185</v>
          </cell>
          <cell r="M43">
            <v>21884</v>
          </cell>
          <cell r="P43">
            <v>0</v>
          </cell>
          <cell r="Q43">
            <v>21884</v>
          </cell>
          <cell r="R43">
            <v>1072301</v>
          </cell>
        </row>
        <row r="44">
          <cell r="B44" t="str">
            <v>ឆឹម ខុន</v>
          </cell>
          <cell r="C44" t="str">
            <v>CHHEOM KHON</v>
          </cell>
          <cell r="D44" t="str">
            <v>150360208 (01)</v>
          </cell>
          <cell r="E44">
            <v>31947</v>
          </cell>
          <cell r="F44">
            <v>34.25</v>
          </cell>
          <cell r="G44">
            <v>1094185</v>
          </cell>
          <cell r="K44">
            <v>1094185</v>
          </cell>
          <cell r="M44">
            <v>21884</v>
          </cell>
          <cell r="P44">
            <v>0</v>
          </cell>
          <cell r="Q44">
            <v>21884</v>
          </cell>
          <cell r="R44">
            <v>1072301</v>
          </cell>
        </row>
        <row r="45">
          <cell r="B45" t="str">
            <v>ថន សុខធា</v>
          </cell>
          <cell r="C45" t="str">
            <v>THON SOKHTHEA</v>
          </cell>
          <cell r="D45">
            <v>220137744</v>
          </cell>
          <cell r="E45">
            <v>31947</v>
          </cell>
          <cell r="F45">
            <v>34.25</v>
          </cell>
          <cell r="G45">
            <v>1094185</v>
          </cell>
          <cell r="K45">
            <v>1094185</v>
          </cell>
          <cell r="M45">
            <v>21884</v>
          </cell>
          <cell r="P45">
            <v>0</v>
          </cell>
          <cell r="Q45">
            <v>21884</v>
          </cell>
          <cell r="R45">
            <v>1072301</v>
          </cell>
        </row>
        <row r="46">
          <cell r="B46" t="str">
            <v>នី គីន</v>
          </cell>
          <cell r="C46" t="str">
            <v>NY KIN</v>
          </cell>
          <cell r="D46">
            <v>150627962</v>
          </cell>
          <cell r="E46">
            <v>31947</v>
          </cell>
          <cell r="F46">
            <v>31.35</v>
          </cell>
          <cell r="G46">
            <v>1001538</v>
          </cell>
          <cell r="K46">
            <v>1001538</v>
          </cell>
          <cell r="M46">
            <v>20031</v>
          </cell>
          <cell r="P46">
            <v>0</v>
          </cell>
          <cell r="Q46">
            <v>20031</v>
          </cell>
          <cell r="R46">
            <v>981507</v>
          </cell>
        </row>
        <row r="47">
          <cell r="B47" t="str">
            <v xml:space="preserve"> វុន ហួន</v>
          </cell>
          <cell r="C47" t="str">
            <v>VUN HOUN</v>
          </cell>
          <cell r="D47">
            <v>150523228</v>
          </cell>
          <cell r="E47">
            <v>31947</v>
          </cell>
          <cell r="F47">
            <v>34.25</v>
          </cell>
          <cell r="G47">
            <v>1094185</v>
          </cell>
          <cell r="K47">
            <v>1094185</v>
          </cell>
          <cell r="M47">
            <v>21884</v>
          </cell>
          <cell r="P47">
            <v>0</v>
          </cell>
          <cell r="Q47">
            <v>21884</v>
          </cell>
          <cell r="R47">
            <v>1072301</v>
          </cell>
        </row>
        <row r="48">
          <cell r="B48" t="str">
            <v>លី​ ប៊ុនយ៉េន</v>
          </cell>
          <cell r="C48" t="str">
            <v>LY BUNYEN</v>
          </cell>
          <cell r="D48">
            <v>151013383</v>
          </cell>
          <cell r="E48">
            <v>31947</v>
          </cell>
          <cell r="F48">
            <v>34.25</v>
          </cell>
          <cell r="G48">
            <v>1094185</v>
          </cell>
          <cell r="K48">
            <v>1094185</v>
          </cell>
          <cell r="M48">
            <v>21884</v>
          </cell>
          <cell r="P48">
            <v>0</v>
          </cell>
          <cell r="Q48">
            <v>21884</v>
          </cell>
          <cell r="R48">
            <v>1072301</v>
          </cell>
        </row>
        <row r="49">
          <cell r="B49" t="str">
            <v>ធឿន​ វុឌ្ឍី</v>
          </cell>
          <cell r="C49" t="str">
            <v>THOEUN VUTHY</v>
          </cell>
          <cell r="D49">
            <v>150537069</v>
          </cell>
          <cell r="E49">
            <v>31947</v>
          </cell>
          <cell r="F49">
            <v>34.25</v>
          </cell>
          <cell r="G49">
            <v>1094185</v>
          </cell>
          <cell r="K49">
            <v>1094185</v>
          </cell>
          <cell r="M49">
            <v>21884</v>
          </cell>
          <cell r="P49">
            <v>0</v>
          </cell>
          <cell r="Q49">
            <v>21884</v>
          </cell>
          <cell r="R49">
            <v>1072301</v>
          </cell>
        </row>
        <row r="50">
          <cell r="B50" t="str">
            <v>ឌូ ឌីន</v>
          </cell>
          <cell r="C50" t="str">
            <v xml:space="preserve">DOU DIN </v>
          </cell>
          <cell r="D50">
            <v>151046569</v>
          </cell>
          <cell r="E50">
            <v>31947</v>
          </cell>
          <cell r="F50">
            <v>12.02</v>
          </cell>
          <cell r="G50">
            <v>384003</v>
          </cell>
          <cell r="K50">
            <v>384003</v>
          </cell>
          <cell r="M50">
            <v>8000</v>
          </cell>
          <cell r="P50">
            <v>0</v>
          </cell>
          <cell r="Q50">
            <v>8000</v>
          </cell>
          <cell r="R50">
            <v>376003</v>
          </cell>
        </row>
        <row r="51">
          <cell r="B51" t="str">
            <v>ម៉ៅ ថី</v>
          </cell>
          <cell r="C51" t="str">
            <v>MAO THEY</v>
          </cell>
          <cell r="D51">
            <v>150771197</v>
          </cell>
          <cell r="E51">
            <v>31947</v>
          </cell>
          <cell r="F51">
            <v>12.71</v>
          </cell>
          <cell r="G51">
            <v>406046</v>
          </cell>
          <cell r="K51">
            <v>406046</v>
          </cell>
          <cell r="M51">
            <v>8121</v>
          </cell>
          <cell r="P51">
            <v>0</v>
          </cell>
          <cell r="Q51">
            <v>8121</v>
          </cell>
          <cell r="R51">
            <v>397925</v>
          </cell>
        </row>
        <row r="52">
          <cell r="B52" t="str">
            <v>ហៀង ហ័ង</v>
          </cell>
          <cell r="C52" t="str">
            <v>HEANG HORNG</v>
          </cell>
          <cell r="D52">
            <v>150936930</v>
          </cell>
          <cell r="E52">
            <v>31947</v>
          </cell>
          <cell r="F52">
            <v>27.54</v>
          </cell>
          <cell r="G52">
            <v>879820</v>
          </cell>
          <cell r="K52">
            <v>879820</v>
          </cell>
          <cell r="M52">
            <v>17596</v>
          </cell>
          <cell r="P52">
            <v>0</v>
          </cell>
          <cell r="Q52">
            <v>17596</v>
          </cell>
          <cell r="R52">
            <v>862224</v>
          </cell>
        </row>
        <row r="53">
          <cell r="B53" t="str">
            <v>មឿន សេន</v>
          </cell>
          <cell r="C53" t="str">
            <v>MOEURN SEN</v>
          </cell>
          <cell r="D53">
            <v>180753924</v>
          </cell>
          <cell r="E53">
            <v>31947</v>
          </cell>
          <cell r="F53">
            <v>20.69</v>
          </cell>
          <cell r="G53">
            <v>660983</v>
          </cell>
          <cell r="K53">
            <v>660983</v>
          </cell>
          <cell r="M53">
            <v>13220</v>
          </cell>
          <cell r="P53">
            <v>0</v>
          </cell>
          <cell r="Q53">
            <v>13220</v>
          </cell>
          <cell r="R53">
            <v>647763</v>
          </cell>
        </row>
        <row r="54">
          <cell r="B54" t="str">
            <v>សួរ សាលូត</v>
          </cell>
          <cell r="C54" t="str">
            <v>SOUR SALOUTH</v>
          </cell>
          <cell r="D54">
            <v>220208904</v>
          </cell>
          <cell r="E54">
            <v>31947</v>
          </cell>
          <cell r="F54">
            <v>27.03</v>
          </cell>
          <cell r="G54">
            <v>863527</v>
          </cell>
          <cell r="K54">
            <v>863527</v>
          </cell>
          <cell r="M54">
            <v>17271</v>
          </cell>
          <cell r="P54">
            <v>0</v>
          </cell>
          <cell r="Q54">
            <v>17271</v>
          </cell>
          <cell r="R54">
            <v>846256</v>
          </cell>
        </row>
        <row r="55">
          <cell r="B55" t="str">
            <v>ហ៊ីម មករា</v>
          </cell>
          <cell r="C55" t="str">
            <v>HIM MAKRA</v>
          </cell>
          <cell r="D55">
            <v>150978188</v>
          </cell>
          <cell r="E55">
            <v>31947</v>
          </cell>
          <cell r="F55">
            <v>24.029999999999998</v>
          </cell>
          <cell r="G55">
            <v>767686</v>
          </cell>
          <cell r="K55">
            <v>767686</v>
          </cell>
          <cell r="M55">
            <v>15354</v>
          </cell>
          <cell r="P55">
            <v>0</v>
          </cell>
          <cell r="Q55">
            <v>15354</v>
          </cell>
          <cell r="R55">
            <v>752332</v>
          </cell>
        </row>
        <row r="56">
          <cell r="B56" t="str">
            <v>ហុក តុងសេង</v>
          </cell>
          <cell r="C56" t="str">
            <v>HUK TUNGSENG</v>
          </cell>
          <cell r="D56">
            <v>210070000</v>
          </cell>
          <cell r="E56">
            <v>31947</v>
          </cell>
          <cell r="F56">
            <v>11.79</v>
          </cell>
          <cell r="G56">
            <v>376655</v>
          </cell>
          <cell r="K56">
            <v>376655</v>
          </cell>
          <cell r="M56">
            <v>8000</v>
          </cell>
          <cell r="P56">
            <v>0</v>
          </cell>
          <cell r="Q56">
            <v>8000</v>
          </cell>
          <cell r="R56">
            <v>368655</v>
          </cell>
        </row>
        <row r="57">
          <cell r="B57" t="str">
            <v xml:space="preserve">គួន ធី </v>
          </cell>
          <cell r="C57" t="str">
            <v xml:space="preserve">KOURN THY </v>
          </cell>
          <cell r="D57">
            <v>150582874</v>
          </cell>
          <cell r="E57">
            <v>31947</v>
          </cell>
          <cell r="F57">
            <v>14</v>
          </cell>
          <cell r="G57">
            <v>447258</v>
          </cell>
          <cell r="K57">
            <v>447258</v>
          </cell>
          <cell r="M57">
            <v>8945</v>
          </cell>
          <cell r="P57">
            <v>0</v>
          </cell>
          <cell r="Q57">
            <v>8945</v>
          </cell>
          <cell r="R57">
            <v>438313</v>
          </cell>
        </row>
        <row r="58">
          <cell r="B58" t="str">
            <v xml:space="preserve">អៀង អ៊ា </v>
          </cell>
          <cell r="C58" t="str">
            <v xml:space="preserve">EANG EAR </v>
          </cell>
          <cell r="D58" t="str">
            <v>150523495 (01)</v>
          </cell>
          <cell r="E58">
            <v>31947</v>
          </cell>
          <cell r="F58">
            <v>9.7100000000000009</v>
          </cell>
          <cell r="G58">
            <v>310205</v>
          </cell>
          <cell r="K58">
            <v>310205</v>
          </cell>
          <cell r="M58">
            <v>8000</v>
          </cell>
          <cell r="P58">
            <v>0</v>
          </cell>
          <cell r="Q58">
            <v>8000</v>
          </cell>
          <cell r="R58">
            <v>302205</v>
          </cell>
        </row>
        <row r="59">
          <cell r="B59" t="str">
            <v>ម៉ៅ សុខនី</v>
          </cell>
          <cell r="C59" t="str">
            <v>MAO SOKNY</v>
          </cell>
          <cell r="D59">
            <v>151058048</v>
          </cell>
          <cell r="E59">
            <v>31947</v>
          </cell>
          <cell r="F59">
            <v>16.7</v>
          </cell>
          <cell r="G59">
            <v>533515</v>
          </cell>
          <cell r="K59">
            <v>533515</v>
          </cell>
          <cell r="M59">
            <v>10670</v>
          </cell>
          <cell r="P59">
            <v>0</v>
          </cell>
          <cell r="Q59">
            <v>10670</v>
          </cell>
          <cell r="R59">
            <v>522845</v>
          </cell>
        </row>
        <row r="60">
          <cell r="B60" t="str">
            <v>ម៉ឹង គា</v>
          </cell>
          <cell r="C60" t="str">
            <v xml:space="preserve">MOENG KEA </v>
          </cell>
          <cell r="D60">
            <v>150925395</v>
          </cell>
          <cell r="E60">
            <v>31947</v>
          </cell>
          <cell r="F60">
            <v>19.61</v>
          </cell>
          <cell r="G60">
            <v>626481</v>
          </cell>
          <cell r="K60">
            <v>626481</v>
          </cell>
          <cell r="M60">
            <v>12530</v>
          </cell>
          <cell r="P60">
            <v>0</v>
          </cell>
          <cell r="Q60">
            <v>12530</v>
          </cell>
          <cell r="R60">
            <v>613951</v>
          </cell>
        </row>
        <row r="61">
          <cell r="B61" t="str">
            <v>ម៉ៅ សុខម៉េង</v>
          </cell>
          <cell r="C61" t="str">
            <v>MAO SOKMENG</v>
          </cell>
          <cell r="D61">
            <v>151075912</v>
          </cell>
          <cell r="E61">
            <v>31947</v>
          </cell>
          <cell r="F61">
            <v>16.7</v>
          </cell>
          <cell r="G61">
            <v>533515</v>
          </cell>
          <cell r="K61">
            <v>533515</v>
          </cell>
          <cell r="M61">
            <v>10670</v>
          </cell>
          <cell r="P61">
            <v>0</v>
          </cell>
          <cell r="Q61">
            <v>10670</v>
          </cell>
          <cell r="R61">
            <v>522845</v>
          </cell>
        </row>
        <row r="62">
          <cell r="B62" t="str">
            <v>គា​ ទីណូ</v>
          </cell>
          <cell r="C62" t="str">
            <v>KHEA TINO</v>
          </cell>
          <cell r="D62">
            <v>151055393</v>
          </cell>
          <cell r="E62">
            <v>31947</v>
          </cell>
          <cell r="F62">
            <v>21.49</v>
          </cell>
          <cell r="G62">
            <v>686541</v>
          </cell>
          <cell r="K62">
            <v>686541</v>
          </cell>
          <cell r="M62">
            <v>13731</v>
          </cell>
          <cell r="P62">
            <v>0</v>
          </cell>
          <cell r="Q62">
            <v>13731</v>
          </cell>
          <cell r="R62">
            <v>672810</v>
          </cell>
        </row>
        <row r="63">
          <cell r="B63" t="str">
            <v>ធួន ធីម</v>
          </cell>
          <cell r="C63" t="str">
            <v>THUN THIM</v>
          </cell>
          <cell r="D63">
            <v>150981411</v>
          </cell>
          <cell r="E63">
            <v>31947</v>
          </cell>
          <cell r="F63">
            <v>14.7</v>
          </cell>
          <cell r="G63">
            <v>469621</v>
          </cell>
          <cell r="K63">
            <v>469621</v>
          </cell>
          <cell r="M63">
            <v>9392</v>
          </cell>
          <cell r="P63">
            <v>0</v>
          </cell>
          <cell r="Q63">
            <v>9392</v>
          </cell>
          <cell r="R63">
            <v>460229</v>
          </cell>
        </row>
        <row r="64">
          <cell r="B64" t="str">
            <v>មាស ភា</v>
          </cell>
          <cell r="C64" t="str">
            <v>MEAS PHEA</v>
          </cell>
          <cell r="D64">
            <v>151029997</v>
          </cell>
          <cell r="E64">
            <v>31947</v>
          </cell>
          <cell r="F64">
            <v>11.79</v>
          </cell>
          <cell r="G64">
            <v>376655</v>
          </cell>
          <cell r="K64">
            <v>376655</v>
          </cell>
          <cell r="M64">
            <v>8000</v>
          </cell>
          <cell r="P64">
            <v>0</v>
          </cell>
          <cell r="Q64">
            <v>8000</v>
          </cell>
          <cell r="R64">
            <v>368655</v>
          </cell>
        </row>
        <row r="65">
          <cell r="B65" t="str">
            <v>សេន សីហា</v>
          </cell>
          <cell r="C65" t="str">
            <v>SEN SEYHA</v>
          </cell>
          <cell r="D65">
            <v>181167293</v>
          </cell>
          <cell r="E65">
            <v>31947</v>
          </cell>
          <cell r="F65">
            <v>14.7</v>
          </cell>
          <cell r="G65">
            <v>469621</v>
          </cell>
          <cell r="K65">
            <v>469621</v>
          </cell>
          <cell r="M65">
            <v>9392</v>
          </cell>
          <cell r="P65">
            <v>0</v>
          </cell>
          <cell r="Q65">
            <v>9392</v>
          </cell>
          <cell r="R65">
            <v>460229</v>
          </cell>
        </row>
        <row r="66">
          <cell r="B66" t="str">
            <v>មេង បូរី</v>
          </cell>
          <cell r="C66" t="str">
            <v>MENG BOREY</v>
          </cell>
          <cell r="D66">
            <v>151048971</v>
          </cell>
          <cell r="E66">
            <v>31947</v>
          </cell>
          <cell r="F66">
            <v>14.7</v>
          </cell>
          <cell r="G66">
            <v>469621</v>
          </cell>
          <cell r="K66">
            <v>469621</v>
          </cell>
          <cell r="M66">
            <v>9392</v>
          </cell>
          <cell r="P66">
            <v>0</v>
          </cell>
          <cell r="Q66">
            <v>9392</v>
          </cell>
          <cell r="R66">
            <v>460229</v>
          </cell>
        </row>
        <row r="67">
          <cell r="B67" t="str">
            <v>មាស សៀក</v>
          </cell>
          <cell r="C67" t="str">
            <v>MEAS SEAK</v>
          </cell>
          <cell r="D67">
            <v>150845321</v>
          </cell>
          <cell r="E67">
            <v>31947</v>
          </cell>
          <cell r="F67">
            <v>16.7</v>
          </cell>
          <cell r="G67">
            <v>533515</v>
          </cell>
          <cell r="K67">
            <v>533515</v>
          </cell>
          <cell r="M67">
            <v>10670</v>
          </cell>
          <cell r="P67">
            <v>0</v>
          </cell>
          <cell r="Q67">
            <v>10670</v>
          </cell>
          <cell r="R67">
            <v>522845</v>
          </cell>
        </row>
        <row r="68">
          <cell r="B68" t="str">
            <v>ម៉ៅ ឆូន</v>
          </cell>
          <cell r="C68" t="str">
            <v>MAO CHHAUN</v>
          </cell>
          <cell r="D68">
            <v>190569581</v>
          </cell>
          <cell r="E68">
            <v>31947</v>
          </cell>
          <cell r="F68">
            <v>11.79</v>
          </cell>
          <cell r="G68">
            <v>376655</v>
          </cell>
          <cell r="K68">
            <v>376655</v>
          </cell>
          <cell r="M68">
            <v>8000</v>
          </cell>
          <cell r="P68">
            <v>0</v>
          </cell>
          <cell r="Q68">
            <v>8000</v>
          </cell>
          <cell r="R68">
            <v>368655</v>
          </cell>
        </row>
        <row r="69">
          <cell r="B69" t="str">
            <v>សាញ់ ខុម</v>
          </cell>
          <cell r="C69" t="str">
            <v>SANH KHOM</v>
          </cell>
          <cell r="D69">
            <v>150273869</v>
          </cell>
          <cell r="E69">
            <v>31947</v>
          </cell>
          <cell r="F69">
            <v>11.79</v>
          </cell>
          <cell r="G69">
            <v>376655</v>
          </cell>
          <cell r="K69">
            <v>376655</v>
          </cell>
          <cell r="M69">
            <v>8000</v>
          </cell>
          <cell r="P69">
            <v>0</v>
          </cell>
          <cell r="Q69">
            <v>8000</v>
          </cell>
          <cell r="R69">
            <v>368655</v>
          </cell>
        </row>
        <row r="70">
          <cell r="B70" t="str">
            <v>ទៀង ចាន់ថា</v>
          </cell>
          <cell r="C70" t="str">
            <v>TIENG CHANTHA</v>
          </cell>
          <cell r="D70">
            <v>220175294</v>
          </cell>
          <cell r="E70">
            <v>31947</v>
          </cell>
          <cell r="F70">
            <v>18.569999999999997</v>
          </cell>
          <cell r="G70">
            <v>593256</v>
          </cell>
          <cell r="K70">
            <v>593256</v>
          </cell>
          <cell r="M70">
            <v>11865</v>
          </cell>
          <cell r="P70">
            <v>0</v>
          </cell>
          <cell r="Q70">
            <v>11865</v>
          </cell>
          <cell r="R70">
            <v>581391</v>
          </cell>
        </row>
        <row r="71">
          <cell r="B71" t="str">
            <v xml:space="preserve">កិក រក្សា </v>
          </cell>
          <cell r="C71" t="str">
            <v>KEK REAKSA</v>
          </cell>
          <cell r="D71">
            <v>181068674</v>
          </cell>
          <cell r="E71">
            <v>31947</v>
          </cell>
          <cell r="F71">
            <v>17.55</v>
          </cell>
          <cell r="G71">
            <v>560670</v>
          </cell>
          <cell r="K71">
            <v>560670</v>
          </cell>
          <cell r="M71">
            <v>11213</v>
          </cell>
          <cell r="P71">
            <v>0</v>
          </cell>
          <cell r="Q71">
            <v>11213</v>
          </cell>
          <cell r="R71">
            <v>549457</v>
          </cell>
        </row>
        <row r="72">
          <cell r="B72" t="str">
            <v>ផាត ចាន់លី</v>
          </cell>
          <cell r="C72" t="str">
            <v>PHAT CHANLY</v>
          </cell>
          <cell r="D72">
            <v>220139991</v>
          </cell>
          <cell r="E72">
            <v>31947</v>
          </cell>
          <cell r="F72">
            <v>9.7200000000000006</v>
          </cell>
          <cell r="G72">
            <v>310525</v>
          </cell>
          <cell r="K72">
            <v>310525</v>
          </cell>
          <cell r="M72">
            <v>8000</v>
          </cell>
          <cell r="P72">
            <v>0</v>
          </cell>
          <cell r="Q72">
            <v>8000</v>
          </cell>
          <cell r="R72">
            <v>302525</v>
          </cell>
        </row>
        <row r="73">
          <cell r="B73" t="str">
            <v>មាស ស៊ីន​</v>
          </cell>
          <cell r="C73" t="str">
            <v>MEAS SIN</v>
          </cell>
          <cell r="D73">
            <v>150582830</v>
          </cell>
          <cell r="E73">
            <v>31947</v>
          </cell>
          <cell r="F73">
            <v>14.5</v>
          </cell>
          <cell r="G73">
            <v>463232</v>
          </cell>
          <cell r="K73">
            <v>463232</v>
          </cell>
          <cell r="M73">
            <v>9265</v>
          </cell>
          <cell r="P73">
            <v>0</v>
          </cell>
          <cell r="Q73">
            <v>9265</v>
          </cell>
          <cell r="R73">
            <v>453967</v>
          </cell>
        </row>
        <row r="74">
          <cell r="B74" t="str">
            <v>ស៊ុត លី</v>
          </cell>
          <cell r="C74" t="str">
            <v>SOTLY</v>
          </cell>
          <cell r="D74">
            <v>150352388</v>
          </cell>
          <cell r="E74">
            <v>31947</v>
          </cell>
          <cell r="F74">
            <v>7.8999999999999995</v>
          </cell>
          <cell r="G74">
            <v>252381</v>
          </cell>
          <cell r="K74">
            <v>252381</v>
          </cell>
          <cell r="M74">
            <v>8000</v>
          </cell>
          <cell r="P74">
            <v>0</v>
          </cell>
          <cell r="Q74">
            <v>8000</v>
          </cell>
          <cell r="R74">
            <v>244381</v>
          </cell>
        </row>
        <row r="75">
          <cell r="B75" t="str">
            <v>សន ម៉ាប់</v>
          </cell>
          <cell r="C75" t="str">
            <v>SORN MAB</v>
          </cell>
          <cell r="D75">
            <v>150740078</v>
          </cell>
          <cell r="E75">
            <v>31947</v>
          </cell>
          <cell r="F75">
            <v>34.86</v>
          </cell>
          <cell r="G75">
            <v>1113672</v>
          </cell>
          <cell r="K75">
            <v>1113672</v>
          </cell>
          <cell r="M75">
            <v>22273</v>
          </cell>
          <cell r="P75">
            <v>0</v>
          </cell>
          <cell r="Q75">
            <v>22273</v>
          </cell>
          <cell r="R75">
            <v>1091399</v>
          </cell>
        </row>
        <row r="76">
          <cell r="B76" t="str">
            <v>ម៉ន ពឿយ</v>
          </cell>
          <cell r="C76" t="str">
            <v>MORN POEUY</v>
          </cell>
          <cell r="D76">
            <v>150922981</v>
          </cell>
          <cell r="E76">
            <v>31947</v>
          </cell>
          <cell r="F76">
            <v>31.7</v>
          </cell>
          <cell r="G76">
            <v>1012720</v>
          </cell>
          <cell r="K76">
            <v>1012720</v>
          </cell>
          <cell r="M76">
            <v>20254</v>
          </cell>
          <cell r="P76">
            <v>0</v>
          </cell>
          <cell r="Q76">
            <v>20254</v>
          </cell>
          <cell r="R76">
            <v>992466</v>
          </cell>
        </row>
        <row r="77">
          <cell r="B77" t="str">
            <v>ថន ចារី</v>
          </cell>
          <cell r="C77" t="str">
            <v>THON CHAREY</v>
          </cell>
          <cell r="D77">
            <v>150627964</v>
          </cell>
          <cell r="E77">
            <v>31947</v>
          </cell>
          <cell r="F77">
            <v>31.7</v>
          </cell>
          <cell r="G77">
            <v>1012720</v>
          </cell>
          <cell r="K77">
            <v>1012720</v>
          </cell>
          <cell r="M77">
            <v>20254</v>
          </cell>
          <cell r="P77">
            <v>0</v>
          </cell>
          <cell r="Q77">
            <v>20254</v>
          </cell>
          <cell r="R77">
            <v>992466</v>
          </cell>
        </row>
        <row r="78">
          <cell r="B78" t="str">
            <v>គ្រឿន រិត</v>
          </cell>
          <cell r="C78" t="str">
            <v>KROEUN RITH</v>
          </cell>
          <cell r="D78">
            <v>220234318</v>
          </cell>
          <cell r="E78">
            <v>31947</v>
          </cell>
          <cell r="F78">
            <v>23.19</v>
          </cell>
          <cell r="G78">
            <v>740851</v>
          </cell>
          <cell r="K78">
            <v>740851</v>
          </cell>
          <cell r="M78">
            <v>14817</v>
          </cell>
          <cell r="P78">
            <v>0</v>
          </cell>
          <cell r="Q78">
            <v>14817</v>
          </cell>
          <cell r="R78">
            <v>726034</v>
          </cell>
        </row>
        <row r="79">
          <cell r="B79" t="str">
            <v>រឿន រឿង</v>
          </cell>
          <cell r="C79" t="str">
            <v>ROEUN ROEUNG</v>
          </cell>
          <cell r="D79">
            <v>220175244</v>
          </cell>
          <cell r="E79">
            <v>31947</v>
          </cell>
          <cell r="F79">
            <v>31.7</v>
          </cell>
          <cell r="G79">
            <v>1012720</v>
          </cell>
          <cell r="K79">
            <v>1012720</v>
          </cell>
          <cell r="M79">
            <v>20254</v>
          </cell>
          <cell r="P79">
            <v>0</v>
          </cell>
          <cell r="Q79">
            <v>20254</v>
          </cell>
          <cell r="R79">
            <v>992466</v>
          </cell>
        </row>
        <row r="80">
          <cell r="B80" t="str">
            <v>អ៊ឹម ថាច</v>
          </cell>
          <cell r="C80" t="str">
            <v>OEM THACH</v>
          </cell>
          <cell r="D80">
            <v>150565864</v>
          </cell>
          <cell r="E80">
            <v>31947</v>
          </cell>
          <cell r="F80">
            <v>31.7</v>
          </cell>
          <cell r="G80">
            <v>1012720</v>
          </cell>
          <cell r="K80">
            <v>1012720</v>
          </cell>
          <cell r="M80">
            <v>20254</v>
          </cell>
          <cell r="P80">
            <v>0</v>
          </cell>
          <cell r="Q80">
            <v>20254</v>
          </cell>
          <cell r="R80">
            <v>992466</v>
          </cell>
        </row>
        <row r="81">
          <cell r="B81" t="str">
            <v>សន ចាន់រី</v>
          </cell>
          <cell r="C81" t="str">
            <v>SORN CHANRY</v>
          </cell>
          <cell r="D81">
            <v>150612355</v>
          </cell>
          <cell r="E81">
            <v>31947</v>
          </cell>
          <cell r="F81">
            <v>28.790000000000003</v>
          </cell>
          <cell r="G81">
            <v>919757</v>
          </cell>
          <cell r="K81">
            <v>919757</v>
          </cell>
          <cell r="M81">
            <v>18395</v>
          </cell>
          <cell r="P81">
            <v>0</v>
          </cell>
          <cell r="Q81">
            <v>18395</v>
          </cell>
          <cell r="R81">
            <v>901362</v>
          </cell>
        </row>
        <row r="82">
          <cell r="B82" t="str">
            <v>សន ហ៊ុច</v>
          </cell>
          <cell r="C82" t="str">
            <v>SORN HUCH</v>
          </cell>
          <cell r="D82">
            <v>150468451</v>
          </cell>
          <cell r="E82">
            <v>31947</v>
          </cell>
          <cell r="F82">
            <v>31.7</v>
          </cell>
          <cell r="G82">
            <v>1012720</v>
          </cell>
          <cell r="K82">
            <v>1012720</v>
          </cell>
          <cell r="M82">
            <v>20254</v>
          </cell>
          <cell r="P82">
            <v>0</v>
          </cell>
          <cell r="Q82">
            <v>20254</v>
          </cell>
          <cell r="R82">
            <v>992466</v>
          </cell>
        </row>
        <row r="83">
          <cell r="B83" t="str">
            <v>សន ឆៃលី</v>
          </cell>
          <cell r="C83" t="str">
            <v>SORN CHHAILY</v>
          </cell>
          <cell r="D83">
            <v>150952614</v>
          </cell>
          <cell r="E83">
            <v>31947</v>
          </cell>
          <cell r="F83">
            <v>31.7</v>
          </cell>
          <cell r="G83">
            <v>1012720</v>
          </cell>
          <cell r="K83">
            <v>1012720</v>
          </cell>
          <cell r="M83">
            <v>20254</v>
          </cell>
          <cell r="P83">
            <v>0</v>
          </cell>
          <cell r="Q83">
            <v>20254</v>
          </cell>
          <cell r="R83">
            <v>992466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D D2T9"/>
      <sheetName val="BPTL D1T9"/>
      <sheetName val="BCC D1 (26)"/>
      <sheetName val="BTHKL D1 T10 (26)"/>
      <sheetName val="BPHAN CHIA "/>
      <sheetName val="KLCN t12 dot 2"/>
      <sheetName val="TTL dot​2 (31947)"/>
    </sheetNames>
    <sheetDataSet>
      <sheetData sheetId="0" refreshError="1"/>
      <sheetData sheetId="1" refreshError="1"/>
      <sheetData sheetId="2" refreshError="1">
        <row r="12">
          <cell r="X12">
            <v>12</v>
          </cell>
        </row>
        <row r="93">
          <cell r="X93">
            <v>2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44"/>
  <sheetViews>
    <sheetView topLeftCell="A23" workbookViewId="0">
      <selection activeCell="J29" sqref="J29"/>
    </sheetView>
  </sheetViews>
  <sheetFormatPr defaultColWidth="9" defaultRowHeight="18"/>
  <cols>
    <col min="1" max="1" width="3.375" style="124" customWidth="1"/>
    <col min="2" max="2" width="12.375" style="124" customWidth="1"/>
    <col min="3" max="3" width="11.5" style="124" customWidth="1"/>
    <col min="4" max="4" width="11.125" style="124" customWidth="1"/>
    <col min="5" max="5" width="15.25" style="124" customWidth="1"/>
    <col min="6" max="6" width="16.25" style="124" customWidth="1"/>
    <col min="7" max="7" width="16.875" style="185" customWidth="1"/>
    <col min="8" max="8" width="13.125" style="124" customWidth="1"/>
    <col min="9" max="9" width="8.625" style="124" customWidth="1"/>
    <col min="10" max="10" width="14.875" style="124" bestFit="1" customWidth="1"/>
    <col min="11" max="11" width="6.875" style="186" customWidth="1"/>
    <col min="12" max="12" width="4.75" style="28" customWidth="1"/>
    <col min="13" max="13" width="8.875" style="28" customWidth="1"/>
    <col min="14" max="24" width="9" style="15"/>
    <col min="25" max="16384" width="9" style="124"/>
  </cols>
  <sheetData>
    <row r="1" spans="1:24" s="180" customFormat="1" ht="15.75">
      <c r="A1" s="798" t="s">
        <v>0</v>
      </c>
      <c r="B1" s="798"/>
      <c r="C1" s="798"/>
      <c r="D1" s="798"/>
      <c r="E1" s="798"/>
      <c r="F1" s="49"/>
      <c r="G1" s="798" t="s">
        <v>1</v>
      </c>
      <c r="H1" s="798"/>
      <c r="I1" s="798"/>
      <c r="J1" s="49"/>
    </row>
    <row r="2" spans="1:24" customFormat="1" ht="17.45" customHeight="1">
      <c r="A2" s="794" t="s">
        <v>2</v>
      </c>
      <c r="B2" s="794"/>
      <c r="C2" s="794"/>
      <c r="D2" s="794"/>
      <c r="E2" s="794"/>
      <c r="F2" s="2"/>
      <c r="G2" s="799" t="s">
        <v>3</v>
      </c>
      <c r="H2" s="799"/>
      <c r="I2" s="799"/>
      <c r="J2" s="2"/>
    </row>
    <row r="3" spans="1:24" s="180" customFormat="1" ht="15.75">
      <c r="A3" s="798" t="s">
        <v>4</v>
      </c>
      <c r="B3" s="798"/>
      <c r="C3" s="798"/>
      <c r="D3" s="798"/>
      <c r="E3" s="798"/>
      <c r="F3" s="49"/>
      <c r="G3" s="798" t="s">
        <v>5</v>
      </c>
      <c r="H3" s="798"/>
      <c r="I3" s="798"/>
      <c r="J3" s="49"/>
    </row>
    <row r="4" spans="1:24" customFormat="1" ht="15.75">
      <c r="A4" s="794" t="s">
        <v>6</v>
      </c>
      <c r="B4" s="794"/>
      <c r="C4" s="794"/>
      <c r="D4" s="794"/>
      <c r="E4" s="794"/>
      <c r="F4" s="4"/>
      <c r="G4" s="795" t="s">
        <v>7</v>
      </c>
      <c r="H4" s="795"/>
      <c r="I4" s="795"/>
      <c r="J4" s="4"/>
    </row>
    <row r="5" spans="1:24" customFormat="1" ht="23.45" customHeight="1">
      <c r="A5" s="7"/>
      <c r="B5" s="7"/>
      <c r="C5" s="7"/>
      <c r="D5" s="4"/>
      <c r="E5" s="4"/>
      <c r="F5" s="3"/>
      <c r="G5" s="3"/>
      <c r="H5" s="3"/>
      <c r="I5" s="4"/>
      <c r="J5" s="4"/>
    </row>
    <row r="6" spans="1:24" s="81" customFormat="1" ht="18.75">
      <c r="A6" s="796" t="s">
        <v>8</v>
      </c>
      <c r="B6" s="796"/>
      <c r="C6" s="796"/>
      <c r="D6" s="796"/>
      <c r="E6" s="796"/>
      <c r="F6" s="796"/>
      <c r="G6" s="796"/>
      <c r="H6" s="796"/>
      <c r="I6" s="796"/>
      <c r="J6" s="216"/>
      <c r="K6" s="129"/>
      <c r="L6" s="13"/>
      <c r="M6" s="13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s="81" customFormat="1" ht="18.75">
      <c r="A7" s="797" t="s">
        <v>369</v>
      </c>
      <c r="B7" s="797"/>
      <c r="C7" s="797"/>
      <c r="D7" s="797"/>
      <c r="E7" s="797"/>
      <c r="F7" s="797"/>
      <c r="G7" s="797"/>
      <c r="H7" s="797"/>
      <c r="I7" s="797"/>
      <c r="J7" s="216"/>
      <c r="K7" s="129"/>
      <c r="L7" s="13"/>
      <c r="M7" s="13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s="81" customFormat="1" ht="18.75">
      <c r="A8" s="787" t="s">
        <v>9</v>
      </c>
      <c r="B8" s="787"/>
      <c r="C8" s="787"/>
      <c r="D8" s="787"/>
      <c r="E8" s="787"/>
      <c r="F8" s="787"/>
      <c r="G8" s="787"/>
      <c r="H8" s="787"/>
      <c r="I8" s="787"/>
      <c r="J8" s="85"/>
      <c r="K8" s="129"/>
      <c r="L8" s="13"/>
      <c r="M8" s="13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s="81" customFormat="1" ht="18.75">
      <c r="A9" s="787" t="s">
        <v>370</v>
      </c>
      <c r="B9" s="787"/>
      <c r="C9" s="787"/>
      <c r="D9" s="787"/>
      <c r="E9" s="787"/>
      <c r="F9" s="787"/>
      <c r="G9" s="787"/>
      <c r="H9" s="787"/>
      <c r="I9" s="787"/>
      <c r="J9" s="85"/>
      <c r="K9" s="129"/>
      <c r="L9" s="13"/>
      <c r="M9" s="13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1" spans="1:24" ht="29.25" customHeight="1">
      <c r="B11" s="187" t="s">
        <v>354</v>
      </c>
      <c r="C11" s="29"/>
      <c r="D11" s="29"/>
      <c r="E11" s="29"/>
      <c r="G11" s="188">
        <f>G12+G13</f>
        <v>94283904</v>
      </c>
      <c r="H11" s="1" t="s">
        <v>10</v>
      </c>
      <c r="J11" s="217">
        <f>'TTL dot​2 (31947)'!K84</f>
        <v>94283904</v>
      </c>
    </row>
    <row r="12" spans="1:24" s="181" customFormat="1" ht="27.95" customHeight="1">
      <c r="A12" s="189"/>
      <c r="B12" s="190" t="s">
        <v>256</v>
      </c>
      <c r="C12" s="191"/>
      <c r="D12" s="191"/>
      <c r="E12" s="192"/>
      <c r="F12" s="193"/>
      <c r="G12" s="194">
        <f>'TTL dot​2 (31947)'!G84</f>
        <v>45775579</v>
      </c>
      <c r="H12" s="195" t="s">
        <v>10</v>
      </c>
      <c r="I12" s="218"/>
      <c r="J12" s="219" t="e">
        <f>#REF!</f>
        <v>#REF!</v>
      </c>
      <c r="K12" s="220"/>
      <c r="L12" s="22"/>
      <c r="M12" s="22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s="181" customFormat="1" ht="27.95" customHeight="1">
      <c r="A13" s="189"/>
      <c r="B13" s="190" t="s">
        <v>257</v>
      </c>
      <c r="C13" s="191"/>
      <c r="D13" s="191"/>
      <c r="E13" s="192"/>
      <c r="F13" s="193"/>
      <c r="G13" s="194">
        <f>'TTL dot​2 (31947)'!I84</f>
        <v>48508325</v>
      </c>
      <c r="H13" s="195" t="s">
        <v>10</v>
      </c>
      <c r="I13" s="218"/>
      <c r="J13" s="219">
        <f>'[1]TTL dot 1 (31948)'!I84</f>
        <v>0</v>
      </c>
      <c r="K13" s="220"/>
      <c r="L13" s="22"/>
      <c r="M13" s="22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30" customHeight="1">
      <c r="A14" s="182"/>
      <c r="B14" s="196" t="s">
        <v>11</v>
      </c>
      <c r="C14" s="197"/>
      <c r="D14" s="197"/>
      <c r="E14" s="198"/>
      <c r="F14" s="182"/>
      <c r="G14" s="199">
        <f>SUM(G15:G16)</f>
        <v>45775579</v>
      </c>
      <c r="H14" s="1" t="s">
        <v>10</v>
      </c>
      <c r="J14" s="221">
        <f>G14+G17</f>
        <v>47266149</v>
      </c>
    </row>
    <row r="15" spans="1:24" ht="27.95" customHeight="1">
      <c r="A15" s="182"/>
      <c r="B15" s="200" t="s">
        <v>258</v>
      </c>
      <c r="C15" s="201"/>
      <c r="D15" s="201"/>
      <c r="E15" s="197"/>
      <c r="F15" s="182"/>
      <c r="G15" s="202">
        <f>'TTL dot​2 (31947)'!L84</f>
        <v>44843116</v>
      </c>
      <c r="H15" s="78" t="s">
        <v>10</v>
      </c>
      <c r="I15" s="221"/>
    </row>
    <row r="16" spans="1:24" s="181" customFormat="1" ht="27.95" customHeight="1">
      <c r="A16" s="189"/>
      <c r="B16" s="792" t="s">
        <v>259</v>
      </c>
      <c r="C16" s="792"/>
      <c r="D16" s="792"/>
      <c r="E16" s="792"/>
      <c r="F16" s="189"/>
      <c r="G16" s="203">
        <f>'TTL dot​2 (31947)'!M84</f>
        <v>932463</v>
      </c>
      <c r="H16" s="204" t="s">
        <v>10</v>
      </c>
      <c r="I16" s="218"/>
      <c r="J16" s="223"/>
      <c r="K16" s="220"/>
      <c r="L16" s="22"/>
      <c r="M16" s="22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ht="30" customHeight="1">
      <c r="A17" s="182"/>
      <c r="B17" s="196" t="s">
        <v>260</v>
      </c>
      <c r="C17" s="201"/>
      <c r="D17" s="201"/>
      <c r="E17" s="197"/>
      <c r="F17" s="182"/>
      <c r="G17" s="199">
        <f>SUM(G18:G21)</f>
        <v>1490570</v>
      </c>
      <c r="H17" s="81" t="s">
        <v>10</v>
      </c>
      <c r="I17" s="221"/>
      <c r="J17" s="222">
        <f>'TTL dot​2 (31947)'!Q84</f>
        <v>47266149</v>
      </c>
    </row>
    <row r="18" spans="1:24" ht="27.95" customHeight="1">
      <c r="A18" s="182"/>
      <c r="B18" s="200" t="s">
        <v>12</v>
      </c>
      <c r="C18" s="205"/>
      <c r="D18" s="205"/>
      <c r="E18" s="197"/>
      <c r="F18" s="182"/>
      <c r="G18" s="206">
        <f>'TTL dot​2 (31947)'!P84</f>
        <v>1011620</v>
      </c>
      <c r="H18" s="78" t="s">
        <v>10</v>
      </c>
      <c r="I18" s="221"/>
      <c r="J18" s="217"/>
    </row>
    <row r="19" spans="1:24" ht="27.95" hidden="1" customHeight="1">
      <c r="A19" s="182"/>
      <c r="B19" s="792" t="s">
        <v>259</v>
      </c>
      <c r="C19" s="792"/>
      <c r="D19" s="792"/>
      <c r="E19" s="792"/>
      <c r="F19" s="182"/>
      <c r="G19" s="206">
        <v>0</v>
      </c>
      <c r="H19" s="78" t="s">
        <v>10</v>
      </c>
      <c r="I19" s="221"/>
      <c r="J19" s="217"/>
    </row>
    <row r="20" spans="1:24" ht="18.75">
      <c r="A20" s="182"/>
      <c r="B20" s="792" t="s">
        <v>261</v>
      </c>
      <c r="C20" s="792"/>
      <c r="D20" s="792"/>
      <c r="E20" s="792"/>
      <c r="F20" s="182"/>
      <c r="G20" s="206">
        <f>'TTL dot​2 (31947)'!O84</f>
        <v>478950</v>
      </c>
      <c r="H20" s="78" t="s">
        <v>10</v>
      </c>
      <c r="I20" s="221"/>
      <c r="J20" s="217"/>
    </row>
    <row r="21" spans="1:24" ht="27.95" customHeight="1">
      <c r="A21" s="182"/>
      <c r="B21" s="200" t="s">
        <v>262</v>
      </c>
      <c r="C21" s="197"/>
      <c r="D21" s="197"/>
      <c r="E21" s="197"/>
      <c r="F21" s="182"/>
      <c r="G21" s="206">
        <v>0</v>
      </c>
      <c r="H21" s="78" t="s">
        <v>10</v>
      </c>
      <c r="I21" s="221"/>
      <c r="J21" s="224"/>
    </row>
    <row r="22" spans="1:24" ht="30" customHeight="1">
      <c r="A22" s="182"/>
      <c r="B22" s="196" t="s">
        <v>263</v>
      </c>
      <c r="C22" s="197"/>
      <c r="D22" s="197"/>
      <c r="E22" s="197"/>
      <c r="F22" s="182"/>
      <c r="G22" s="207">
        <f>G23</f>
        <v>47017755</v>
      </c>
      <c r="H22" s="78" t="s">
        <v>10</v>
      </c>
      <c r="I22" s="221"/>
      <c r="J22" s="217"/>
      <c r="M22" s="28" t="s">
        <v>334</v>
      </c>
    </row>
    <row r="23" spans="1:24" s="33" customFormat="1" ht="30" customHeight="1">
      <c r="A23" s="182"/>
      <c r="B23" s="208" t="s">
        <v>264</v>
      </c>
      <c r="C23" s="205"/>
      <c r="D23" s="197"/>
      <c r="E23" s="197"/>
      <c r="F23" s="182"/>
      <c r="G23" s="209">
        <f>ROUND(G11-G14-G17,0)</f>
        <v>47017755</v>
      </c>
      <c r="H23" s="78" t="s">
        <v>10</v>
      </c>
      <c r="I23" s="225"/>
      <c r="J23" s="209">
        <f>'TTL dot​2 (31947)'!R84</f>
        <v>47017755</v>
      </c>
      <c r="K23" s="129"/>
      <c r="L23" s="13"/>
      <c r="M23" s="226" t="s">
        <v>335</v>
      </c>
      <c r="N23" s="13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s="33" customFormat="1" ht="13.9" customHeight="1">
      <c r="A24" s="210"/>
      <c r="B24" s="211"/>
      <c r="C24" s="212"/>
      <c r="D24" s="210"/>
      <c r="E24" s="210"/>
      <c r="F24" s="210"/>
      <c r="G24" s="213"/>
      <c r="H24" s="214"/>
      <c r="I24" s="227"/>
      <c r="K24" s="129"/>
      <c r="L24" s="13"/>
      <c r="M24" s="13"/>
      <c r="N24" s="13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s="33" customFormat="1" ht="36" customHeight="1">
      <c r="A25" s="793" t="s">
        <v>398</v>
      </c>
      <c r="B25" s="793"/>
      <c r="C25" s="793"/>
      <c r="D25" s="793"/>
      <c r="E25" s="793"/>
      <c r="F25" s="793"/>
      <c r="G25" s="793"/>
      <c r="H25" s="793"/>
      <c r="I25" s="576"/>
      <c r="J25" s="576"/>
      <c r="K25" s="576"/>
      <c r="L25" s="576"/>
      <c r="M25" s="576"/>
      <c r="N25" s="576"/>
      <c r="O25" s="576"/>
      <c r="P25" s="576"/>
      <c r="Q25" s="576"/>
      <c r="R25" s="576"/>
      <c r="S25" s="576"/>
      <c r="T25" s="4"/>
      <c r="U25" s="4"/>
      <c r="V25" s="4"/>
      <c r="W25" s="4"/>
      <c r="X25" s="4"/>
    </row>
    <row r="26" spans="1:24" s="182" customFormat="1" ht="18.75">
      <c r="A26" s="790" t="s">
        <v>399</v>
      </c>
      <c r="B26" s="790"/>
      <c r="C26" s="790"/>
      <c r="D26" s="790"/>
      <c r="E26" s="790"/>
      <c r="F26" s="790"/>
      <c r="G26" s="790"/>
      <c r="H26" s="790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4"/>
      <c r="U26" s="4"/>
      <c r="V26" s="4"/>
      <c r="W26" s="4"/>
      <c r="X26" s="4"/>
    </row>
    <row r="28" spans="1:24" s="81" customFormat="1" ht="18.75">
      <c r="F28" s="791" t="s">
        <v>371</v>
      </c>
      <c r="G28" s="791"/>
      <c r="H28" s="791"/>
      <c r="I28" s="791"/>
      <c r="J28" s="228"/>
      <c r="K28" s="129"/>
      <c r="L28" s="13"/>
      <c r="M28" s="1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s="183" customFormat="1" ht="30" customHeight="1">
      <c r="A29" s="785" t="s">
        <v>13</v>
      </c>
      <c r="B29" s="785"/>
      <c r="C29" s="785"/>
      <c r="D29" s="785"/>
      <c r="E29" s="785" t="s">
        <v>4</v>
      </c>
      <c r="F29" s="785"/>
      <c r="G29" s="785" t="s">
        <v>14</v>
      </c>
      <c r="H29" s="785"/>
      <c r="I29" s="785"/>
      <c r="K29" s="229"/>
      <c r="L29" s="230"/>
      <c r="M29" s="230"/>
    </row>
    <row r="30" spans="1:24" s="85" customFormat="1" ht="16.5">
      <c r="A30" s="788" t="s">
        <v>15</v>
      </c>
      <c r="B30" s="788"/>
      <c r="C30" s="788"/>
      <c r="D30" s="788"/>
      <c r="E30" s="789" t="s">
        <v>6</v>
      </c>
      <c r="F30" s="789"/>
      <c r="G30" s="789" t="s">
        <v>16</v>
      </c>
      <c r="H30" s="789"/>
      <c r="I30" s="789"/>
      <c r="K30" s="231"/>
      <c r="L30" s="110"/>
      <c r="M30" s="110"/>
    </row>
    <row r="31" spans="1:24" s="85" customFormat="1" ht="16.5">
      <c r="B31" s="39"/>
      <c r="C31" s="39"/>
      <c r="D31" s="39"/>
      <c r="E31" s="39"/>
      <c r="F31" s="39"/>
      <c r="G31" s="39"/>
      <c r="H31" s="39"/>
      <c r="K31" s="231"/>
      <c r="L31" s="110"/>
      <c r="M31" s="110"/>
    </row>
    <row r="32" spans="1:24" s="39" customFormat="1" ht="16.5">
      <c r="G32" s="175"/>
      <c r="K32" s="232"/>
      <c r="L32" s="162"/>
      <c r="M32" s="162"/>
    </row>
    <row r="33" spans="1:24" s="39" customFormat="1" ht="16.5">
      <c r="G33" s="175"/>
      <c r="K33" s="232"/>
      <c r="L33" s="162"/>
      <c r="M33" s="162"/>
    </row>
    <row r="34" spans="1:24" s="39" customFormat="1" ht="19.149999999999999" customHeight="1">
      <c r="A34" s="788"/>
      <c r="B34" s="788"/>
      <c r="C34" s="788"/>
      <c r="D34" s="788"/>
      <c r="E34" s="788"/>
      <c r="F34" s="85"/>
      <c r="G34" s="788" t="s">
        <v>17</v>
      </c>
      <c r="H34" s="788"/>
      <c r="I34" s="788"/>
      <c r="J34" s="85"/>
      <c r="K34" s="232"/>
      <c r="L34" s="162"/>
      <c r="M34" s="162"/>
    </row>
    <row r="35" spans="1:24" s="81" customFormat="1" ht="26.25" customHeight="1">
      <c r="A35" s="785" t="s">
        <v>18</v>
      </c>
      <c r="B35" s="785"/>
      <c r="C35" s="785"/>
      <c r="D35" s="785"/>
      <c r="E35" s="785"/>
      <c r="F35" s="785"/>
      <c r="G35" s="785"/>
      <c r="H35" s="785"/>
      <c r="I35" s="785"/>
      <c r="J35" s="1"/>
      <c r="K35" s="129"/>
      <c r="L35" s="13"/>
      <c r="M35" s="1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s="81" customFormat="1" ht="18.75">
      <c r="A36" s="786"/>
      <c r="B36" s="786"/>
      <c r="C36" s="786"/>
      <c r="D36" s="786"/>
      <c r="E36" s="786"/>
      <c r="F36" s="786"/>
      <c r="G36" s="786"/>
      <c r="H36" s="786"/>
      <c r="I36" s="786"/>
      <c r="K36" s="129"/>
      <c r="L36" s="13"/>
      <c r="M36" s="1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s="184" customFormat="1" ht="21.75" customHeight="1">
      <c r="J37" s="233"/>
      <c r="K37" s="234"/>
      <c r="L37" s="235"/>
      <c r="M37" s="235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</row>
    <row r="38" spans="1:24" s="81" customFormat="1" ht="18.75" customHeight="1">
      <c r="J38" s="236"/>
      <c r="K38" s="129"/>
      <c r="L38" s="13"/>
      <c r="M38" s="1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s="81" customFormat="1" ht="18.75">
      <c r="A39" s="4"/>
      <c r="B39" s="4"/>
      <c r="C39" s="4"/>
      <c r="D39" s="4"/>
      <c r="E39" s="4"/>
      <c r="F39" s="4"/>
      <c r="G39" s="215"/>
      <c r="H39" s="4"/>
      <c r="I39" s="4"/>
      <c r="K39" s="129"/>
      <c r="L39" s="13"/>
      <c r="M39" s="1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s="81" customFormat="1" ht="18.75">
      <c r="G40" s="130"/>
      <c r="K40" s="129"/>
      <c r="L40" s="13"/>
      <c r="M40" s="1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s="81" customFormat="1" ht="18.75">
      <c r="G41" s="130"/>
      <c r="K41" s="129"/>
      <c r="L41" s="13"/>
      <c r="M41" s="1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s="81" customFormat="1" ht="18.75">
      <c r="G42" s="130"/>
      <c r="K42" s="129"/>
      <c r="L42" s="13"/>
      <c r="M42" s="1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s="81" customFormat="1" ht="18.75">
      <c r="G43" s="130"/>
      <c r="K43" s="129"/>
      <c r="L43" s="13"/>
      <c r="M43" s="1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s="81" customFormat="1" ht="18.75">
      <c r="A44" s="787"/>
      <c r="B44" s="787"/>
      <c r="C44" s="787"/>
      <c r="D44" s="787"/>
      <c r="F44" s="1"/>
      <c r="G44" s="1"/>
      <c r="H44" s="1"/>
      <c r="K44" s="129"/>
      <c r="L44" s="13"/>
      <c r="M44" s="1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</sheetData>
  <mergeCells count="29">
    <mergeCell ref="A1:E1"/>
    <mergeCell ref="G1:I1"/>
    <mergeCell ref="A2:E2"/>
    <mergeCell ref="G2:I2"/>
    <mergeCell ref="A3:E3"/>
    <mergeCell ref="G3:I3"/>
    <mergeCell ref="A4:E4"/>
    <mergeCell ref="G4:I4"/>
    <mergeCell ref="A6:I6"/>
    <mergeCell ref="A7:I7"/>
    <mergeCell ref="A8:I8"/>
    <mergeCell ref="A9:I9"/>
    <mergeCell ref="B16:E16"/>
    <mergeCell ref="B19:E19"/>
    <mergeCell ref="B20:E20"/>
    <mergeCell ref="A25:H25"/>
    <mergeCell ref="A26:H26"/>
    <mergeCell ref="F28:I28"/>
    <mergeCell ref="A29:D29"/>
    <mergeCell ref="E29:F29"/>
    <mergeCell ref="G29:I29"/>
    <mergeCell ref="A35:I35"/>
    <mergeCell ref="A36:I36"/>
    <mergeCell ref="A44:D44"/>
    <mergeCell ref="A30:D30"/>
    <mergeCell ref="E30:F30"/>
    <mergeCell ref="G30:I30"/>
    <mergeCell ref="A34:E34"/>
    <mergeCell ref="G34:I34"/>
  </mergeCells>
  <printOptions horizontalCentered="1" verticalCentered="1"/>
  <pageMargins left="0.196527777777778" right="0.118055555555556" top="0.31458333333333299" bottom="0.118055555555556" header="0.118055555555556" footer="0.118055555555556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39"/>
  <sheetViews>
    <sheetView tabSelected="1" topLeftCell="A11" zoomScale="85" zoomScaleNormal="85" workbookViewId="0">
      <selection activeCell="A26" sqref="A26:I26"/>
    </sheetView>
  </sheetViews>
  <sheetFormatPr defaultColWidth="9" defaultRowHeight="17.25"/>
  <cols>
    <col min="1" max="1" width="5.75" style="136" customWidth="1"/>
    <col min="2" max="2" width="35.625" style="136" customWidth="1"/>
    <col min="3" max="4" width="11.75" style="136" customWidth="1"/>
    <col min="5" max="5" width="14.5" style="136" customWidth="1"/>
    <col min="6" max="6" width="10" style="137" customWidth="1"/>
    <col min="7" max="7" width="11.625" style="137" customWidth="1"/>
    <col min="8" max="8" width="14.625" style="136" customWidth="1"/>
    <col min="9" max="9" width="16.125" style="136" customWidth="1"/>
    <col min="10" max="10" width="9" style="137"/>
    <col min="11" max="11" width="10" style="138" customWidth="1"/>
    <col min="12" max="12" width="20.5" style="138" customWidth="1"/>
    <col min="13" max="13" width="19" style="138" customWidth="1"/>
    <col min="14" max="14" width="15.25" style="138" customWidth="1"/>
    <col min="15" max="23" width="9" style="138"/>
    <col min="24" max="16384" width="9" style="137"/>
  </cols>
  <sheetData>
    <row r="1" spans="1:23" ht="9" hidden="1" customHeight="1">
      <c r="A1" s="134"/>
      <c r="B1" s="134"/>
    </row>
    <row r="2" spans="1:23" customFormat="1" ht="18">
      <c r="A2" s="819" t="s">
        <v>0</v>
      </c>
      <c r="B2" s="819"/>
      <c r="C2" s="819"/>
      <c r="D2" s="2"/>
      <c r="E2" s="5"/>
      <c r="F2" s="5"/>
      <c r="G2" s="819" t="s">
        <v>1</v>
      </c>
      <c r="H2" s="819"/>
      <c r="I2" s="819"/>
      <c r="J2" s="5"/>
      <c r="K2" s="5"/>
    </row>
    <row r="3" spans="1:23" customFormat="1" ht="15.75">
      <c r="A3" s="794" t="s">
        <v>2</v>
      </c>
      <c r="B3" s="794"/>
      <c r="C3" s="794"/>
      <c r="D3" s="2"/>
      <c r="E3" s="2"/>
      <c r="F3" s="2"/>
      <c r="G3" s="799" t="s">
        <v>3</v>
      </c>
      <c r="H3" s="799"/>
      <c r="I3" s="799"/>
      <c r="J3" s="2"/>
      <c r="K3" s="2"/>
    </row>
    <row r="4" spans="1:23" customFormat="1" ht="18">
      <c r="A4" s="820" t="s">
        <v>4</v>
      </c>
      <c r="B4" s="820"/>
      <c r="C4" s="820"/>
      <c r="D4" s="4"/>
      <c r="E4" s="5"/>
      <c r="F4" s="5"/>
      <c r="G4" s="819" t="s">
        <v>5</v>
      </c>
      <c r="H4" s="819"/>
      <c r="I4" s="819"/>
      <c r="J4" s="5"/>
      <c r="K4" s="5"/>
    </row>
    <row r="5" spans="1:23" customFormat="1" ht="15.75">
      <c r="A5" s="815" t="s">
        <v>6</v>
      </c>
      <c r="B5" s="815"/>
      <c r="C5" s="815"/>
      <c r="D5" s="4"/>
      <c r="E5" s="4"/>
      <c r="F5" s="4"/>
      <c r="G5" s="795" t="s">
        <v>7</v>
      </c>
      <c r="H5" s="795"/>
      <c r="I5" s="795"/>
      <c r="J5" s="4"/>
      <c r="K5" s="4"/>
    </row>
    <row r="6" spans="1:23" customFormat="1" ht="18" customHeight="1">
      <c r="A6" s="7"/>
      <c r="B6" s="7"/>
      <c r="C6" s="7"/>
      <c r="D6" s="4"/>
      <c r="E6" s="4"/>
      <c r="F6" s="3"/>
      <c r="G6" s="3"/>
      <c r="H6" s="3"/>
      <c r="I6" s="4"/>
      <c r="J6" s="4"/>
      <c r="K6" s="4"/>
    </row>
    <row r="7" spans="1:23" s="39" customFormat="1" ht="39" customHeight="1">
      <c r="A7" s="816" t="s">
        <v>374</v>
      </c>
      <c r="B7" s="816"/>
      <c r="C7" s="816"/>
      <c r="D7" s="816"/>
      <c r="E7" s="816"/>
      <c r="F7" s="816"/>
      <c r="G7" s="816"/>
      <c r="H7" s="816"/>
      <c r="I7" s="816"/>
      <c r="J7" s="161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</row>
    <row r="8" spans="1:23" s="39" customFormat="1" ht="20.25">
      <c r="A8" s="817" t="s">
        <v>375</v>
      </c>
      <c r="B8" s="817"/>
      <c r="C8" s="817"/>
      <c r="D8" s="817"/>
      <c r="E8" s="817"/>
      <c r="F8" s="817"/>
      <c r="G8" s="817"/>
      <c r="H8" s="817"/>
      <c r="I8" s="817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</row>
    <row r="9" spans="1:23" s="39" customFormat="1" ht="12.6" customHeight="1">
      <c r="A9" s="139"/>
      <c r="B9" s="139"/>
      <c r="C9" s="139"/>
      <c r="D9" s="139"/>
      <c r="E9" s="139"/>
      <c r="F9" s="139"/>
      <c r="G9" s="139"/>
      <c r="H9" s="139"/>
      <c r="I9" s="139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</row>
    <row r="10" spans="1:23" s="85" customFormat="1" ht="34.5" customHeight="1">
      <c r="A10" s="39"/>
      <c r="B10" s="140"/>
      <c r="C10" s="39"/>
      <c r="D10" s="39"/>
      <c r="E10" s="39"/>
      <c r="F10" s="39"/>
      <c r="G10" s="39"/>
      <c r="H10" s="141" t="s">
        <v>19</v>
      </c>
      <c r="I10" s="163" t="s">
        <v>20</v>
      </c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</row>
    <row r="11" spans="1:23" s="131" customFormat="1" ht="50.45" customHeight="1">
      <c r="A11" s="142" t="s">
        <v>21</v>
      </c>
      <c r="B11" s="142" t="s">
        <v>22</v>
      </c>
      <c r="C11" s="142" t="s">
        <v>23</v>
      </c>
      <c r="D11" s="818" t="s">
        <v>24</v>
      </c>
      <c r="E11" s="818"/>
      <c r="F11" s="818" t="s">
        <v>25</v>
      </c>
      <c r="G11" s="818"/>
      <c r="H11" s="142" t="s">
        <v>26</v>
      </c>
      <c r="I11" s="142" t="s">
        <v>27</v>
      </c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</row>
    <row r="12" spans="1:23" s="132" customFormat="1" ht="54.75" customHeight="1">
      <c r="A12" s="143" t="s">
        <v>28</v>
      </c>
      <c r="B12" s="144" t="s">
        <v>29</v>
      </c>
      <c r="C12" s="145" t="s">
        <v>30</v>
      </c>
      <c r="D12" s="146" t="s">
        <v>31</v>
      </c>
      <c r="E12" s="12" t="s">
        <v>32</v>
      </c>
      <c r="F12" s="12" t="s">
        <v>31</v>
      </c>
      <c r="G12" s="12" t="s">
        <v>32</v>
      </c>
      <c r="H12" s="144" t="s">
        <v>33</v>
      </c>
      <c r="I12" s="144" t="s">
        <v>34</v>
      </c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</row>
    <row r="13" spans="1:23" s="132" customFormat="1" ht="27" customHeight="1">
      <c r="A13" s="41" t="s">
        <v>35</v>
      </c>
      <c r="B13" s="41" t="s">
        <v>36</v>
      </c>
      <c r="C13" s="41">
        <v>1</v>
      </c>
      <c r="D13" s="41">
        <v>2</v>
      </c>
      <c r="E13" s="41" t="s">
        <v>37</v>
      </c>
      <c r="F13" s="41">
        <v>4</v>
      </c>
      <c r="G13" s="41" t="s">
        <v>38</v>
      </c>
      <c r="H13" s="41" t="s">
        <v>39</v>
      </c>
      <c r="I13" s="41">
        <v>7</v>
      </c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</row>
    <row r="14" spans="1:23" s="132" customFormat="1" ht="27" customHeight="1">
      <c r="A14" s="809" t="s">
        <v>353</v>
      </c>
      <c r="B14" s="810"/>
      <c r="C14" s="810"/>
      <c r="D14" s="811"/>
      <c r="E14" s="147">
        <f>SUM(E15:E22)</f>
        <v>48508325</v>
      </c>
      <c r="F14" s="41"/>
      <c r="G14" s="41"/>
      <c r="H14" s="147">
        <f>SUM(H15:H22)</f>
        <v>48508325</v>
      </c>
      <c r="I14" s="41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</row>
    <row r="15" spans="1:23" s="132" customFormat="1" ht="51.75" customHeight="1">
      <c r="A15" s="314">
        <v>1</v>
      </c>
      <c r="B15" s="241" t="s">
        <v>330</v>
      </c>
      <c r="C15" s="45">
        <v>31947</v>
      </c>
      <c r="D15" s="148">
        <f>'BTHKL D1 T1 (26)'!F12</f>
        <v>680.41</v>
      </c>
      <c r="E15" s="149">
        <f>ROUND(D15*C15,0)</f>
        <v>21737058</v>
      </c>
      <c r="F15" s="41"/>
      <c r="G15" s="41"/>
      <c r="H15" s="149">
        <f t="shared" ref="H15:H23" si="0">G15+E15</f>
        <v>21737058</v>
      </c>
      <c r="I15" s="41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</row>
    <row r="16" spans="1:23" s="132" customFormat="1" ht="51.75" customHeight="1">
      <c r="A16" s="314">
        <f>+A15+1</f>
        <v>2</v>
      </c>
      <c r="B16" s="241" t="s">
        <v>331</v>
      </c>
      <c r="C16" s="45">
        <v>31947</v>
      </c>
      <c r="D16" s="148">
        <f>'BTHKL D1 T1 (26)'!F13</f>
        <v>398.63</v>
      </c>
      <c r="E16" s="149">
        <f t="shared" ref="E16:E21" si="1">ROUND(D16*C16,0)</f>
        <v>12735033</v>
      </c>
      <c r="F16" s="41"/>
      <c r="G16" s="41"/>
      <c r="H16" s="149">
        <f t="shared" si="0"/>
        <v>12735033</v>
      </c>
      <c r="I16" s="41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</row>
    <row r="17" spans="1:23" s="132" customFormat="1" ht="18.75">
      <c r="A17" s="314">
        <f t="shared" ref="A17:A22" si="2">+A16+1</f>
        <v>3</v>
      </c>
      <c r="B17" s="125" t="s">
        <v>40</v>
      </c>
      <c r="C17" s="45">
        <v>31947</v>
      </c>
      <c r="D17" s="148">
        <f>'BTHKL D1 T1 (26)'!F14</f>
        <v>28.549999999999997</v>
      </c>
      <c r="E17" s="149">
        <f t="shared" si="1"/>
        <v>912087</v>
      </c>
      <c r="F17" s="41"/>
      <c r="G17" s="150"/>
      <c r="H17" s="149">
        <f t="shared" si="0"/>
        <v>912087</v>
      </c>
      <c r="I17" s="41"/>
      <c r="K17" s="165">
        <f>1*0.9391*C17</f>
        <v>30001.4277</v>
      </c>
      <c r="L17" s="165" t="e">
        <f>SUM(#REF!)-K17</f>
        <v>#REF!</v>
      </c>
      <c r="M17" s="165" t="e">
        <f>H17-L17</f>
        <v>#REF!</v>
      </c>
      <c r="N17" s="165"/>
      <c r="O17" s="165"/>
      <c r="P17" s="165"/>
      <c r="Q17" s="165"/>
      <c r="R17" s="165"/>
      <c r="S17" s="165"/>
      <c r="T17" s="165"/>
      <c r="U17" s="165"/>
      <c r="V17" s="165"/>
      <c r="W17" s="165"/>
    </row>
    <row r="18" spans="1:23" s="132" customFormat="1" ht="23.1" customHeight="1">
      <c r="A18" s="314">
        <f t="shared" si="2"/>
        <v>4</v>
      </c>
      <c r="B18" s="151" t="s">
        <v>41</v>
      </c>
      <c r="C18" s="45">
        <v>31947</v>
      </c>
      <c r="D18" s="148">
        <f>'BTHKL D1 T1 (26)'!F17</f>
        <v>57.6</v>
      </c>
      <c r="E18" s="149">
        <f t="shared" si="1"/>
        <v>1840147</v>
      </c>
      <c r="F18" s="41"/>
      <c r="G18" s="150"/>
      <c r="H18" s="149">
        <f t="shared" si="0"/>
        <v>1840147</v>
      </c>
      <c r="I18" s="41"/>
      <c r="K18" s="165">
        <f>33.17*C17</f>
        <v>1059681.99</v>
      </c>
      <c r="L18" s="165">
        <f>SUM(H18:H19)</f>
        <v>5120145</v>
      </c>
      <c r="M18" s="165" t="e">
        <f>SUM(#REF!)</f>
        <v>#REF!</v>
      </c>
      <c r="N18" s="165"/>
      <c r="O18" s="165"/>
      <c r="P18" s="165"/>
      <c r="Q18" s="165"/>
      <c r="R18" s="165"/>
      <c r="S18" s="165"/>
      <c r="T18" s="165"/>
      <c r="U18" s="165"/>
      <c r="V18" s="165"/>
      <c r="W18" s="165"/>
    </row>
    <row r="19" spans="1:23" s="132" customFormat="1" ht="23.1" customHeight="1">
      <c r="A19" s="314">
        <f t="shared" si="2"/>
        <v>5</v>
      </c>
      <c r="B19" s="126" t="s">
        <v>42</v>
      </c>
      <c r="C19" s="45">
        <v>31947</v>
      </c>
      <c r="D19" s="148">
        <f>'BTHKL D1 T1 (26)'!F18</f>
        <v>102.67</v>
      </c>
      <c r="E19" s="149">
        <f t="shared" si="1"/>
        <v>3279998</v>
      </c>
      <c r="F19" s="41"/>
      <c r="G19" s="150"/>
      <c r="H19" s="149">
        <f t="shared" si="0"/>
        <v>3279998</v>
      </c>
      <c r="I19" s="41"/>
      <c r="K19" s="165">
        <f>24.42*C22</f>
        <v>780145.74000000011</v>
      </c>
      <c r="L19" s="165">
        <f>L18+K18+K19</f>
        <v>6959972.7300000004</v>
      </c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</row>
    <row r="20" spans="1:23" s="132" customFormat="1" ht="23.1" customHeight="1">
      <c r="A20" s="314">
        <f t="shared" si="2"/>
        <v>6</v>
      </c>
      <c r="B20" s="127" t="s">
        <v>43</v>
      </c>
      <c r="C20" s="45">
        <v>31947</v>
      </c>
      <c r="D20" s="148">
        <f>'BTHKL D1 T1 (26)'!F19</f>
        <v>26.2</v>
      </c>
      <c r="E20" s="149">
        <f t="shared" si="1"/>
        <v>837011</v>
      </c>
      <c r="F20" s="41"/>
      <c r="G20" s="150"/>
      <c r="H20" s="149">
        <f t="shared" si="0"/>
        <v>837011</v>
      </c>
      <c r="I20" s="41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</row>
    <row r="21" spans="1:23" s="132" customFormat="1" ht="23.1" customHeight="1">
      <c r="A21" s="314">
        <f t="shared" si="2"/>
        <v>7</v>
      </c>
      <c r="B21" s="128" t="s">
        <v>44</v>
      </c>
      <c r="C21" s="45">
        <v>31947</v>
      </c>
      <c r="D21" s="148">
        <f>'BTHKL D1 T1 (26)'!F20</f>
        <v>14.68</v>
      </c>
      <c r="E21" s="149">
        <f t="shared" si="1"/>
        <v>468982</v>
      </c>
      <c r="F21" s="41"/>
      <c r="G21" s="150"/>
      <c r="H21" s="149">
        <f t="shared" si="0"/>
        <v>468982</v>
      </c>
      <c r="I21" s="41"/>
      <c r="K21" s="165"/>
      <c r="L21" s="165">
        <f>ROUND(D23*C22,0)</f>
        <v>48508325</v>
      </c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</row>
    <row r="22" spans="1:23" s="132" customFormat="1" ht="23.1" customHeight="1">
      <c r="A22" s="314">
        <f t="shared" si="2"/>
        <v>8</v>
      </c>
      <c r="B22" s="127" t="s">
        <v>45</v>
      </c>
      <c r="C22" s="45">
        <v>31947</v>
      </c>
      <c r="D22" s="148">
        <f>'BTHKL D1 T1 (26)'!F21</f>
        <v>209.66000000000003</v>
      </c>
      <c r="E22" s="149">
        <f>ROUND(D22*C22,0)+1</f>
        <v>6698009</v>
      </c>
      <c r="F22" s="41"/>
      <c r="G22" s="150"/>
      <c r="H22" s="149">
        <f t="shared" si="0"/>
        <v>6698009</v>
      </c>
      <c r="I22" s="41"/>
      <c r="K22" s="165"/>
      <c r="L22" s="165">
        <f>'TTL dot​2 (31947)'!I84</f>
        <v>48508325</v>
      </c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</row>
    <row r="23" spans="1:23" s="132" customFormat="1" ht="23.1" customHeight="1">
      <c r="A23" s="12"/>
      <c r="B23" s="812" t="s">
        <v>46</v>
      </c>
      <c r="C23" s="813"/>
      <c r="D23" s="343">
        <f>SUM(D15:D22)</f>
        <v>1518.4</v>
      </c>
      <c r="E23" s="152">
        <f>SUM(E15:E22)</f>
        <v>48508325</v>
      </c>
      <c r="F23" s="41"/>
      <c r="G23" s="150"/>
      <c r="H23" s="152">
        <f t="shared" si="0"/>
        <v>48508325</v>
      </c>
      <c r="I23" s="41"/>
      <c r="K23" s="165"/>
      <c r="L23" s="165">
        <f>L22-L21</f>
        <v>0</v>
      </c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</row>
    <row r="24" spans="1:23" s="133" customFormat="1" ht="24" customHeight="1">
      <c r="A24" s="153"/>
      <c r="B24" s="154"/>
      <c r="C24" s="155"/>
      <c r="D24" s="156"/>
      <c r="E24" s="157"/>
      <c r="F24" s="157"/>
      <c r="G24" s="157"/>
      <c r="H24" s="157"/>
      <c r="I24" s="166"/>
      <c r="K24" s="167"/>
      <c r="L24" s="168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</row>
    <row r="25" spans="1:23" ht="28.5" customHeight="1">
      <c r="A25" s="814" t="s">
        <v>396</v>
      </c>
      <c r="B25" s="814"/>
      <c r="C25" s="814"/>
      <c r="D25" s="814"/>
      <c r="E25" s="814"/>
      <c r="F25" s="814"/>
      <c r="G25" s="814"/>
      <c r="H25" s="814"/>
      <c r="I25" s="814"/>
      <c r="J25" s="169"/>
      <c r="K25" s="170"/>
      <c r="L25" s="170" t="b">
        <f>A25=[2]Sheet1!$N$9</f>
        <v>0</v>
      </c>
      <c r="M25" s="171"/>
      <c r="N25" s="171"/>
      <c r="O25" s="171"/>
      <c r="P25" s="171"/>
      <c r="Q25" s="171"/>
      <c r="R25" s="171"/>
    </row>
    <row r="26" spans="1:23" ht="28.5" customHeight="1">
      <c r="A26" s="790" t="s">
        <v>397</v>
      </c>
      <c r="B26" s="790"/>
      <c r="C26" s="790"/>
      <c r="D26" s="790"/>
      <c r="E26" s="790"/>
      <c r="F26" s="790"/>
      <c r="G26" s="790"/>
      <c r="H26" s="790"/>
      <c r="I26" s="790"/>
      <c r="J26" s="94"/>
      <c r="K26" s="790"/>
      <c r="L26" s="790"/>
      <c r="M26" s="790"/>
      <c r="N26" s="790"/>
      <c r="O26" s="790"/>
      <c r="P26" s="790"/>
      <c r="Q26" s="790"/>
      <c r="R26" s="790"/>
    </row>
    <row r="27" spans="1:23" ht="14.25" customHeight="1">
      <c r="A27" s="158"/>
      <c r="B27" s="158"/>
      <c r="C27" s="158"/>
      <c r="D27" s="158"/>
      <c r="E27" s="158"/>
      <c r="F27" s="158"/>
      <c r="G27" s="158"/>
      <c r="H27" s="158"/>
      <c r="I27" s="158"/>
      <c r="K27" s="172"/>
      <c r="L27" s="173"/>
      <c r="M27" s="172"/>
      <c r="N27" s="172"/>
    </row>
    <row r="28" spans="1:23" s="39" customFormat="1" ht="25.9" customHeight="1">
      <c r="E28" s="803" t="s">
        <v>372</v>
      </c>
      <c r="F28" s="804"/>
      <c r="G28" s="804"/>
      <c r="H28" s="804"/>
      <c r="I28" s="804"/>
      <c r="J28" s="174"/>
      <c r="K28" s="175"/>
      <c r="L28" s="175" t="s">
        <v>47</v>
      </c>
      <c r="M28" s="175"/>
      <c r="N28" s="162"/>
      <c r="O28" s="162"/>
      <c r="P28" s="162"/>
      <c r="Q28" s="162"/>
      <c r="R28" s="162"/>
      <c r="S28" s="162"/>
      <c r="T28" s="162"/>
      <c r="U28" s="162"/>
      <c r="V28" s="162"/>
      <c r="W28" s="162"/>
    </row>
    <row r="29" spans="1:23" s="134" customFormat="1" ht="31.15" customHeight="1">
      <c r="A29" s="805" t="s">
        <v>48</v>
      </c>
      <c r="B29" s="805"/>
      <c r="C29" s="805"/>
      <c r="D29" s="805"/>
      <c r="E29" s="806" t="s">
        <v>49</v>
      </c>
      <c r="F29" s="806"/>
      <c r="G29" s="806"/>
      <c r="H29" s="806"/>
      <c r="I29" s="806"/>
      <c r="J29" s="176"/>
      <c r="K29" s="807"/>
      <c r="L29" s="807"/>
      <c r="M29" s="807"/>
      <c r="N29" s="807"/>
      <c r="O29" s="807"/>
      <c r="P29" s="807"/>
      <c r="Q29" s="807"/>
      <c r="R29" s="807"/>
      <c r="S29" s="179"/>
      <c r="T29" s="179"/>
      <c r="U29" s="179"/>
      <c r="V29" s="179"/>
      <c r="W29" s="179"/>
    </row>
    <row r="30" spans="1:23" s="39" customFormat="1" ht="18" customHeight="1">
      <c r="E30" s="159"/>
      <c r="F30" s="159"/>
      <c r="G30" s="159"/>
      <c r="H30" s="159"/>
      <c r="I30" s="159"/>
      <c r="J30" s="174"/>
      <c r="K30" s="175"/>
      <c r="L30" s="175"/>
      <c r="M30" s="175"/>
      <c r="N30" s="162"/>
      <c r="O30" s="162"/>
      <c r="P30" s="162"/>
      <c r="Q30" s="162"/>
      <c r="R30" s="162"/>
      <c r="S30" s="162"/>
      <c r="T30" s="162"/>
      <c r="U30" s="162"/>
      <c r="V30" s="162"/>
      <c r="W30" s="162"/>
    </row>
    <row r="31" spans="1:23" s="39" customFormat="1" ht="18" customHeight="1">
      <c r="E31" s="159"/>
      <c r="F31" s="159"/>
      <c r="G31" s="159"/>
      <c r="H31" s="159"/>
      <c r="I31" s="159"/>
      <c r="J31" s="174"/>
      <c r="K31" s="175"/>
      <c r="L31" s="175"/>
      <c r="M31" s="175"/>
      <c r="N31" s="162"/>
      <c r="O31" s="162"/>
      <c r="P31" s="162"/>
      <c r="Q31" s="162"/>
      <c r="R31" s="162"/>
      <c r="S31" s="162"/>
      <c r="T31" s="162"/>
      <c r="U31" s="162"/>
      <c r="V31" s="162"/>
      <c r="W31" s="162"/>
    </row>
    <row r="32" spans="1:23" s="39" customFormat="1" ht="18" customHeight="1">
      <c r="E32" s="808" t="s">
        <v>17</v>
      </c>
      <c r="F32" s="808"/>
      <c r="G32" s="808"/>
      <c r="H32" s="808"/>
      <c r="I32" s="808"/>
      <c r="J32" s="174"/>
      <c r="K32" s="175"/>
      <c r="L32" s="175"/>
      <c r="M32" s="175"/>
      <c r="N32" s="162"/>
      <c r="O32" s="162"/>
      <c r="P32" s="162"/>
      <c r="Q32" s="162"/>
      <c r="R32" s="162"/>
      <c r="S32" s="162"/>
      <c r="T32" s="162"/>
      <c r="U32" s="162"/>
      <c r="V32" s="162"/>
      <c r="W32" s="162"/>
    </row>
    <row r="33" spans="1:23" s="135" customFormat="1" ht="18.75">
      <c r="A33" s="800" t="s">
        <v>50</v>
      </c>
      <c r="B33" s="800"/>
      <c r="C33" s="800"/>
      <c r="D33" s="800"/>
      <c r="E33" s="800" t="s">
        <v>51</v>
      </c>
      <c r="F33" s="800"/>
      <c r="G33" s="800"/>
      <c r="H33" s="800"/>
      <c r="I33" s="800"/>
      <c r="K33" s="177"/>
      <c r="L33" s="177"/>
      <c r="M33" s="177"/>
      <c r="N33" s="178"/>
      <c r="O33" s="178"/>
      <c r="P33" s="178"/>
      <c r="Q33" s="178"/>
      <c r="R33" s="178"/>
      <c r="S33" s="178"/>
      <c r="T33" s="178"/>
      <c r="U33" s="178"/>
      <c r="V33" s="178"/>
      <c r="W33" s="178"/>
    </row>
    <row r="34" spans="1:23" s="39" customFormat="1" ht="16.5">
      <c r="A34" s="85"/>
      <c r="C34" s="85"/>
      <c r="D34" s="85"/>
      <c r="E34" s="160"/>
      <c r="G34" s="160"/>
      <c r="H34" s="160"/>
      <c r="I34" s="160"/>
      <c r="J34" s="139"/>
      <c r="K34" s="175"/>
      <c r="L34" s="175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</row>
    <row r="35" spans="1:23" s="39" customFormat="1" ht="16.5">
      <c r="A35" s="85"/>
      <c r="C35" s="85"/>
      <c r="D35" s="85"/>
      <c r="E35" s="160"/>
      <c r="G35" s="160"/>
      <c r="H35" s="160"/>
      <c r="I35" s="160"/>
      <c r="J35" s="139"/>
      <c r="K35" s="175"/>
      <c r="L35" s="175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</row>
    <row r="36" spans="1:23" s="39" customFormat="1" ht="16.5">
      <c r="A36" s="85"/>
      <c r="C36" s="85"/>
      <c r="D36" s="85"/>
      <c r="E36" s="160"/>
      <c r="G36" s="160"/>
      <c r="H36" s="160"/>
      <c r="I36" s="160"/>
      <c r="J36" s="139"/>
      <c r="K36" s="175"/>
      <c r="L36" s="175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</row>
    <row r="37" spans="1:23" s="39" customFormat="1" ht="16.5">
      <c r="A37" s="85"/>
      <c r="C37" s="85"/>
      <c r="D37" s="85"/>
      <c r="E37" s="160"/>
      <c r="G37" s="160"/>
      <c r="H37" s="160"/>
      <c r="I37" s="160"/>
      <c r="J37" s="139"/>
      <c r="K37" s="175"/>
      <c r="L37" s="175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</row>
    <row r="38" spans="1:23" s="39" customFormat="1" ht="24.75" customHeight="1">
      <c r="A38" s="801" t="s">
        <v>52</v>
      </c>
      <c r="B38" s="801"/>
      <c r="C38" s="801"/>
      <c r="D38" s="801"/>
      <c r="E38" s="801"/>
      <c r="F38" s="801"/>
      <c r="G38" s="801"/>
      <c r="H38" s="801"/>
      <c r="I38" s="801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</row>
    <row r="39" spans="1:23" s="39" customFormat="1" ht="16.5">
      <c r="A39" s="802"/>
      <c r="B39" s="802"/>
      <c r="C39" s="802"/>
      <c r="D39" s="802"/>
      <c r="E39" s="802"/>
      <c r="F39" s="802"/>
      <c r="G39" s="802"/>
      <c r="H39" s="802"/>
      <c r="I39" s="80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</row>
  </sheetData>
  <mergeCells count="26">
    <mergeCell ref="A2:C2"/>
    <mergeCell ref="G2:I2"/>
    <mergeCell ref="A3:C3"/>
    <mergeCell ref="G3:I3"/>
    <mergeCell ref="A4:C4"/>
    <mergeCell ref="G4:I4"/>
    <mergeCell ref="A5:C5"/>
    <mergeCell ref="G5:I5"/>
    <mergeCell ref="A7:I7"/>
    <mergeCell ref="A8:I8"/>
    <mergeCell ref="D11:E11"/>
    <mergeCell ref="F11:G11"/>
    <mergeCell ref="K29:R29"/>
    <mergeCell ref="E32:I32"/>
    <mergeCell ref="A14:D14"/>
    <mergeCell ref="B23:C23"/>
    <mergeCell ref="A25:I25"/>
    <mergeCell ref="A26:I26"/>
    <mergeCell ref="K26:R26"/>
    <mergeCell ref="A33:D33"/>
    <mergeCell ref="E33:I33"/>
    <mergeCell ref="A38:I38"/>
    <mergeCell ref="A39:I39"/>
    <mergeCell ref="E28:I28"/>
    <mergeCell ref="A29:D29"/>
    <mergeCell ref="E29:I29"/>
  </mergeCells>
  <printOptions horizontalCentered="1"/>
  <pageMargins left="0.35433070866141736" right="0.15748031496062992" top="0.59055118110236227" bottom="0.19685039370078741" header="0.15748031496062992" footer="0.15748031496062992"/>
  <pageSetup paperSize="9" scale="6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6"/>
  <sheetViews>
    <sheetView view="pageBreakPreview" topLeftCell="A13" zoomScale="85" zoomScaleNormal="85" zoomScaleSheetLayoutView="85" workbookViewId="0">
      <selection activeCell="F56" sqref="F56:U57"/>
    </sheetView>
  </sheetViews>
  <sheetFormatPr defaultRowHeight="15.75"/>
  <cols>
    <col min="1" max="1" width="5.75" style="540" customWidth="1"/>
    <col min="2" max="2" width="12.25" style="240" customWidth="1"/>
    <col min="3" max="3" width="19.125" style="240" bestFit="1" customWidth="1"/>
    <col min="4" max="4" width="14.125" style="240" customWidth="1"/>
    <col min="5" max="5" width="14.375" style="540" customWidth="1"/>
    <col min="6" max="8" width="3.625" style="240" customWidth="1"/>
    <col min="9" max="9" width="3.625" style="351" customWidth="1"/>
    <col min="10" max="10" width="3.625" style="269" customWidth="1"/>
    <col min="11" max="15" width="3.625" style="240" customWidth="1"/>
    <col min="16" max="16" width="3.625" style="351" customWidth="1"/>
    <col min="17" max="17" width="3.625" style="269" customWidth="1"/>
    <col min="18" max="21" width="3.625" style="240" customWidth="1"/>
    <col min="22" max="22" width="8.25" style="240" customWidth="1"/>
    <col min="23" max="23" width="7.25" style="240" customWidth="1"/>
    <col min="24" max="24" width="6.75" style="240" customWidth="1"/>
    <col min="25" max="25" width="8.375" style="240" customWidth="1"/>
    <col min="26" max="26" width="9" style="240"/>
    <col min="27" max="27" width="10.25" style="240" bestFit="1" customWidth="1"/>
    <col min="28" max="28" width="10.375" style="240" bestFit="1" customWidth="1"/>
    <col min="29" max="29" width="10.25" style="240" bestFit="1" customWidth="1"/>
    <col min="30" max="30" width="9" style="240"/>
    <col min="31" max="31" width="10.25" style="240" bestFit="1" customWidth="1"/>
    <col min="32" max="16384" width="9" style="240"/>
  </cols>
  <sheetData>
    <row r="1" spans="1:31">
      <c r="A1" s="798" t="s">
        <v>0</v>
      </c>
      <c r="B1" s="798"/>
      <c r="C1" s="798"/>
      <c r="D1" s="798"/>
      <c r="E1" s="578"/>
      <c r="F1" s="5"/>
      <c r="G1" s="5"/>
      <c r="H1" s="5"/>
      <c r="I1" s="5"/>
      <c r="J1" s="5"/>
      <c r="K1" s="5"/>
      <c r="L1" s="5"/>
      <c r="M1" s="5"/>
      <c r="N1" s="5"/>
      <c r="O1" s="5"/>
      <c r="P1" s="827" t="s">
        <v>1</v>
      </c>
      <c r="Q1" s="827"/>
      <c r="R1" s="827"/>
      <c r="S1" s="827"/>
      <c r="T1" s="827"/>
      <c r="U1" s="827"/>
      <c r="V1" s="827"/>
      <c r="W1" s="827"/>
      <c r="X1" s="827"/>
      <c r="Y1" s="827"/>
    </row>
    <row r="2" spans="1:31">
      <c r="A2" s="794" t="s">
        <v>2</v>
      </c>
      <c r="B2" s="794"/>
      <c r="C2" s="794"/>
      <c r="D2" s="794"/>
      <c r="E2" s="579"/>
      <c r="F2" s="2"/>
      <c r="G2" s="2"/>
      <c r="H2" s="2"/>
      <c r="I2" s="2"/>
      <c r="J2" s="2"/>
      <c r="K2" s="2"/>
      <c r="L2" s="2"/>
      <c r="M2" s="2"/>
      <c r="N2" s="2"/>
      <c r="O2" s="2"/>
      <c r="P2" s="799" t="s">
        <v>3</v>
      </c>
      <c r="Q2" s="799"/>
      <c r="R2" s="799"/>
      <c r="S2" s="799"/>
      <c r="T2" s="799"/>
      <c r="U2" s="799"/>
      <c r="V2" s="799"/>
      <c r="W2" s="799"/>
      <c r="X2" s="799"/>
      <c r="Y2" s="799"/>
    </row>
    <row r="3" spans="1:31" ht="16.5">
      <c r="A3" s="820" t="s">
        <v>4</v>
      </c>
      <c r="B3" s="820"/>
      <c r="C3" s="820"/>
      <c r="D3" s="820"/>
      <c r="E3" s="730"/>
      <c r="F3" s="5"/>
      <c r="G3" s="5"/>
      <c r="H3" s="5"/>
      <c r="I3" s="5"/>
      <c r="J3" s="5"/>
      <c r="K3" s="5"/>
      <c r="L3" s="5"/>
      <c r="M3" s="5"/>
      <c r="N3" s="5"/>
      <c r="O3" s="5"/>
      <c r="P3" s="827" t="s">
        <v>5</v>
      </c>
      <c r="Q3" s="827"/>
      <c r="R3" s="827"/>
      <c r="S3" s="827"/>
      <c r="T3" s="827"/>
      <c r="U3" s="827"/>
      <c r="V3" s="827"/>
      <c r="W3" s="827"/>
      <c r="X3" s="827"/>
      <c r="Y3" s="827"/>
    </row>
    <row r="4" spans="1:31">
      <c r="A4" s="815" t="s">
        <v>6</v>
      </c>
      <c r="B4" s="815"/>
      <c r="C4" s="815"/>
      <c r="D4" s="815"/>
      <c r="E4" s="582"/>
      <c r="F4" s="4"/>
      <c r="G4" s="4"/>
      <c r="H4" s="4"/>
      <c r="I4" s="4"/>
      <c r="J4" s="4"/>
      <c r="K4" s="4"/>
      <c r="L4" s="4"/>
      <c r="M4" s="4"/>
      <c r="N4" s="4"/>
      <c r="O4" s="4"/>
      <c r="P4" s="795" t="s">
        <v>7</v>
      </c>
      <c r="Q4" s="795"/>
      <c r="R4" s="795"/>
      <c r="S4" s="795"/>
      <c r="T4" s="795"/>
      <c r="U4" s="795"/>
      <c r="V4" s="795"/>
      <c r="W4" s="795"/>
      <c r="X4" s="795"/>
      <c r="Y4" s="795"/>
    </row>
    <row r="5" spans="1:31" ht="12" customHeight="1">
      <c r="A5" s="651"/>
      <c r="B5" s="650"/>
      <c r="C5" s="650"/>
      <c r="D5" s="650"/>
      <c r="E5" s="651"/>
      <c r="F5" s="650"/>
      <c r="G5" s="650"/>
      <c r="H5" s="650"/>
      <c r="I5" s="650"/>
      <c r="J5" s="650"/>
      <c r="K5" s="650"/>
      <c r="L5" s="650"/>
      <c r="M5" s="650"/>
      <c r="N5" s="650"/>
      <c r="O5" s="650"/>
      <c r="P5" s="650"/>
      <c r="Q5" s="650"/>
      <c r="R5" s="650"/>
      <c r="S5" s="650"/>
      <c r="T5" s="650"/>
      <c r="U5" s="650"/>
      <c r="V5" s="650"/>
      <c r="W5" s="650"/>
      <c r="X5" s="650"/>
      <c r="Y5" s="650"/>
    </row>
    <row r="6" spans="1:31" s="258" customFormat="1" ht="22.5" customHeight="1">
      <c r="A6" s="828" t="s">
        <v>361</v>
      </c>
      <c r="B6" s="828"/>
      <c r="C6" s="828"/>
      <c r="D6" s="828"/>
      <c r="E6" s="828"/>
      <c r="F6" s="828"/>
      <c r="G6" s="828"/>
      <c r="H6" s="828"/>
      <c r="I6" s="828"/>
      <c r="J6" s="828"/>
      <c r="K6" s="828"/>
      <c r="L6" s="828"/>
      <c r="M6" s="828"/>
      <c r="N6" s="828"/>
      <c r="O6" s="828"/>
      <c r="P6" s="828"/>
      <c r="Q6" s="828"/>
      <c r="R6" s="828"/>
      <c r="S6" s="828"/>
      <c r="T6" s="828"/>
      <c r="U6" s="828"/>
      <c r="V6" s="828"/>
      <c r="W6" s="828"/>
      <c r="X6" s="828"/>
      <c r="Y6" s="828"/>
    </row>
    <row r="7" spans="1:31" s="258" customFormat="1" ht="21.75" customHeight="1">
      <c r="A7" s="824" t="s">
        <v>376</v>
      </c>
      <c r="B7" s="824"/>
      <c r="C7" s="824"/>
      <c r="D7" s="824"/>
      <c r="E7" s="824"/>
      <c r="F7" s="824"/>
      <c r="G7" s="824"/>
      <c r="H7" s="824"/>
      <c r="I7" s="824"/>
      <c r="J7" s="824"/>
      <c r="K7" s="824"/>
      <c r="L7" s="824"/>
      <c r="M7" s="824"/>
      <c r="N7" s="824"/>
      <c r="O7" s="824"/>
      <c r="P7" s="824"/>
      <c r="Q7" s="824"/>
      <c r="R7" s="824"/>
      <c r="S7" s="824"/>
      <c r="T7" s="824"/>
      <c r="U7" s="824"/>
      <c r="V7" s="824"/>
      <c r="W7" s="824"/>
      <c r="X7" s="824"/>
      <c r="Y7" s="824"/>
    </row>
    <row r="8" spans="1:31" s="258" customFormat="1" ht="30" customHeight="1">
      <c r="A8" s="825" t="s">
        <v>362</v>
      </c>
      <c r="B8" s="825"/>
      <c r="C8" s="825"/>
      <c r="D8" s="825"/>
      <c r="E8" s="825"/>
      <c r="F8" s="825"/>
      <c r="G8" s="825"/>
      <c r="H8" s="825"/>
      <c r="I8" s="825"/>
      <c r="J8" s="825"/>
      <c r="K8" s="825"/>
      <c r="L8" s="825"/>
      <c r="M8" s="825"/>
      <c r="N8" s="825"/>
      <c r="O8" s="825"/>
      <c r="P8" s="825"/>
      <c r="Q8" s="825"/>
      <c r="R8" s="825"/>
      <c r="S8" s="825"/>
      <c r="T8" s="825"/>
      <c r="U8" s="825"/>
      <c r="V8" s="825"/>
      <c r="W8" s="825"/>
      <c r="X8" s="825"/>
      <c r="Y8" s="825"/>
      <c r="Z8" s="304"/>
    </row>
    <row r="9" spans="1:31" s="259" customFormat="1" ht="21.75" customHeight="1">
      <c r="A9" s="799" t="s">
        <v>363</v>
      </c>
      <c r="B9" s="799"/>
      <c r="C9" s="799"/>
      <c r="D9" s="799"/>
      <c r="E9" s="799"/>
      <c r="F9" s="799"/>
      <c r="G9" s="799"/>
      <c r="H9" s="799"/>
      <c r="I9" s="799"/>
      <c r="J9" s="799"/>
      <c r="K9" s="799"/>
      <c r="L9" s="799"/>
      <c r="M9" s="799"/>
      <c r="N9" s="799"/>
      <c r="O9" s="799"/>
      <c r="P9" s="799"/>
      <c r="Q9" s="799"/>
      <c r="R9" s="799"/>
      <c r="S9" s="799"/>
      <c r="T9" s="799"/>
      <c r="U9" s="799"/>
      <c r="V9" s="799"/>
      <c r="W9" s="799"/>
      <c r="X9" s="799"/>
      <c r="Y9" s="799"/>
      <c r="Z9" s="257">
        <f>COUNTIF(F9:T9,"-")</f>
        <v>0</v>
      </c>
    </row>
    <row r="10" spans="1:31" ht="9" customHeight="1">
      <c r="A10" s="731"/>
      <c r="B10" s="623"/>
      <c r="C10" s="623"/>
      <c r="D10" s="623"/>
      <c r="E10" s="732"/>
      <c r="F10" s="826"/>
      <c r="G10" s="826"/>
      <c r="H10" s="826"/>
      <c r="I10" s="826"/>
      <c r="J10" s="826"/>
      <c r="K10" s="826"/>
      <c r="L10" s="826"/>
      <c r="M10" s="826"/>
      <c r="N10" s="826"/>
      <c r="O10" s="826"/>
      <c r="P10" s="826"/>
      <c r="Q10" s="826"/>
      <c r="R10" s="826"/>
      <c r="S10" s="826"/>
      <c r="T10" s="826"/>
      <c r="U10" s="826"/>
      <c r="V10" s="732"/>
      <c r="W10" s="732"/>
      <c r="X10" s="622"/>
      <c r="Y10" s="622"/>
    </row>
    <row r="11" spans="1:31" s="257" customFormat="1" ht="93" customHeight="1">
      <c r="A11" s="733" t="s">
        <v>176</v>
      </c>
      <c r="B11" s="734" t="s">
        <v>267</v>
      </c>
      <c r="C11" s="735" t="s">
        <v>268</v>
      </c>
      <c r="D11" s="733" t="s">
        <v>210</v>
      </c>
      <c r="E11" s="733" t="s">
        <v>269</v>
      </c>
      <c r="F11" s="736">
        <v>16</v>
      </c>
      <c r="G11" s="736">
        <f t="shared" ref="G11:U11" si="0">F11+1</f>
        <v>17</v>
      </c>
      <c r="H11" s="737">
        <f t="shared" si="0"/>
        <v>18</v>
      </c>
      <c r="I11" s="736">
        <f t="shared" si="0"/>
        <v>19</v>
      </c>
      <c r="J11" s="736">
        <f t="shared" si="0"/>
        <v>20</v>
      </c>
      <c r="K11" s="736">
        <f t="shared" si="0"/>
        <v>21</v>
      </c>
      <c r="L11" s="736">
        <f t="shared" si="0"/>
        <v>22</v>
      </c>
      <c r="M11" s="736">
        <f t="shared" si="0"/>
        <v>23</v>
      </c>
      <c r="N11" s="736">
        <f t="shared" si="0"/>
        <v>24</v>
      </c>
      <c r="O11" s="737">
        <f t="shared" si="0"/>
        <v>25</v>
      </c>
      <c r="P11" s="736">
        <f t="shared" si="0"/>
        <v>26</v>
      </c>
      <c r="Q11" s="736">
        <f t="shared" si="0"/>
        <v>27</v>
      </c>
      <c r="R11" s="736">
        <f t="shared" si="0"/>
        <v>28</v>
      </c>
      <c r="S11" s="736">
        <f t="shared" si="0"/>
        <v>29</v>
      </c>
      <c r="T11" s="736">
        <f t="shared" si="0"/>
        <v>30</v>
      </c>
      <c r="U11" s="736">
        <f t="shared" si="0"/>
        <v>31</v>
      </c>
      <c r="V11" s="736" t="s">
        <v>364</v>
      </c>
      <c r="W11" s="736" t="s">
        <v>53</v>
      </c>
      <c r="X11" s="736" t="s">
        <v>211</v>
      </c>
      <c r="Y11" s="733" t="s">
        <v>326</v>
      </c>
      <c r="Z11" s="257" t="s">
        <v>212</v>
      </c>
      <c r="AA11" s="257" t="s">
        <v>213</v>
      </c>
    </row>
    <row r="12" spans="1:31" s="257" customFormat="1" ht="32.1" customHeight="1">
      <c r="A12" s="10">
        <v>1</v>
      </c>
      <c r="B12" s="545" t="s">
        <v>55</v>
      </c>
      <c r="C12" s="332" t="s">
        <v>56</v>
      </c>
      <c r="D12" s="738">
        <v>150952531</v>
      </c>
      <c r="E12" s="739">
        <v>32274</v>
      </c>
      <c r="F12" s="473" t="s">
        <v>214</v>
      </c>
      <c r="G12" s="473" t="s">
        <v>214</v>
      </c>
      <c r="H12" s="473"/>
      <c r="I12" s="473" t="s">
        <v>214</v>
      </c>
      <c r="J12" s="473" t="s">
        <v>214</v>
      </c>
      <c r="K12" s="473" t="s">
        <v>214</v>
      </c>
      <c r="L12" s="473" t="s">
        <v>214</v>
      </c>
      <c r="M12" s="473" t="s">
        <v>214</v>
      </c>
      <c r="N12" s="473" t="s">
        <v>214</v>
      </c>
      <c r="O12" s="473"/>
      <c r="P12" s="466" t="s">
        <v>202</v>
      </c>
      <c r="Q12" s="466" t="s">
        <v>202</v>
      </c>
      <c r="R12" s="473" t="s">
        <v>214</v>
      </c>
      <c r="S12" s="473" t="s">
        <v>214</v>
      </c>
      <c r="T12" s="473" t="s">
        <v>214</v>
      </c>
      <c r="U12" s="473" t="s">
        <v>214</v>
      </c>
      <c r="V12" s="740">
        <v>1</v>
      </c>
      <c r="W12" s="741">
        <f>IF(SUM(Z12:AA12)&lt;=2,1,0)</f>
        <v>0</v>
      </c>
      <c r="X12" s="742">
        <f t="shared" ref="X12:X20" si="1">COUNTIF(F12:U12,"X")+0.5*COUNTIF(F12:U12,"/")+COUNTIF(F12:U12,"R1")+COUNTIF(F12:U12,"R")+COUNTIF(F12:U12,"R")+COUNTIF(F12:U12,"Xcv")</f>
        <v>12</v>
      </c>
      <c r="Y12" s="736"/>
      <c r="Z12" s="2">
        <v>1</v>
      </c>
      <c r="AA12" s="257">
        <f>COUNTIF(F12:U12,"-")</f>
        <v>2</v>
      </c>
      <c r="AB12" s="242">
        <f>ROUND(AD12/AC12,4)</f>
        <v>9.0899999999999995E-2</v>
      </c>
      <c r="AC12" s="242">
        <v>11</v>
      </c>
      <c r="AD12" s="243">
        <f>V12</f>
        <v>1</v>
      </c>
      <c r="AE12" s="244">
        <f>ROUND(AD12*31947,0)</f>
        <v>31947</v>
      </c>
    </row>
    <row r="13" spans="1:31" s="257" customFormat="1" ht="32.1" customHeight="1">
      <c r="A13" s="10">
        <f>+A12+1</f>
        <v>2</v>
      </c>
      <c r="B13" s="332" t="s">
        <v>57</v>
      </c>
      <c r="C13" s="546" t="s">
        <v>58</v>
      </c>
      <c r="D13" s="738">
        <v>110471355</v>
      </c>
      <c r="E13" s="739">
        <v>27485</v>
      </c>
      <c r="F13" s="473" t="s">
        <v>214</v>
      </c>
      <c r="G13" s="473" t="s">
        <v>214</v>
      </c>
      <c r="H13" s="473"/>
      <c r="I13" s="473" t="s">
        <v>214</v>
      </c>
      <c r="J13" s="473" t="s">
        <v>214</v>
      </c>
      <c r="K13" s="473" t="s">
        <v>214</v>
      </c>
      <c r="L13" s="473" t="s">
        <v>214</v>
      </c>
      <c r="M13" s="473" t="s">
        <v>214</v>
      </c>
      <c r="N13" s="473" t="s">
        <v>214</v>
      </c>
      <c r="O13" s="473"/>
      <c r="P13" s="473" t="s">
        <v>214</v>
      </c>
      <c r="Q13" s="473" t="s">
        <v>214</v>
      </c>
      <c r="R13" s="473" t="s">
        <v>214</v>
      </c>
      <c r="S13" s="473" t="s">
        <v>214</v>
      </c>
      <c r="T13" s="473" t="s">
        <v>214</v>
      </c>
      <c r="U13" s="473" t="s">
        <v>214</v>
      </c>
      <c r="V13" s="740">
        <v>1</v>
      </c>
      <c r="W13" s="626">
        <f>IF(SUM(Z13:AA13)&lt;=2,1,0)</f>
        <v>1</v>
      </c>
      <c r="X13" s="742">
        <f t="shared" si="1"/>
        <v>14</v>
      </c>
      <c r="Y13" s="743"/>
      <c r="Z13" s="2">
        <v>0</v>
      </c>
      <c r="AA13" s="257">
        <f t="shared" ref="AA13:AA14" si="2">COUNTIF(F13:U13,"-")</f>
        <v>0</v>
      </c>
      <c r="AB13" s="242">
        <f>ROUND(AD13/AC13,4)</f>
        <v>9.0899999999999995E-2</v>
      </c>
      <c r="AC13" s="242">
        <v>11</v>
      </c>
      <c r="AD13" s="243">
        <f>V13</f>
        <v>1</v>
      </c>
      <c r="AE13" s="244">
        <f>ROUND(AD13*31947,0)</f>
        <v>31947</v>
      </c>
    </row>
    <row r="14" spans="1:31" s="257" customFormat="1" ht="32.1" customHeight="1">
      <c r="A14" s="10">
        <f>+A13+1</f>
        <v>3</v>
      </c>
      <c r="B14" s="545" t="s">
        <v>60</v>
      </c>
      <c r="C14" s="332" t="s">
        <v>61</v>
      </c>
      <c r="D14" s="738">
        <v>150981478</v>
      </c>
      <c r="E14" s="739">
        <v>28166</v>
      </c>
      <c r="F14" s="473" t="s">
        <v>202</v>
      </c>
      <c r="G14" s="473" t="s">
        <v>214</v>
      </c>
      <c r="H14" s="473"/>
      <c r="I14" s="473" t="s">
        <v>214</v>
      </c>
      <c r="J14" s="473" t="s">
        <v>214</v>
      </c>
      <c r="K14" s="473" t="s">
        <v>214</v>
      </c>
      <c r="L14" s="473" t="s">
        <v>214</v>
      </c>
      <c r="M14" s="473" t="s">
        <v>214</v>
      </c>
      <c r="N14" s="473" t="s">
        <v>214</v>
      </c>
      <c r="O14" s="473"/>
      <c r="P14" s="473" t="s">
        <v>214</v>
      </c>
      <c r="Q14" s="473" t="s">
        <v>214</v>
      </c>
      <c r="R14" s="473" t="s">
        <v>214</v>
      </c>
      <c r="S14" s="473" t="s">
        <v>214</v>
      </c>
      <c r="T14" s="473" t="s">
        <v>214</v>
      </c>
      <c r="U14" s="473" t="s">
        <v>214</v>
      </c>
      <c r="V14" s="740">
        <v>1</v>
      </c>
      <c r="W14" s="626">
        <f t="shared" ref="W14:W19" si="3">IF(SUM(Z14:AA14)&lt;=2,1,0)</f>
        <v>1</v>
      </c>
      <c r="X14" s="742">
        <f t="shared" si="1"/>
        <v>13</v>
      </c>
      <c r="Y14" s="743"/>
      <c r="Z14" s="348">
        <v>0</v>
      </c>
      <c r="AA14" s="257">
        <f t="shared" si="2"/>
        <v>1</v>
      </c>
      <c r="AB14" s="242">
        <f>ROUND(AD14/AC14,4)</f>
        <v>8.4500000000000006E-2</v>
      </c>
      <c r="AC14" s="242">
        <v>10</v>
      </c>
      <c r="AD14" s="243">
        <f>V14*0.8451</f>
        <v>0.84509999999999996</v>
      </c>
      <c r="AE14" s="244">
        <f>ROUND(AD14*31947,0)</f>
        <v>26998</v>
      </c>
    </row>
    <row r="15" spans="1:31" s="257" customFormat="1" ht="32.1" customHeight="1">
      <c r="A15" s="10">
        <f>+A14+1</f>
        <v>4</v>
      </c>
      <c r="B15" s="547" t="s">
        <v>62</v>
      </c>
      <c r="C15" s="548" t="s">
        <v>63</v>
      </c>
      <c r="D15" s="738">
        <v>150644309</v>
      </c>
      <c r="E15" s="739">
        <v>30376</v>
      </c>
      <c r="F15" s="473" t="s">
        <v>214</v>
      </c>
      <c r="G15" s="473" t="s">
        <v>214</v>
      </c>
      <c r="H15" s="473"/>
      <c r="I15" s="473" t="s">
        <v>214</v>
      </c>
      <c r="J15" s="473" t="s">
        <v>214</v>
      </c>
      <c r="K15" s="473" t="s">
        <v>214</v>
      </c>
      <c r="L15" s="473" t="s">
        <v>214</v>
      </c>
      <c r="M15" s="473" t="s">
        <v>214</v>
      </c>
      <c r="N15" s="473" t="s">
        <v>214</v>
      </c>
      <c r="O15" s="473"/>
      <c r="P15" s="473" t="s">
        <v>214</v>
      </c>
      <c r="Q15" s="473" t="s">
        <v>214</v>
      </c>
      <c r="R15" s="473" t="s">
        <v>214</v>
      </c>
      <c r="S15" s="473" t="s">
        <v>214</v>
      </c>
      <c r="T15" s="473" t="s">
        <v>214</v>
      </c>
      <c r="U15" s="473" t="s">
        <v>214</v>
      </c>
      <c r="V15" s="740">
        <v>1</v>
      </c>
      <c r="W15" s="626">
        <f t="shared" si="3"/>
        <v>1</v>
      </c>
      <c r="X15" s="742">
        <f t="shared" si="1"/>
        <v>14</v>
      </c>
      <c r="Y15" s="743"/>
      <c r="Z15" s="348">
        <v>0</v>
      </c>
      <c r="AA15" s="257">
        <f>COUNTIF(F15:T15,"-")</f>
        <v>0</v>
      </c>
      <c r="AB15" s="242">
        <f>ROUND(AD15/AC15,4)</f>
        <v>0.1138</v>
      </c>
      <c r="AC15" s="242">
        <v>11</v>
      </c>
      <c r="AD15" s="243">
        <f>V15*1.2521</f>
        <v>1.2521</v>
      </c>
      <c r="AE15" s="244">
        <f>ROUND(AD15*31947,0)</f>
        <v>40001</v>
      </c>
    </row>
    <row r="16" spans="1:31" s="257" customFormat="1" ht="32.1" customHeight="1">
      <c r="A16" s="10"/>
      <c r="B16" s="547" t="s">
        <v>62</v>
      </c>
      <c r="C16" s="548" t="s">
        <v>63</v>
      </c>
      <c r="D16" s="738" t="s">
        <v>215</v>
      </c>
      <c r="E16" s="739"/>
      <c r="F16" s="306" t="s">
        <v>216</v>
      </c>
      <c r="G16" s="306"/>
      <c r="H16" s="306"/>
      <c r="I16" s="306" t="s">
        <v>216</v>
      </c>
      <c r="J16" s="306" t="s">
        <v>216</v>
      </c>
      <c r="K16" s="306" t="s">
        <v>216</v>
      </c>
      <c r="L16" s="306" t="s">
        <v>216</v>
      </c>
      <c r="M16" s="306" t="s">
        <v>216</v>
      </c>
      <c r="N16" s="306" t="s">
        <v>216</v>
      </c>
      <c r="O16" s="306"/>
      <c r="P16" s="306" t="s">
        <v>216</v>
      </c>
      <c r="Q16" s="306" t="s">
        <v>216</v>
      </c>
      <c r="R16" s="306" t="s">
        <v>216</v>
      </c>
      <c r="S16" s="306" t="s">
        <v>216</v>
      </c>
      <c r="T16" s="306" t="s">
        <v>216</v>
      </c>
      <c r="U16" s="306" t="s">
        <v>216</v>
      </c>
      <c r="V16" s="306"/>
      <c r="W16" s="626"/>
      <c r="X16" s="742">
        <f t="shared" si="1"/>
        <v>6.5</v>
      </c>
      <c r="Y16" s="743"/>
      <c r="AB16" s="243">
        <f>V16</f>
        <v>0</v>
      </c>
      <c r="AE16" s="244">
        <f>AB16*5000</f>
        <v>0</v>
      </c>
    </row>
    <row r="17" spans="1:31" s="257" customFormat="1" ht="32.1" customHeight="1">
      <c r="A17" s="10">
        <v>5</v>
      </c>
      <c r="B17" s="545" t="s">
        <v>64</v>
      </c>
      <c r="C17" s="332" t="s">
        <v>65</v>
      </c>
      <c r="D17" s="738">
        <v>220195668</v>
      </c>
      <c r="E17" s="739">
        <v>37000</v>
      </c>
      <c r="F17" s="473" t="s">
        <v>214</v>
      </c>
      <c r="G17" s="473" t="s">
        <v>214</v>
      </c>
      <c r="H17" s="473"/>
      <c r="I17" s="473" t="s">
        <v>214</v>
      </c>
      <c r="J17" s="473" t="s">
        <v>214</v>
      </c>
      <c r="K17" s="473" t="s">
        <v>214</v>
      </c>
      <c r="L17" s="473" t="s">
        <v>214</v>
      </c>
      <c r="M17" s="473" t="s">
        <v>214</v>
      </c>
      <c r="N17" s="473" t="s">
        <v>214</v>
      </c>
      <c r="O17" s="473"/>
      <c r="P17" s="473" t="s">
        <v>214</v>
      </c>
      <c r="Q17" s="473" t="s">
        <v>214</v>
      </c>
      <c r="R17" s="473" t="s">
        <v>214</v>
      </c>
      <c r="S17" s="473"/>
      <c r="T17" s="306" t="s">
        <v>216</v>
      </c>
      <c r="U17" s="473" t="s">
        <v>214</v>
      </c>
      <c r="V17" s="740">
        <v>1</v>
      </c>
      <c r="W17" s="626">
        <f t="shared" si="3"/>
        <v>1</v>
      </c>
      <c r="X17" s="742">
        <f t="shared" si="1"/>
        <v>12.5</v>
      </c>
      <c r="Y17" s="744"/>
      <c r="Z17" s="348">
        <v>0</v>
      </c>
      <c r="AA17" s="257">
        <f>COUNTIF(F17:T17,"-")</f>
        <v>0</v>
      </c>
      <c r="AB17" s="242">
        <f>ROUND(AD17/AC17,4)</f>
        <v>0.1138</v>
      </c>
      <c r="AC17" s="242">
        <v>11</v>
      </c>
      <c r="AD17" s="243">
        <f>V17*1.2521</f>
        <v>1.2521</v>
      </c>
      <c r="AE17" s="244">
        <f>ROUND(AD17*31947,0)</f>
        <v>40001</v>
      </c>
    </row>
    <row r="18" spans="1:31" s="257" customFormat="1" ht="32.1" customHeight="1">
      <c r="A18" s="10"/>
      <c r="B18" s="545" t="s">
        <v>64</v>
      </c>
      <c r="C18" s="332" t="s">
        <v>65</v>
      </c>
      <c r="D18" s="738" t="s">
        <v>215</v>
      </c>
      <c r="E18" s="739"/>
      <c r="F18" s="306" t="s">
        <v>216</v>
      </c>
      <c r="G18" s="306"/>
      <c r="H18" s="306"/>
      <c r="I18" s="306"/>
      <c r="J18" s="306" t="s">
        <v>216</v>
      </c>
      <c r="K18" s="306" t="s">
        <v>216</v>
      </c>
      <c r="L18" s="306" t="s">
        <v>216</v>
      </c>
      <c r="M18" s="306" t="s">
        <v>216</v>
      </c>
      <c r="N18" s="306" t="s">
        <v>216</v>
      </c>
      <c r="O18" s="306"/>
      <c r="P18" s="306"/>
      <c r="Q18" s="306" t="s">
        <v>216</v>
      </c>
      <c r="R18" s="306" t="s">
        <v>216</v>
      </c>
      <c r="S18" s="306"/>
      <c r="T18" s="306"/>
      <c r="U18" s="306"/>
      <c r="V18" s="306"/>
      <c r="W18" s="626"/>
      <c r="X18" s="742">
        <f t="shared" si="1"/>
        <v>4</v>
      </c>
      <c r="Y18" s="743"/>
      <c r="AB18" s="243">
        <f>V18</f>
        <v>0</v>
      </c>
      <c r="AE18" s="244">
        <f>AB18*5000</f>
        <v>0</v>
      </c>
    </row>
    <row r="19" spans="1:31" s="257" customFormat="1" ht="32.1" customHeight="1">
      <c r="A19" s="10">
        <v>6</v>
      </c>
      <c r="B19" s="549" t="s">
        <v>66</v>
      </c>
      <c r="C19" s="550" t="s">
        <v>67</v>
      </c>
      <c r="D19" s="738">
        <v>220208913</v>
      </c>
      <c r="E19" s="739">
        <v>36814</v>
      </c>
      <c r="F19" s="473" t="s">
        <v>214</v>
      </c>
      <c r="G19" s="473" t="s">
        <v>214</v>
      </c>
      <c r="H19" s="473"/>
      <c r="I19" s="473" t="s">
        <v>214</v>
      </c>
      <c r="J19" s="473" t="s">
        <v>214</v>
      </c>
      <c r="K19" s="473" t="s">
        <v>214</v>
      </c>
      <c r="L19" s="473" t="s">
        <v>214</v>
      </c>
      <c r="M19" s="473" t="s">
        <v>214</v>
      </c>
      <c r="N19" s="473" t="s">
        <v>214</v>
      </c>
      <c r="O19" s="473"/>
      <c r="P19" s="473" t="s">
        <v>214</v>
      </c>
      <c r="Q19" s="473" t="s">
        <v>214</v>
      </c>
      <c r="R19" s="473" t="s">
        <v>214</v>
      </c>
      <c r="S19" s="473" t="s">
        <v>214</v>
      </c>
      <c r="T19" s="473" t="s">
        <v>214</v>
      </c>
      <c r="U19" s="473" t="s">
        <v>214</v>
      </c>
      <c r="V19" s="740">
        <v>1</v>
      </c>
      <c r="W19" s="626">
        <f t="shared" si="3"/>
        <v>1</v>
      </c>
      <c r="X19" s="742">
        <f t="shared" si="1"/>
        <v>14</v>
      </c>
      <c r="Y19" s="743"/>
      <c r="Z19" s="348">
        <v>0</v>
      </c>
      <c r="AA19" s="257">
        <f>COUNTIF(F19:T19,"-")</f>
        <v>0</v>
      </c>
      <c r="AB19" s="243">
        <f>V19*1.2521</f>
        <v>1.2521</v>
      </c>
      <c r="AC19" s="244">
        <f>ROUND(V19*31947,0)</f>
        <v>31947</v>
      </c>
    </row>
    <row r="20" spans="1:31" s="257" customFormat="1" ht="32.1" customHeight="1">
      <c r="A20" s="10"/>
      <c r="B20" s="549" t="s">
        <v>66</v>
      </c>
      <c r="C20" s="550" t="s">
        <v>67</v>
      </c>
      <c r="D20" s="738" t="s">
        <v>215</v>
      </c>
      <c r="E20" s="739"/>
      <c r="F20" s="306" t="s">
        <v>216</v>
      </c>
      <c r="G20" s="306"/>
      <c r="H20" s="306"/>
      <c r="I20" s="306" t="s">
        <v>216</v>
      </c>
      <c r="J20" s="306" t="s">
        <v>216</v>
      </c>
      <c r="K20" s="306" t="s">
        <v>216</v>
      </c>
      <c r="L20" s="306" t="s">
        <v>216</v>
      </c>
      <c r="M20" s="306" t="s">
        <v>216</v>
      </c>
      <c r="N20" s="306" t="s">
        <v>216</v>
      </c>
      <c r="O20" s="306"/>
      <c r="P20" s="306" t="s">
        <v>216</v>
      </c>
      <c r="Q20" s="306" t="s">
        <v>216</v>
      </c>
      <c r="R20" s="306" t="s">
        <v>216</v>
      </c>
      <c r="S20" s="306" t="s">
        <v>216</v>
      </c>
      <c r="T20" s="306" t="s">
        <v>216</v>
      </c>
      <c r="U20" s="306" t="s">
        <v>216</v>
      </c>
      <c r="V20" s="306"/>
      <c r="W20" s="626"/>
      <c r="X20" s="742">
        <f t="shared" si="1"/>
        <v>6.5</v>
      </c>
      <c r="Y20" s="743"/>
      <c r="AB20" s="243">
        <f>V20</f>
        <v>0</v>
      </c>
      <c r="AC20" s="244">
        <f>V20*5000</f>
        <v>0</v>
      </c>
    </row>
    <row r="21" spans="1:31" s="257" customFormat="1" ht="30" customHeight="1">
      <c r="A21" s="10">
        <f>+A19+1</f>
        <v>7</v>
      </c>
      <c r="B21" s="453" t="s">
        <v>68</v>
      </c>
      <c r="C21" s="551" t="s">
        <v>69</v>
      </c>
      <c r="D21" s="745">
        <v>150911076</v>
      </c>
      <c r="E21" s="746">
        <v>37169</v>
      </c>
      <c r="F21" s="626"/>
      <c r="G21" s="626"/>
      <c r="H21" s="626"/>
      <c r="I21" s="626"/>
      <c r="J21" s="627" t="s">
        <v>214</v>
      </c>
      <c r="K21" s="627" t="s">
        <v>214</v>
      </c>
      <c r="L21" s="627" t="s">
        <v>214</v>
      </c>
      <c r="M21" s="627" t="s">
        <v>214</v>
      </c>
      <c r="N21" s="627" t="s">
        <v>214</v>
      </c>
      <c r="O21" s="627"/>
      <c r="P21" s="627"/>
      <c r="Q21" s="627"/>
      <c r="R21" s="627"/>
      <c r="S21" s="627"/>
      <c r="T21" s="627"/>
      <c r="U21" s="627"/>
      <c r="V21" s="740">
        <v>1</v>
      </c>
      <c r="W21" s="626">
        <f t="shared" ref="W21:W42" si="4">IF(SUM(Z21:AA21)&lt;=2,1,0)</f>
        <v>1</v>
      </c>
      <c r="X21" s="747">
        <f t="shared" ref="X21:X42" si="5">COUNTIF(F21:U21,"X")+0.5*COUNTIF(F21:U21,"/")+COUNTIF(F21:U21,"R1")+COUNTIF(F21:U21,"R")+COUNTIF(F21:U21,"R")+COUNTIF(F21:U21,"Xcv")</f>
        <v>5</v>
      </c>
      <c r="Y21" s="743"/>
      <c r="Z21" s="2">
        <v>0</v>
      </c>
      <c r="AA21" s="257">
        <f t="shared" ref="AA21:AA49" si="6">COUNTIF(F21:T21,"-")</f>
        <v>0</v>
      </c>
      <c r="AB21" s="243"/>
      <c r="AC21" s="244"/>
    </row>
    <row r="22" spans="1:31" s="257" customFormat="1" ht="30" customHeight="1">
      <c r="A22" s="10">
        <f>A21+1</f>
        <v>8</v>
      </c>
      <c r="B22" s="552" t="s">
        <v>70</v>
      </c>
      <c r="C22" s="455" t="s">
        <v>71</v>
      </c>
      <c r="D22" s="745">
        <v>220102094</v>
      </c>
      <c r="E22" s="746">
        <v>34977</v>
      </c>
      <c r="F22" s="626"/>
      <c r="G22" s="626"/>
      <c r="H22" s="626"/>
      <c r="I22" s="626"/>
      <c r="J22" s="627" t="s">
        <v>214</v>
      </c>
      <c r="K22" s="627" t="s">
        <v>214</v>
      </c>
      <c r="L22" s="627" t="s">
        <v>214</v>
      </c>
      <c r="M22" s="627" t="s">
        <v>214</v>
      </c>
      <c r="N22" s="627" t="s">
        <v>214</v>
      </c>
      <c r="O22" s="627"/>
      <c r="P22" s="627"/>
      <c r="Q22" s="627"/>
      <c r="R22" s="627"/>
      <c r="S22" s="627"/>
      <c r="T22" s="627"/>
      <c r="U22" s="627"/>
      <c r="V22" s="740">
        <v>1</v>
      </c>
      <c r="W22" s="626">
        <f t="shared" si="4"/>
        <v>1</v>
      </c>
      <c r="X22" s="747">
        <f t="shared" si="5"/>
        <v>5</v>
      </c>
      <c r="Y22" s="743"/>
      <c r="Z22" s="2">
        <v>1</v>
      </c>
      <c r="AA22" s="257">
        <f t="shared" si="6"/>
        <v>0</v>
      </c>
      <c r="AB22" s="243"/>
      <c r="AC22" s="244"/>
    </row>
    <row r="23" spans="1:31" s="257" customFormat="1" ht="30" customHeight="1">
      <c r="A23" s="10">
        <f>A22+1</f>
        <v>9</v>
      </c>
      <c r="B23" s="552" t="s">
        <v>74</v>
      </c>
      <c r="C23" s="553" t="s">
        <v>75</v>
      </c>
      <c r="D23" s="745">
        <v>210050404</v>
      </c>
      <c r="E23" s="746">
        <v>35370</v>
      </c>
      <c r="F23" s="626"/>
      <c r="G23" s="626"/>
      <c r="H23" s="626"/>
      <c r="I23" s="626"/>
      <c r="J23" s="627" t="s">
        <v>214</v>
      </c>
      <c r="K23" s="627" t="s">
        <v>214</v>
      </c>
      <c r="L23" s="627" t="s">
        <v>214</v>
      </c>
      <c r="M23" s="627" t="s">
        <v>214</v>
      </c>
      <c r="N23" s="658" t="s">
        <v>202</v>
      </c>
      <c r="O23" s="627"/>
      <c r="P23" s="627"/>
      <c r="Q23" s="627"/>
      <c r="R23" s="627"/>
      <c r="S23" s="627"/>
      <c r="T23" s="627"/>
      <c r="U23" s="627"/>
      <c r="V23" s="740">
        <v>1</v>
      </c>
      <c r="W23" s="626">
        <f t="shared" si="4"/>
        <v>1</v>
      </c>
      <c r="X23" s="747">
        <f t="shared" si="5"/>
        <v>4</v>
      </c>
      <c r="Y23" s="743"/>
      <c r="Z23" s="2">
        <v>0</v>
      </c>
      <c r="AA23" s="257">
        <f t="shared" si="6"/>
        <v>1</v>
      </c>
      <c r="AB23" s="243"/>
      <c r="AC23" s="244"/>
    </row>
    <row r="24" spans="1:31" s="257" customFormat="1" ht="30" customHeight="1">
      <c r="A24" s="10">
        <f>A23+1</f>
        <v>10</v>
      </c>
      <c r="B24" s="552" t="s">
        <v>76</v>
      </c>
      <c r="C24" s="554" t="s">
        <v>77</v>
      </c>
      <c r="D24" s="748">
        <v>151006137</v>
      </c>
      <c r="E24" s="746">
        <v>38944</v>
      </c>
      <c r="F24" s="626"/>
      <c r="G24" s="626"/>
      <c r="H24" s="626"/>
      <c r="I24" s="626"/>
      <c r="J24" s="627" t="s">
        <v>214</v>
      </c>
      <c r="K24" s="627" t="s">
        <v>214</v>
      </c>
      <c r="L24" s="627" t="s">
        <v>214</v>
      </c>
      <c r="M24" s="627" t="s">
        <v>214</v>
      </c>
      <c r="N24" s="627" t="s">
        <v>214</v>
      </c>
      <c r="O24" s="627"/>
      <c r="P24" s="627"/>
      <c r="Q24" s="627"/>
      <c r="R24" s="627"/>
      <c r="S24" s="627"/>
      <c r="T24" s="627"/>
      <c r="U24" s="627"/>
      <c r="V24" s="740">
        <v>1</v>
      </c>
      <c r="W24" s="626">
        <f t="shared" si="4"/>
        <v>1</v>
      </c>
      <c r="X24" s="747">
        <f t="shared" si="5"/>
        <v>5</v>
      </c>
      <c r="Y24" s="743"/>
      <c r="Z24" s="2">
        <v>1</v>
      </c>
      <c r="AA24" s="257">
        <f t="shared" si="6"/>
        <v>0</v>
      </c>
      <c r="AB24" s="243"/>
      <c r="AC24" s="244"/>
    </row>
    <row r="25" spans="1:31" s="257" customFormat="1" ht="30" customHeight="1">
      <c r="A25" s="10">
        <f t="shared" ref="A25:A42" si="7">A24+1</f>
        <v>11</v>
      </c>
      <c r="B25" s="552" t="s">
        <v>78</v>
      </c>
      <c r="C25" s="555" t="s">
        <v>79</v>
      </c>
      <c r="D25" s="745" t="s">
        <v>183</v>
      </c>
      <c r="E25" s="749">
        <v>34973</v>
      </c>
      <c r="F25" s="626"/>
      <c r="G25" s="626"/>
      <c r="H25" s="626"/>
      <c r="I25" s="626"/>
      <c r="J25" s="627" t="s">
        <v>214</v>
      </c>
      <c r="K25" s="658" t="s">
        <v>202</v>
      </c>
      <c r="L25" s="627" t="s">
        <v>214</v>
      </c>
      <c r="M25" s="627" t="s">
        <v>214</v>
      </c>
      <c r="N25" s="627" t="s">
        <v>214</v>
      </c>
      <c r="O25" s="627"/>
      <c r="P25" s="627"/>
      <c r="Q25" s="627"/>
      <c r="R25" s="627"/>
      <c r="S25" s="627"/>
      <c r="T25" s="627"/>
      <c r="U25" s="627"/>
      <c r="V25" s="740">
        <v>1</v>
      </c>
      <c r="W25" s="626">
        <f t="shared" si="4"/>
        <v>1</v>
      </c>
      <c r="X25" s="747">
        <f t="shared" si="5"/>
        <v>4</v>
      </c>
      <c r="Y25" s="743"/>
      <c r="Z25" s="2">
        <v>1</v>
      </c>
      <c r="AA25" s="257">
        <f t="shared" si="6"/>
        <v>1</v>
      </c>
      <c r="AB25" s="243"/>
      <c r="AC25" s="244"/>
    </row>
    <row r="26" spans="1:31" s="257" customFormat="1" ht="30" customHeight="1">
      <c r="A26" s="10">
        <f t="shared" si="7"/>
        <v>12</v>
      </c>
      <c r="B26" s="552" t="s">
        <v>80</v>
      </c>
      <c r="C26" s="555" t="s">
        <v>81</v>
      </c>
      <c r="D26" s="745">
        <v>150469697</v>
      </c>
      <c r="E26" s="746">
        <v>33704</v>
      </c>
      <c r="F26" s="626"/>
      <c r="G26" s="626"/>
      <c r="H26" s="626"/>
      <c r="I26" s="626"/>
      <c r="J26" s="627" t="s">
        <v>214</v>
      </c>
      <c r="K26" s="658" t="s">
        <v>202</v>
      </c>
      <c r="L26" s="627" t="s">
        <v>214</v>
      </c>
      <c r="M26" s="627" t="s">
        <v>214</v>
      </c>
      <c r="N26" s="627" t="s">
        <v>214</v>
      </c>
      <c r="O26" s="627"/>
      <c r="P26" s="627"/>
      <c r="Q26" s="627"/>
      <c r="R26" s="627"/>
      <c r="S26" s="627"/>
      <c r="T26" s="627"/>
      <c r="U26" s="627"/>
      <c r="V26" s="740">
        <v>1</v>
      </c>
      <c r="W26" s="626">
        <f t="shared" si="4"/>
        <v>1</v>
      </c>
      <c r="X26" s="747">
        <f t="shared" si="5"/>
        <v>4</v>
      </c>
      <c r="Y26" s="743"/>
      <c r="Z26" s="2">
        <v>1</v>
      </c>
      <c r="AA26" s="257">
        <f t="shared" si="6"/>
        <v>1</v>
      </c>
      <c r="AB26" s="243"/>
      <c r="AC26" s="244"/>
    </row>
    <row r="27" spans="1:31" s="257" customFormat="1" ht="30" customHeight="1">
      <c r="A27" s="10">
        <f t="shared" si="7"/>
        <v>13</v>
      </c>
      <c r="B27" s="552" t="s">
        <v>82</v>
      </c>
      <c r="C27" s="555" t="s">
        <v>83</v>
      </c>
      <c r="D27" s="745">
        <v>150927708</v>
      </c>
      <c r="E27" s="746">
        <v>37085</v>
      </c>
      <c r="F27" s="626"/>
      <c r="G27" s="626"/>
      <c r="H27" s="626"/>
      <c r="I27" s="626"/>
      <c r="J27" s="627" t="s">
        <v>214</v>
      </c>
      <c r="K27" s="627" t="s">
        <v>214</v>
      </c>
      <c r="L27" s="627" t="s">
        <v>214</v>
      </c>
      <c r="M27" s="627" t="s">
        <v>214</v>
      </c>
      <c r="N27" s="627" t="s">
        <v>214</v>
      </c>
      <c r="O27" s="627"/>
      <c r="P27" s="627"/>
      <c r="Q27" s="627"/>
      <c r="R27" s="627"/>
      <c r="S27" s="627"/>
      <c r="T27" s="627"/>
      <c r="U27" s="627"/>
      <c r="V27" s="740">
        <v>1</v>
      </c>
      <c r="W27" s="741">
        <f t="shared" si="4"/>
        <v>0</v>
      </c>
      <c r="X27" s="747">
        <f t="shared" si="5"/>
        <v>5</v>
      </c>
      <c r="Y27" s="743"/>
      <c r="Z27" s="2">
        <v>4</v>
      </c>
      <c r="AA27" s="257">
        <f t="shared" si="6"/>
        <v>0</v>
      </c>
      <c r="AB27" s="243"/>
      <c r="AC27" s="244"/>
    </row>
    <row r="28" spans="1:31" s="257" customFormat="1" ht="30" customHeight="1">
      <c r="A28" s="10">
        <f t="shared" si="7"/>
        <v>14</v>
      </c>
      <c r="B28" s="556" t="s">
        <v>84</v>
      </c>
      <c r="C28" s="557" t="s">
        <v>85</v>
      </c>
      <c r="D28" s="745">
        <v>151034061</v>
      </c>
      <c r="E28" s="746">
        <v>39153</v>
      </c>
      <c r="F28" s="626"/>
      <c r="G28" s="626"/>
      <c r="H28" s="626"/>
      <c r="I28" s="626"/>
      <c r="J28" s="658" t="s">
        <v>202</v>
      </c>
      <c r="K28" s="658" t="s">
        <v>202</v>
      </c>
      <c r="L28" s="627" t="s">
        <v>214</v>
      </c>
      <c r="M28" s="658" t="s">
        <v>202</v>
      </c>
      <c r="N28" s="658" t="s">
        <v>202</v>
      </c>
      <c r="O28" s="627"/>
      <c r="P28" s="627"/>
      <c r="Q28" s="627"/>
      <c r="R28" s="627"/>
      <c r="S28" s="627"/>
      <c r="T28" s="627"/>
      <c r="U28" s="627"/>
      <c r="V28" s="740">
        <v>1</v>
      </c>
      <c r="W28" s="741">
        <f t="shared" si="4"/>
        <v>0</v>
      </c>
      <c r="X28" s="747">
        <f t="shared" si="5"/>
        <v>1</v>
      </c>
      <c r="Y28" s="743"/>
      <c r="Z28" s="2">
        <v>0</v>
      </c>
      <c r="AA28" s="257">
        <f t="shared" si="6"/>
        <v>4</v>
      </c>
      <c r="AB28" s="243"/>
      <c r="AC28" s="244"/>
    </row>
    <row r="29" spans="1:31" s="257" customFormat="1" ht="30" customHeight="1">
      <c r="A29" s="10">
        <f t="shared" si="7"/>
        <v>15</v>
      </c>
      <c r="B29" s="558" t="s">
        <v>86</v>
      </c>
      <c r="C29" s="559" t="s">
        <v>87</v>
      </c>
      <c r="D29" s="745">
        <v>150911069</v>
      </c>
      <c r="E29" s="746">
        <v>37366</v>
      </c>
      <c r="F29" s="626"/>
      <c r="G29" s="626"/>
      <c r="H29" s="626"/>
      <c r="I29" s="626"/>
      <c r="J29" s="627" t="s">
        <v>214</v>
      </c>
      <c r="K29" s="627" t="s">
        <v>214</v>
      </c>
      <c r="L29" s="658" t="s">
        <v>202</v>
      </c>
      <c r="M29" s="627" t="s">
        <v>214</v>
      </c>
      <c r="N29" s="627" t="s">
        <v>214</v>
      </c>
      <c r="O29" s="627"/>
      <c r="P29" s="627"/>
      <c r="Q29" s="627"/>
      <c r="R29" s="627"/>
      <c r="S29" s="627"/>
      <c r="T29" s="627"/>
      <c r="U29" s="627"/>
      <c r="V29" s="740">
        <v>1</v>
      </c>
      <c r="W29" s="741">
        <f t="shared" si="4"/>
        <v>0</v>
      </c>
      <c r="X29" s="747">
        <f t="shared" si="5"/>
        <v>4</v>
      </c>
      <c r="Y29" s="743"/>
      <c r="Z29" s="2">
        <v>3</v>
      </c>
      <c r="AA29" s="257">
        <f t="shared" si="6"/>
        <v>1</v>
      </c>
      <c r="AB29" s="243"/>
      <c r="AC29" s="244"/>
    </row>
    <row r="30" spans="1:31" s="257" customFormat="1" ht="30" customHeight="1">
      <c r="A30" s="10">
        <f t="shared" si="7"/>
        <v>16</v>
      </c>
      <c r="B30" s="558" t="s">
        <v>88</v>
      </c>
      <c r="C30" s="559" t="s">
        <v>89</v>
      </c>
      <c r="D30" s="745" t="s">
        <v>184</v>
      </c>
      <c r="E30" s="746">
        <v>31484</v>
      </c>
      <c r="F30" s="626"/>
      <c r="G30" s="626"/>
      <c r="H30" s="626"/>
      <c r="I30" s="626"/>
      <c r="J30" s="627" t="s">
        <v>214</v>
      </c>
      <c r="K30" s="658" t="s">
        <v>202</v>
      </c>
      <c r="L30" s="627" t="s">
        <v>214</v>
      </c>
      <c r="M30" s="627" t="s">
        <v>214</v>
      </c>
      <c r="N30" s="627" t="s">
        <v>214</v>
      </c>
      <c r="O30" s="627"/>
      <c r="P30" s="627"/>
      <c r="Q30" s="627"/>
      <c r="R30" s="627"/>
      <c r="S30" s="627"/>
      <c r="T30" s="627"/>
      <c r="U30" s="627"/>
      <c r="V30" s="740">
        <v>1</v>
      </c>
      <c r="W30" s="626">
        <f t="shared" si="4"/>
        <v>1</v>
      </c>
      <c r="X30" s="747">
        <f t="shared" si="5"/>
        <v>4</v>
      </c>
      <c r="Y30" s="743"/>
      <c r="Z30" s="2">
        <v>1</v>
      </c>
      <c r="AA30" s="257">
        <f t="shared" si="6"/>
        <v>1</v>
      </c>
      <c r="AB30" s="243"/>
      <c r="AC30" s="244"/>
    </row>
    <row r="31" spans="1:31" s="257" customFormat="1" ht="30" customHeight="1">
      <c r="A31" s="10">
        <f t="shared" si="7"/>
        <v>17</v>
      </c>
      <c r="B31" s="456" t="s">
        <v>90</v>
      </c>
      <c r="C31" s="455" t="s">
        <v>91</v>
      </c>
      <c r="D31" s="745">
        <v>220175393</v>
      </c>
      <c r="E31" s="750">
        <v>31413</v>
      </c>
      <c r="F31" s="626"/>
      <c r="G31" s="626"/>
      <c r="H31" s="626"/>
      <c r="I31" s="626"/>
      <c r="J31" s="627" t="s">
        <v>214</v>
      </c>
      <c r="K31" s="627" t="s">
        <v>214</v>
      </c>
      <c r="L31" s="627" t="s">
        <v>214</v>
      </c>
      <c r="M31" s="627" t="s">
        <v>214</v>
      </c>
      <c r="N31" s="627" t="s">
        <v>214</v>
      </c>
      <c r="O31" s="627"/>
      <c r="P31" s="627"/>
      <c r="Q31" s="627"/>
      <c r="R31" s="627"/>
      <c r="S31" s="627"/>
      <c r="T31" s="627"/>
      <c r="U31" s="627"/>
      <c r="V31" s="740">
        <v>1</v>
      </c>
      <c r="W31" s="626">
        <f t="shared" si="4"/>
        <v>1</v>
      </c>
      <c r="X31" s="747">
        <f t="shared" si="5"/>
        <v>5</v>
      </c>
      <c r="Y31" s="743"/>
      <c r="Z31" s="2">
        <v>0</v>
      </c>
      <c r="AA31" s="257">
        <f t="shared" si="6"/>
        <v>0</v>
      </c>
      <c r="AB31" s="243"/>
      <c r="AC31" s="244"/>
    </row>
    <row r="32" spans="1:31" s="257" customFormat="1" ht="30" customHeight="1">
      <c r="A32" s="10">
        <f t="shared" si="7"/>
        <v>18</v>
      </c>
      <c r="B32" s="560" t="s">
        <v>92</v>
      </c>
      <c r="C32" s="561" t="s">
        <v>93</v>
      </c>
      <c r="D32" s="745">
        <v>150936257</v>
      </c>
      <c r="E32" s="750">
        <v>37356</v>
      </c>
      <c r="F32" s="626"/>
      <c r="G32" s="626"/>
      <c r="H32" s="626"/>
      <c r="I32" s="626"/>
      <c r="J32" s="627" t="s">
        <v>214</v>
      </c>
      <c r="K32" s="627" t="s">
        <v>214</v>
      </c>
      <c r="L32" s="658" t="s">
        <v>202</v>
      </c>
      <c r="M32" s="627" t="s">
        <v>214</v>
      </c>
      <c r="N32" s="627" t="s">
        <v>214</v>
      </c>
      <c r="O32" s="627"/>
      <c r="P32" s="627"/>
      <c r="Q32" s="627"/>
      <c r="R32" s="627"/>
      <c r="S32" s="627"/>
      <c r="T32" s="627"/>
      <c r="U32" s="627"/>
      <c r="V32" s="740">
        <v>1</v>
      </c>
      <c r="W32" s="626">
        <f t="shared" si="4"/>
        <v>1</v>
      </c>
      <c r="X32" s="747">
        <f t="shared" si="5"/>
        <v>4</v>
      </c>
      <c r="Y32" s="743"/>
      <c r="Z32" s="2">
        <v>1</v>
      </c>
      <c r="AA32" s="257">
        <f t="shared" si="6"/>
        <v>1</v>
      </c>
      <c r="AB32" s="243"/>
      <c r="AC32" s="244"/>
    </row>
    <row r="33" spans="1:29" s="257" customFormat="1" ht="30" customHeight="1">
      <c r="A33" s="10">
        <f t="shared" si="7"/>
        <v>19</v>
      </c>
      <c r="B33" s="560" t="s">
        <v>94</v>
      </c>
      <c r="C33" s="562" t="s">
        <v>95</v>
      </c>
      <c r="D33" s="745">
        <v>220137301</v>
      </c>
      <c r="E33" s="750">
        <v>30074</v>
      </c>
      <c r="F33" s="626"/>
      <c r="G33" s="626"/>
      <c r="H33" s="626"/>
      <c r="I33" s="626"/>
      <c r="J33" s="627" t="s">
        <v>214</v>
      </c>
      <c r="K33" s="658" t="s">
        <v>202</v>
      </c>
      <c r="L33" s="627" t="s">
        <v>214</v>
      </c>
      <c r="M33" s="627" t="s">
        <v>214</v>
      </c>
      <c r="N33" s="627" t="s">
        <v>214</v>
      </c>
      <c r="O33" s="627"/>
      <c r="P33" s="627"/>
      <c r="Q33" s="627"/>
      <c r="R33" s="627"/>
      <c r="S33" s="627"/>
      <c r="T33" s="627"/>
      <c r="U33" s="627"/>
      <c r="V33" s="740">
        <v>1</v>
      </c>
      <c r="W33" s="626">
        <f t="shared" si="4"/>
        <v>1</v>
      </c>
      <c r="X33" s="747">
        <f t="shared" si="5"/>
        <v>4</v>
      </c>
      <c r="Y33" s="743"/>
      <c r="Z33" s="2">
        <v>1</v>
      </c>
      <c r="AA33" s="257">
        <f t="shared" si="6"/>
        <v>1</v>
      </c>
      <c r="AB33" s="243"/>
      <c r="AC33" s="244"/>
    </row>
    <row r="34" spans="1:29" s="257" customFormat="1" ht="30" customHeight="1">
      <c r="A34" s="10">
        <f t="shared" si="7"/>
        <v>20</v>
      </c>
      <c r="B34" s="560" t="s">
        <v>96</v>
      </c>
      <c r="C34" s="562" t="s">
        <v>97</v>
      </c>
      <c r="D34" s="745">
        <v>150940509</v>
      </c>
      <c r="E34" s="750">
        <v>37662</v>
      </c>
      <c r="F34" s="626"/>
      <c r="G34" s="626"/>
      <c r="H34" s="626"/>
      <c r="I34" s="626"/>
      <c r="J34" s="627" t="s">
        <v>214</v>
      </c>
      <c r="K34" s="627" t="s">
        <v>214</v>
      </c>
      <c r="L34" s="627" t="s">
        <v>214</v>
      </c>
      <c r="M34" s="627" t="s">
        <v>214</v>
      </c>
      <c r="N34" s="627" t="s">
        <v>214</v>
      </c>
      <c r="O34" s="627"/>
      <c r="P34" s="627"/>
      <c r="Q34" s="627"/>
      <c r="R34" s="627"/>
      <c r="S34" s="627"/>
      <c r="T34" s="627"/>
      <c r="U34" s="627"/>
      <c r="V34" s="740">
        <v>1</v>
      </c>
      <c r="W34" s="741">
        <f t="shared" si="4"/>
        <v>0</v>
      </c>
      <c r="X34" s="747">
        <f t="shared" si="5"/>
        <v>5</v>
      </c>
      <c r="Y34" s="743"/>
      <c r="Z34" s="2">
        <v>4</v>
      </c>
      <c r="AA34" s="257">
        <f t="shared" si="6"/>
        <v>0</v>
      </c>
      <c r="AB34" s="243"/>
      <c r="AC34" s="244"/>
    </row>
    <row r="35" spans="1:29" s="257" customFormat="1" ht="30" customHeight="1">
      <c r="A35" s="10">
        <f t="shared" si="7"/>
        <v>21</v>
      </c>
      <c r="B35" s="560" t="s">
        <v>98</v>
      </c>
      <c r="C35" s="458" t="s">
        <v>99</v>
      </c>
      <c r="D35" s="745">
        <v>150657948</v>
      </c>
      <c r="E35" s="750">
        <v>36192</v>
      </c>
      <c r="F35" s="626"/>
      <c r="G35" s="626"/>
      <c r="H35" s="626"/>
      <c r="I35" s="626"/>
      <c r="J35" s="658" t="s">
        <v>202</v>
      </c>
      <c r="K35" s="658" t="s">
        <v>202</v>
      </c>
      <c r="L35" s="627" t="s">
        <v>214</v>
      </c>
      <c r="M35" s="627" t="s">
        <v>216</v>
      </c>
      <c r="N35" s="627" t="s">
        <v>214</v>
      </c>
      <c r="O35" s="627"/>
      <c r="P35" s="627"/>
      <c r="Q35" s="627"/>
      <c r="R35" s="627"/>
      <c r="S35" s="627"/>
      <c r="T35" s="627"/>
      <c r="U35" s="627"/>
      <c r="V35" s="740">
        <v>1</v>
      </c>
      <c r="W35" s="626">
        <f t="shared" si="4"/>
        <v>1</v>
      </c>
      <c r="X35" s="747">
        <f t="shared" si="5"/>
        <v>2.5</v>
      </c>
      <c r="Y35" s="743"/>
      <c r="Z35" s="2">
        <v>0</v>
      </c>
      <c r="AA35" s="257">
        <f t="shared" si="6"/>
        <v>2</v>
      </c>
      <c r="AB35" s="243"/>
      <c r="AC35" s="244"/>
    </row>
    <row r="36" spans="1:29" s="257" customFormat="1" ht="30" customHeight="1">
      <c r="A36" s="10">
        <f t="shared" si="7"/>
        <v>22</v>
      </c>
      <c r="B36" s="560" t="s">
        <v>100</v>
      </c>
      <c r="C36" s="458" t="s">
        <v>101</v>
      </c>
      <c r="D36" s="745">
        <v>150952503</v>
      </c>
      <c r="E36" s="750">
        <v>38207</v>
      </c>
      <c r="F36" s="626"/>
      <c r="G36" s="626"/>
      <c r="H36" s="626"/>
      <c r="I36" s="626"/>
      <c r="J36" s="627" t="s">
        <v>214</v>
      </c>
      <c r="K36" s="627" t="s">
        <v>214</v>
      </c>
      <c r="L36" s="627" t="s">
        <v>214</v>
      </c>
      <c r="M36" s="627" t="s">
        <v>214</v>
      </c>
      <c r="N36" s="627" t="s">
        <v>214</v>
      </c>
      <c r="O36" s="627"/>
      <c r="P36" s="627"/>
      <c r="Q36" s="627"/>
      <c r="R36" s="627"/>
      <c r="S36" s="627"/>
      <c r="T36" s="627"/>
      <c r="U36" s="627"/>
      <c r="V36" s="740">
        <v>1</v>
      </c>
      <c r="W36" s="626">
        <f t="shared" si="4"/>
        <v>1</v>
      </c>
      <c r="X36" s="747">
        <f t="shared" si="5"/>
        <v>5</v>
      </c>
      <c r="Y36" s="743"/>
      <c r="Z36" s="2">
        <v>0</v>
      </c>
      <c r="AA36" s="257">
        <f t="shared" si="6"/>
        <v>0</v>
      </c>
      <c r="AB36" s="243"/>
      <c r="AC36" s="244"/>
    </row>
    <row r="37" spans="1:29" s="257" customFormat="1" ht="30" customHeight="1">
      <c r="A37" s="10">
        <f t="shared" si="7"/>
        <v>23</v>
      </c>
      <c r="B37" s="560" t="s">
        <v>102</v>
      </c>
      <c r="C37" s="458" t="s">
        <v>103</v>
      </c>
      <c r="D37" s="745">
        <v>220248893</v>
      </c>
      <c r="E37" s="750">
        <v>33855</v>
      </c>
      <c r="F37" s="626"/>
      <c r="G37" s="626"/>
      <c r="H37" s="626"/>
      <c r="I37" s="626"/>
      <c r="J37" s="658" t="s">
        <v>202</v>
      </c>
      <c r="K37" s="627" t="s">
        <v>214</v>
      </c>
      <c r="L37" s="627" t="s">
        <v>214</v>
      </c>
      <c r="M37" s="627" t="s">
        <v>214</v>
      </c>
      <c r="N37" s="627" t="s">
        <v>214</v>
      </c>
      <c r="O37" s="627"/>
      <c r="P37" s="627"/>
      <c r="Q37" s="627"/>
      <c r="R37" s="627"/>
      <c r="S37" s="627"/>
      <c r="T37" s="627"/>
      <c r="U37" s="627"/>
      <c r="V37" s="740">
        <v>1</v>
      </c>
      <c r="W37" s="741">
        <f t="shared" si="4"/>
        <v>0</v>
      </c>
      <c r="X37" s="747">
        <f t="shared" si="5"/>
        <v>4</v>
      </c>
      <c r="Y37" s="743"/>
      <c r="Z37" s="2">
        <v>3</v>
      </c>
      <c r="AA37" s="257">
        <f t="shared" si="6"/>
        <v>1</v>
      </c>
      <c r="AB37" s="243"/>
      <c r="AC37" s="244"/>
    </row>
    <row r="38" spans="1:29" s="257" customFormat="1" ht="30" customHeight="1">
      <c r="A38" s="10">
        <f t="shared" si="7"/>
        <v>24</v>
      </c>
      <c r="B38" s="560" t="s">
        <v>104</v>
      </c>
      <c r="C38" s="563" t="s">
        <v>105</v>
      </c>
      <c r="D38" s="745">
        <v>220105697</v>
      </c>
      <c r="E38" s="750">
        <v>35623</v>
      </c>
      <c r="F38" s="626"/>
      <c r="G38" s="626"/>
      <c r="H38" s="626"/>
      <c r="I38" s="626"/>
      <c r="J38" s="658" t="s">
        <v>202</v>
      </c>
      <c r="K38" s="627" t="s">
        <v>214</v>
      </c>
      <c r="L38" s="627" t="s">
        <v>214</v>
      </c>
      <c r="M38" s="627" t="s">
        <v>214</v>
      </c>
      <c r="N38" s="627" t="s">
        <v>214</v>
      </c>
      <c r="O38" s="627"/>
      <c r="P38" s="627"/>
      <c r="Q38" s="627"/>
      <c r="R38" s="627"/>
      <c r="S38" s="627"/>
      <c r="T38" s="627"/>
      <c r="U38" s="627"/>
      <c r="V38" s="740">
        <v>1</v>
      </c>
      <c r="W38" s="741">
        <f t="shared" si="4"/>
        <v>0</v>
      </c>
      <c r="X38" s="747">
        <f t="shared" si="5"/>
        <v>4</v>
      </c>
      <c r="Y38" s="743"/>
      <c r="Z38" s="2">
        <v>3</v>
      </c>
      <c r="AA38" s="257">
        <f t="shared" si="6"/>
        <v>1</v>
      </c>
      <c r="AB38" s="243"/>
      <c r="AC38" s="244"/>
    </row>
    <row r="39" spans="1:29" s="257" customFormat="1" ht="30" customHeight="1">
      <c r="A39" s="10">
        <f t="shared" si="7"/>
        <v>25</v>
      </c>
      <c r="B39" s="558" t="s">
        <v>219</v>
      </c>
      <c r="C39" s="563" t="s">
        <v>220</v>
      </c>
      <c r="D39" s="745">
        <v>220216744</v>
      </c>
      <c r="E39" s="750">
        <v>37994</v>
      </c>
      <c r="F39" s="626"/>
      <c r="G39" s="626"/>
      <c r="H39" s="626"/>
      <c r="I39" s="626"/>
      <c r="J39" s="627" t="s">
        <v>214</v>
      </c>
      <c r="K39" s="627" t="s">
        <v>214</v>
      </c>
      <c r="L39" s="627" t="s">
        <v>214</v>
      </c>
      <c r="M39" s="627" t="s">
        <v>214</v>
      </c>
      <c r="N39" s="627" t="s">
        <v>214</v>
      </c>
      <c r="O39" s="627"/>
      <c r="P39" s="627"/>
      <c r="Q39" s="627"/>
      <c r="R39" s="627"/>
      <c r="S39" s="627"/>
      <c r="T39" s="627"/>
      <c r="U39" s="627"/>
      <c r="V39" s="740">
        <v>1</v>
      </c>
      <c r="W39" s="626">
        <f t="shared" si="4"/>
        <v>1</v>
      </c>
      <c r="X39" s="747">
        <f t="shared" si="5"/>
        <v>5</v>
      </c>
      <c r="Y39" s="743"/>
      <c r="Z39" s="2">
        <v>1</v>
      </c>
      <c r="AA39" s="257">
        <f t="shared" si="6"/>
        <v>0</v>
      </c>
      <c r="AB39" s="243"/>
      <c r="AC39" s="244"/>
    </row>
    <row r="40" spans="1:29" s="257" customFormat="1" ht="30" customHeight="1">
      <c r="A40" s="10">
        <f t="shared" si="7"/>
        <v>26</v>
      </c>
      <c r="B40" s="564" t="s">
        <v>278</v>
      </c>
      <c r="C40" s="563" t="s">
        <v>279</v>
      </c>
      <c r="D40" s="745">
        <v>220211460</v>
      </c>
      <c r="E40" s="750">
        <v>37970</v>
      </c>
      <c r="F40" s="626"/>
      <c r="G40" s="626"/>
      <c r="H40" s="626"/>
      <c r="I40" s="626"/>
      <c r="J40" s="627" t="s">
        <v>214</v>
      </c>
      <c r="K40" s="627" t="s">
        <v>214</v>
      </c>
      <c r="L40" s="627" t="s">
        <v>214</v>
      </c>
      <c r="M40" s="627" t="s">
        <v>214</v>
      </c>
      <c r="N40" s="627" t="s">
        <v>214</v>
      </c>
      <c r="O40" s="627"/>
      <c r="P40" s="627"/>
      <c r="Q40" s="627"/>
      <c r="R40" s="627"/>
      <c r="S40" s="627"/>
      <c r="T40" s="627"/>
      <c r="U40" s="627"/>
      <c r="V40" s="740">
        <v>1</v>
      </c>
      <c r="W40" s="626">
        <f t="shared" si="4"/>
        <v>1</v>
      </c>
      <c r="X40" s="747">
        <f t="shared" si="5"/>
        <v>5</v>
      </c>
      <c r="Y40" s="743"/>
      <c r="Z40" s="2">
        <v>1</v>
      </c>
      <c r="AA40" s="257">
        <f t="shared" si="6"/>
        <v>0</v>
      </c>
      <c r="AB40" s="243"/>
      <c r="AC40" s="244"/>
    </row>
    <row r="41" spans="1:29" s="257" customFormat="1" ht="29.1" customHeight="1">
      <c r="A41" s="10">
        <f t="shared" si="7"/>
        <v>27</v>
      </c>
      <c r="B41" s="558" t="s">
        <v>280</v>
      </c>
      <c r="C41" s="563" t="s">
        <v>281</v>
      </c>
      <c r="D41" s="745">
        <v>151056059</v>
      </c>
      <c r="E41" s="750">
        <v>38810</v>
      </c>
      <c r="F41" s="626"/>
      <c r="G41" s="626"/>
      <c r="H41" s="626"/>
      <c r="I41" s="626"/>
      <c r="J41" s="627" t="s">
        <v>214</v>
      </c>
      <c r="K41" s="627" t="s">
        <v>214</v>
      </c>
      <c r="L41" s="627" t="s">
        <v>214</v>
      </c>
      <c r="M41" s="658" t="s">
        <v>202</v>
      </c>
      <c r="N41" s="627" t="s">
        <v>214</v>
      </c>
      <c r="O41" s="627"/>
      <c r="P41" s="627"/>
      <c r="Q41" s="627"/>
      <c r="R41" s="627"/>
      <c r="S41" s="627"/>
      <c r="T41" s="627"/>
      <c r="U41" s="627"/>
      <c r="V41" s="740">
        <v>1</v>
      </c>
      <c r="W41" s="626">
        <f t="shared" si="4"/>
        <v>1</v>
      </c>
      <c r="X41" s="747">
        <f t="shared" si="5"/>
        <v>4</v>
      </c>
      <c r="Y41" s="743"/>
      <c r="Z41" s="2">
        <v>1</v>
      </c>
      <c r="AA41" s="257">
        <f t="shared" si="6"/>
        <v>1</v>
      </c>
      <c r="AB41" s="243"/>
      <c r="AC41" s="244"/>
    </row>
    <row r="42" spans="1:29" s="257" customFormat="1" ht="29.1" customHeight="1">
      <c r="A42" s="10">
        <f t="shared" si="7"/>
        <v>28</v>
      </c>
      <c r="B42" s="453" t="s">
        <v>135</v>
      </c>
      <c r="C42" s="454" t="s">
        <v>136</v>
      </c>
      <c r="D42" s="745" t="s">
        <v>189</v>
      </c>
      <c r="E42" s="746">
        <v>31934</v>
      </c>
      <c r="F42" s="626"/>
      <c r="G42" s="626"/>
      <c r="H42" s="626"/>
      <c r="I42" s="626"/>
      <c r="J42" s="627" t="s">
        <v>214</v>
      </c>
      <c r="K42" s="658" t="s">
        <v>202</v>
      </c>
      <c r="L42" s="627" t="s">
        <v>214</v>
      </c>
      <c r="M42" s="627" t="s">
        <v>214</v>
      </c>
      <c r="N42" s="627" t="s">
        <v>214</v>
      </c>
      <c r="O42" s="627"/>
      <c r="P42" s="627"/>
      <c r="Q42" s="627"/>
      <c r="R42" s="627"/>
      <c r="S42" s="627"/>
      <c r="T42" s="627"/>
      <c r="U42" s="627"/>
      <c r="V42" s="740">
        <v>1</v>
      </c>
      <c r="W42" s="741">
        <f t="shared" si="4"/>
        <v>0</v>
      </c>
      <c r="X42" s="747">
        <f t="shared" si="5"/>
        <v>4</v>
      </c>
      <c r="Y42" s="743"/>
      <c r="Z42" s="2">
        <v>2</v>
      </c>
      <c r="AA42" s="257">
        <f t="shared" si="6"/>
        <v>1</v>
      </c>
      <c r="AB42" s="243"/>
      <c r="AC42" s="244"/>
    </row>
    <row r="43" spans="1:29" s="257" customFormat="1" ht="29.1" customHeight="1">
      <c r="A43" s="10">
        <f>A42+1</f>
        <v>29</v>
      </c>
      <c r="B43" s="249" t="s">
        <v>106</v>
      </c>
      <c r="C43" s="467" t="s">
        <v>107</v>
      </c>
      <c r="D43" s="745" t="s">
        <v>185</v>
      </c>
      <c r="E43" s="468">
        <v>32888</v>
      </c>
      <c r="F43" s="751" t="s">
        <v>214</v>
      </c>
      <c r="G43" s="626"/>
      <c r="H43" s="751" t="s">
        <v>214</v>
      </c>
      <c r="I43" s="751" t="s">
        <v>214</v>
      </c>
      <c r="J43" s="627"/>
      <c r="K43" s="751" t="s">
        <v>214</v>
      </c>
      <c r="L43" s="751" t="s">
        <v>214</v>
      </c>
      <c r="M43" s="751" t="s">
        <v>214</v>
      </c>
      <c r="N43" s="751" t="s">
        <v>214</v>
      </c>
      <c r="O43" s="751" t="s">
        <v>214</v>
      </c>
      <c r="P43" s="751" t="s">
        <v>214</v>
      </c>
      <c r="Q43" s="751" t="s">
        <v>214</v>
      </c>
      <c r="R43" s="751" t="s">
        <v>214</v>
      </c>
      <c r="S43" s="751" t="s">
        <v>214</v>
      </c>
      <c r="T43" s="751" t="s">
        <v>214</v>
      </c>
      <c r="U43" s="627"/>
      <c r="V43" s="740">
        <v>1</v>
      </c>
      <c r="W43" s="626">
        <f t="shared" ref="W43:W52" si="8">IF(SUM(Z43:AA43)&lt;=2,1,0)</f>
        <v>1</v>
      </c>
      <c r="X43" s="747">
        <f t="shared" ref="X43:X59" si="9">COUNTIF(F43:U43,"X")+0.5*COUNTIF(F43:U43,"/")+COUNTIF(F43:U43,"R1")+COUNTIF(F43:U43,"R")+COUNTIF(F43:U43,"R")+COUNTIF(F43:U43,"Xcv")</f>
        <v>13</v>
      </c>
      <c r="Y43" s="743"/>
      <c r="Z43" s="2">
        <v>0</v>
      </c>
      <c r="AA43" s="257">
        <f t="shared" si="6"/>
        <v>0</v>
      </c>
      <c r="AB43" s="243"/>
      <c r="AC43" s="244"/>
    </row>
    <row r="44" spans="1:29" s="257" customFormat="1" ht="29.1" customHeight="1">
      <c r="A44" s="10">
        <f t="shared" ref="A44:A54" si="10">+A43+1</f>
        <v>30</v>
      </c>
      <c r="B44" s="249" t="s">
        <v>108</v>
      </c>
      <c r="C44" s="469" t="s">
        <v>109</v>
      </c>
      <c r="D44" s="745">
        <v>150839024</v>
      </c>
      <c r="E44" s="470">
        <v>29091</v>
      </c>
      <c r="F44" s="751" t="s">
        <v>214</v>
      </c>
      <c r="G44" s="626"/>
      <c r="H44" s="751" t="s">
        <v>214</v>
      </c>
      <c r="I44" s="751" t="s">
        <v>214</v>
      </c>
      <c r="J44" s="627"/>
      <c r="K44" s="751" t="s">
        <v>214</v>
      </c>
      <c r="L44" s="751" t="s">
        <v>214</v>
      </c>
      <c r="M44" s="751" t="s">
        <v>214</v>
      </c>
      <c r="N44" s="751" t="s">
        <v>214</v>
      </c>
      <c r="O44" s="751" t="s">
        <v>214</v>
      </c>
      <c r="P44" s="751" t="s">
        <v>214</v>
      </c>
      <c r="Q44" s="751" t="s">
        <v>214</v>
      </c>
      <c r="R44" s="751" t="s">
        <v>214</v>
      </c>
      <c r="S44" s="751" t="s">
        <v>214</v>
      </c>
      <c r="T44" s="751" t="s">
        <v>214</v>
      </c>
      <c r="U44" s="627"/>
      <c r="V44" s="740">
        <v>1</v>
      </c>
      <c r="W44" s="626">
        <f t="shared" si="8"/>
        <v>1</v>
      </c>
      <c r="X44" s="747">
        <f t="shared" si="9"/>
        <v>13</v>
      </c>
      <c r="Y44" s="743"/>
      <c r="Z44" s="2">
        <v>0</v>
      </c>
      <c r="AA44" s="257">
        <f t="shared" si="6"/>
        <v>0</v>
      </c>
      <c r="AB44" s="243"/>
      <c r="AC44" s="244"/>
    </row>
    <row r="45" spans="1:29" s="257" customFormat="1" ht="29.1" customHeight="1">
      <c r="A45" s="10">
        <f t="shared" si="10"/>
        <v>31</v>
      </c>
      <c r="B45" s="552" t="s">
        <v>110</v>
      </c>
      <c r="C45" s="555" t="s">
        <v>111</v>
      </c>
      <c r="D45" s="745" t="s">
        <v>186</v>
      </c>
      <c r="E45" s="470">
        <v>34132</v>
      </c>
      <c r="F45" s="751" t="s">
        <v>214</v>
      </c>
      <c r="G45" s="626"/>
      <c r="H45" s="751" t="s">
        <v>214</v>
      </c>
      <c r="I45" s="751" t="s">
        <v>214</v>
      </c>
      <c r="J45" s="627"/>
      <c r="K45" s="751" t="s">
        <v>214</v>
      </c>
      <c r="L45" s="751" t="s">
        <v>214</v>
      </c>
      <c r="M45" s="751" t="s">
        <v>214</v>
      </c>
      <c r="N45" s="751" t="s">
        <v>214</v>
      </c>
      <c r="O45" s="751" t="s">
        <v>214</v>
      </c>
      <c r="P45" s="751" t="s">
        <v>214</v>
      </c>
      <c r="Q45" s="751" t="s">
        <v>214</v>
      </c>
      <c r="R45" s="751" t="s">
        <v>214</v>
      </c>
      <c r="S45" s="751" t="s">
        <v>214</v>
      </c>
      <c r="T45" s="751" t="s">
        <v>214</v>
      </c>
      <c r="U45" s="627"/>
      <c r="V45" s="740">
        <v>1</v>
      </c>
      <c r="W45" s="626">
        <f t="shared" si="8"/>
        <v>1</v>
      </c>
      <c r="X45" s="747">
        <f t="shared" si="9"/>
        <v>13</v>
      </c>
      <c r="Y45" s="743"/>
      <c r="Z45" s="2">
        <v>2</v>
      </c>
      <c r="AA45" s="257">
        <f t="shared" si="6"/>
        <v>0</v>
      </c>
      <c r="AB45" s="243"/>
      <c r="AC45" s="244"/>
    </row>
    <row r="46" spans="1:29" s="257" customFormat="1" ht="29.1" customHeight="1">
      <c r="A46" s="10">
        <f t="shared" si="10"/>
        <v>32</v>
      </c>
      <c r="B46" s="249" t="s">
        <v>112</v>
      </c>
      <c r="C46" s="467" t="s">
        <v>113</v>
      </c>
      <c r="D46" s="745" t="s">
        <v>187</v>
      </c>
      <c r="E46" s="468">
        <v>33036</v>
      </c>
      <c r="F46" s="751" t="s">
        <v>214</v>
      </c>
      <c r="G46" s="626"/>
      <c r="H46" s="751" t="s">
        <v>214</v>
      </c>
      <c r="I46" s="751" t="s">
        <v>214</v>
      </c>
      <c r="J46" s="627"/>
      <c r="K46" s="751" t="s">
        <v>214</v>
      </c>
      <c r="L46" s="751" t="s">
        <v>214</v>
      </c>
      <c r="M46" s="751" t="s">
        <v>214</v>
      </c>
      <c r="N46" s="751" t="s">
        <v>214</v>
      </c>
      <c r="O46" s="751" t="s">
        <v>214</v>
      </c>
      <c r="P46" s="751" t="s">
        <v>214</v>
      </c>
      <c r="Q46" s="751" t="s">
        <v>214</v>
      </c>
      <c r="R46" s="751" t="s">
        <v>214</v>
      </c>
      <c r="S46" s="751" t="s">
        <v>214</v>
      </c>
      <c r="T46" s="751" t="s">
        <v>214</v>
      </c>
      <c r="U46" s="627"/>
      <c r="V46" s="740">
        <v>1</v>
      </c>
      <c r="W46" s="626">
        <f t="shared" si="8"/>
        <v>1</v>
      </c>
      <c r="X46" s="747">
        <f t="shared" si="9"/>
        <v>13</v>
      </c>
      <c r="Y46" s="743"/>
      <c r="Z46" s="2">
        <v>0</v>
      </c>
      <c r="AA46" s="257">
        <f t="shared" si="6"/>
        <v>0</v>
      </c>
      <c r="AB46" s="243"/>
      <c r="AC46" s="244"/>
    </row>
    <row r="47" spans="1:29" s="257" customFormat="1" ht="29.1" customHeight="1">
      <c r="A47" s="10">
        <f t="shared" si="10"/>
        <v>33</v>
      </c>
      <c r="B47" s="249" t="s">
        <v>114</v>
      </c>
      <c r="C47" s="471" t="s">
        <v>115</v>
      </c>
      <c r="D47" s="745">
        <v>220137744</v>
      </c>
      <c r="E47" s="470">
        <v>36010</v>
      </c>
      <c r="F47" s="751" t="s">
        <v>214</v>
      </c>
      <c r="G47" s="626"/>
      <c r="H47" s="751" t="s">
        <v>214</v>
      </c>
      <c r="I47" s="751" t="s">
        <v>214</v>
      </c>
      <c r="J47" s="627"/>
      <c r="K47" s="751" t="s">
        <v>214</v>
      </c>
      <c r="L47" s="751" t="s">
        <v>214</v>
      </c>
      <c r="M47" s="751" t="s">
        <v>214</v>
      </c>
      <c r="N47" s="751" t="s">
        <v>214</v>
      </c>
      <c r="O47" s="751" t="s">
        <v>214</v>
      </c>
      <c r="P47" s="751" t="s">
        <v>214</v>
      </c>
      <c r="Q47" s="751" t="s">
        <v>214</v>
      </c>
      <c r="R47" s="751" t="s">
        <v>214</v>
      </c>
      <c r="S47" s="751" t="s">
        <v>214</v>
      </c>
      <c r="T47" s="751" t="s">
        <v>214</v>
      </c>
      <c r="U47" s="627"/>
      <c r="V47" s="740">
        <v>1</v>
      </c>
      <c r="W47" s="626">
        <f t="shared" si="8"/>
        <v>1</v>
      </c>
      <c r="X47" s="747">
        <f t="shared" si="9"/>
        <v>13</v>
      </c>
      <c r="Y47" s="743"/>
      <c r="Z47" s="2">
        <v>2</v>
      </c>
      <c r="AA47" s="257">
        <f t="shared" si="6"/>
        <v>0</v>
      </c>
      <c r="AB47" s="243"/>
      <c r="AC47" s="244"/>
    </row>
    <row r="48" spans="1:29" s="257" customFormat="1" ht="29.1" customHeight="1">
      <c r="A48" s="10">
        <f t="shared" si="10"/>
        <v>34</v>
      </c>
      <c r="B48" s="249" t="s">
        <v>116</v>
      </c>
      <c r="C48" s="472" t="s">
        <v>117</v>
      </c>
      <c r="D48" s="745">
        <v>150627962</v>
      </c>
      <c r="E48" s="470">
        <v>30957</v>
      </c>
      <c r="F48" s="751" t="s">
        <v>214</v>
      </c>
      <c r="G48" s="626"/>
      <c r="H48" s="751" t="s">
        <v>214</v>
      </c>
      <c r="I48" s="751" t="s">
        <v>214</v>
      </c>
      <c r="J48" s="627"/>
      <c r="K48" s="751" t="s">
        <v>214</v>
      </c>
      <c r="L48" s="751" t="s">
        <v>214</v>
      </c>
      <c r="M48" s="751" t="s">
        <v>214</v>
      </c>
      <c r="N48" s="751" t="s">
        <v>214</v>
      </c>
      <c r="O48" s="751" t="s">
        <v>214</v>
      </c>
      <c r="P48" s="751" t="s">
        <v>214</v>
      </c>
      <c r="Q48" s="751" t="s">
        <v>214</v>
      </c>
      <c r="R48" s="751" t="s">
        <v>214</v>
      </c>
      <c r="S48" s="751" t="s">
        <v>214</v>
      </c>
      <c r="T48" s="751" t="s">
        <v>214</v>
      </c>
      <c r="U48" s="627"/>
      <c r="V48" s="740">
        <v>1</v>
      </c>
      <c r="W48" s="626">
        <f t="shared" si="8"/>
        <v>1</v>
      </c>
      <c r="X48" s="747">
        <f t="shared" si="9"/>
        <v>13</v>
      </c>
      <c r="Y48" s="743"/>
      <c r="Z48" s="2">
        <v>0</v>
      </c>
      <c r="AA48" s="257">
        <f t="shared" si="6"/>
        <v>0</v>
      </c>
      <c r="AB48" s="243"/>
      <c r="AC48" s="244"/>
    </row>
    <row r="49" spans="1:29" s="257" customFormat="1" ht="29.1" customHeight="1">
      <c r="A49" s="10">
        <f t="shared" si="10"/>
        <v>35</v>
      </c>
      <c r="B49" s="249" t="s">
        <v>118</v>
      </c>
      <c r="C49" s="472" t="s">
        <v>119</v>
      </c>
      <c r="D49" s="745">
        <v>150523228</v>
      </c>
      <c r="E49" s="470">
        <v>34529</v>
      </c>
      <c r="F49" s="751" t="s">
        <v>214</v>
      </c>
      <c r="G49" s="626"/>
      <c r="H49" s="751" t="s">
        <v>214</v>
      </c>
      <c r="I49" s="751" t="s">
        <v>214</v>
      </c>
      <c r="J49" s="627"/>
      <c r="K49" s="751" t="s">
        <v>214</v>
      </c>
      <c r="L49" s="751" t="s">
        <v>214</v>
      </c>
      <c r="M49" s="751" t="s">
        <v>214</v>
      </c>
      <c r="N49" s="751" t="s">
        <v>214</v>
      </c>
      <c r="O49" s="751" t="s">
        <v>214</v>
      </c>
      <c r="P49" s="751" t="s">
        <v>214</v>
      </c>
      <c r="Q49" s="751" t="s">
        <v>214</v>
      </c>
      <c r="R49" s="751" t="s">
        <v>214</v>
      </c>
      <c r="S49" s="751" t="s">
        <v>214</v>
      </c>
      <c r="T49" s="751" t="s">
        <v>214</v>
      </c>
      <c r="U49" s="627"/>
      <c r="V49" s="740">
        <v>1</v>
      </c>
      <c r="W49" s="626">
        <f t="shared" si="8"/>
        <v>1</v>
      </c>
      <c r="X49" s="747">
        <f t="shared" si="9"/>
        <v>13</v>
      </c>
      <c r="Y49" s="743"/>
      <c r="Z49" s="2">
        <v>0</v>
      </c>
      <c r="AA49" s="257">
        <f t="shared" si="6"/>
        <v>0</v>
      </c>
      <c r="AB49" s="243"/>
      <c r="AC49" s="244"/>
    </row>
    <row r="50" spans="1:29" s="257" customFormat="1" ht="29.1" customHeight="1">
      <c r="A50" s="10">
        <f t="shared" si="10"/>
        <v>36</v>
      </c>
      <c r="B50" s="249" t="s">
        <v>120</v>
      </c>
      <c r="C50" s="472" t="s">
        <v>121</v>
      </c>
      <c r="D50" s="745">
        <v>151013383</v>
      </c>
      <c r="E50" s="470">
        <v>36565</v>
      </c>
      <c r="F50" s="751" t="s">
        <v>214</v>
      </c>
      <c r="G50" s="626"/>
      <c r="H50" s="751" t="s">
        <v>214</v>
      </c>
      <c r="I50" s="751" t="s">
        <v>214</v>
      </c>
      <c r="J50" s="627"/>
      <c r="K50" s="751" t="s">
        <v>214</v>
      </c>
      <c r="L50" s="751" t="s">
        <v>214</v>
      </c>
      <c r="M50" s="751" t="s">
        <v>214</v>
      </c>
      <c r="N50" s="751" t="s">
        <v>214</v>
      </c>
      <c r="O50" s="751" t="s">
        <v>214</v>
      </c>
      <c r="P50" s="751" t="s">
        <v>214</v>
      </c>
      <c r="Q50" s="751" t="s">
        <v>214</v>
      </c>
      <c r="R50" s="751" t="s">
        <v>214</v>
      </c>
      <c r="S50" s="751" t="s">
        <v>214</v>
      </c>
      <c r="T50" s="751" t="s">
        <v>214</v>
      </c>
      <c r="U50" s="627"/>
      <c r="V50" s="740">
        <v>1</v>
      </c>
      <c r="W50" s="626">
        <f t="shared" si="8"/>
        <v>1</v>
      </c>
      <c r="X50" s="747">
        <f t="shared" si="9"/>
        <v>13</v>
      </c>
      <c r="Y50" s="743"/>
      <c r="Z50" s="2">
        <v>0</v>
      </c>
      <c r="AA50" s="257">
        <f>COUNTIF(F50:T50,"-")</f>
        <v>0</v>
      </c>
      <c r="AB50" s="243"/>
      <c r="AC50" s="244"/>
    </row>
    <row r="51" spans="1:29" s="257" customFormat="1" ht="29.1" customHeight="1">
      <c r="A51" s="10">
        <f t="shared" si="10"/>
        <v>37</v>
      </c>
      <c r="B51" s="249" t="s">
        <v>122</v>
      </c>
      <c r="C51" s="471" t="s">
        <v>123</v>
      </c>
      <c r="D51" s="745">
        <v>150537069</v>
      </c>
      <c r="E51" s="470">
        <v>34890</v>
      </c>
      <c r="F51" s="751" t="s">
        <v>214</v>
      </c>
      <c r="G51" s="626"/>
      <c r="H51" s="751" t="s">
        <v>214</v>
      </c>
      <c r="I51" s="751" t="s">
        <v>214</v>
      </c>
      <c r="J51" s="627"/>
      <c r="K51" s="751" t="s">
        <v>214</v>
      </c>
      <c r="L51" s="751" t="s">
        <v>214</v>
      </c>
      <c r="M51" s="751" t="s">
        <v>214</v>
      </c>
      <c r="N51" s="751" t="s">
        <v>214</v>
      </c>
      <c r="O51" s="751" t="s">
        <v>214</v>
      </c>
      <c r="P51" s="751" t="s">
        <v>214</v>
      </c>
      <c r="Q51" s="751" t="s">
        <v>214</v>
      </c>
      <c r="R51" s="751" t="s">
        <v>214</v>
      </c>
      <c r="S51" s="751" t="s">
        <v>214</v>
      </c>
      <c r="T51" s="751" t="s">
        <v>214</v>
      </c>
      <c r="U51" s="627"/>
      <c r="V51" s="740">
        <v>1</v>
      </c>
      <c r="W51" s="626">
        <f t="shared" si="8"/>
        <v>1</v>
      </c>
      <c r="X51" s="747">
        <f t="shared" si="9"/>
        <v>13</v>
      </c>
      <c r="Y51" s="743"/>
      <c r="Z51" s="2">
        <v>0</v>
      </c>
      <c r="AA51" s="257">
        <f>COUNTIF(F51:T51,"-")</f>
        <v>0</v>
      </c>
      <c r="AB51" s="243"/>
      <c r="AC51" s="244"/>
    </row>
    <row r="52" spans="1:29" s="257" customFormat="1" ht="29.1" customHeight="1">
      <c r="A52" s="10">
        <f t="shared" si="10"/>
        <v>38</v>
      </c>
      <c r="B52" s="249" t="s">
        <v>333</v>
      </c>
      <c r="C52" s="471" t="s">
        <v>332</v>
      </c>
      <c r="D52" s="745">
        <v>151046569</v>
      </c>
      <c r="E52" s="470">
        <v>29407</v>
      </c>
      <c r="F52" s="473" t="s">
        <v>214</v>
      </c>
      <c r="G52" s="473" t="s">
        <v>214</v>
      </c>
      <c r="H52" s="473"/>
      <c r="I52" s="473" t="s">
        <v>214</v>
      </c>
      <c r="J52" s="473" t="s">
        <v>214</v>
      </c>
      <c r="K52" s="473" t="s">
        <v>214</v>
      </c>
      <c r="L52" s="473" t="s">
        <v>214</v>
      </c>
      <c r="M52" s="473" t="s">
        <v>214</v>
      </c>
      <c r="N52" s="473" t="s">
        <v>214</v>
      </c>
      <c r="O52" s="473"/>
      <c r="P52" s="473" t="s">
        <v>214</v>
      </c>
      <c r="Q52" s="473" t="s">
        <v>214</v>
      </c>
      <c r="R52" s="473" t="s">
        <v>214</v>
      </c>
      <c r="S52" s="473" t="s">
        <v>214</v>
      </c>
      <c r="T52" s="473" t="s">
        <v>214</v>
      </c>
      <c r="U52" s="473" t="s">
        <v>214</v>
      </c>
      <c r="V52" s="740">
        <v>1</v>
      </c>
      <c r="W52" s="741">
        <f t="shared" si="8"/>
        <v>0</v>
      </c>
      <c r="X52" s="747">
        <f t="shared" si="9"/>
        <v>14</v>
      </c>
      <c r="Y52" s="743"/>
      <c r="Z52" s="2">
        <v>3</v>
      </c>
      <c r="AA52" s="257">
        <f>COUNTIF(F52:T52,"-")</f>
        <v>0</v>
      </c>
      <c r="AB52" s="243"/>
      <c r="AC52" s="244"/>
    </row>
    <row r="53" spans="1:29" s="257" customFormat="1" ht="29.1" customHeight="1">
      <c r="A53" s="10">
        <f>+A52+1</f>
        <v>39</v>
      </c>
      <c r="B53" s="249" t="s">
        <v>124</v>
      </c>
      <c r="C53" s="471" t="s">
        <v>125</v>
      </c>
      <c r="D53" s="745">
        <v>150771197</v>
      </c>
      <c r="E53" s="470">
        <v>30844</v>
      </c>
      <c r="F53" s="473" t="s">
        <v>214</v>
      </c>
      <c r="G53" s="473" t="s">
        <v>214</v>
      </c>
      <c r="H53" s="473"/>
      <c r="I53" s="473" t="s">
        <v>214</v>
      </c>
      <c r="J53" s="473" t="s">
        <v>214</v>
      </c>
      <c r="K53" s="473" t="s">
        <v>214</v>
      </c>
      <c r="L53" s="473" t="s">
        <v>214</v>
      </c>
      <c r="M53" s="473" t="s">
        <v>214</v>
      </c>
      <c r="N53" s="473" t="s">
        <v>214</v>
      </c>
      <c r="O53" s="473"/>
      <c r="P53" s="473" t="s">
        <v>214</v>
      </c>
      <c r="Q53" s="473" t="s">
        <v>214</v>
      </c>
      <c r="R53" s="473" t="s">
        <v>214</v>
      </c>
      <c r="S53" s="473" t="s">
        <v>214</v>
      </c>
      <c r="T53" s="473" t="s">
        <v>214</v>
      </c>
      <c r="U53" s="473" t="s">
        <v>214</v>
      </c>
      <c r="V53" s="740">
        <v>1</v>
      </c>
      <c r="W53" s="626">
        <f t="shared" ref="W53:W54" si="11">IF(SUM(Z53:AA53)&lt;=2,1,0)</f>
        <v>1</v>
      </c>
      <c r="X53" s="747">
        <f t="shared" si="9"/>
        <v>14</v>
      </c>
      <c r="Y53" s="743"/>
      <c r="Z53" s="2">
        <v>0</v>
      </c>
      <c r="AA53" s="257">
        <f>COUNTIF(F53:T53,"-")</f>
        <v>0</v>
      </c>
      <c r="AB53" s="243"/>
      <c r="AC53" s="244"/>
    </row>
    <row r="54" spans="1:29" s="257" customFormat="1" ht="29.1" customHeight="1">
      <c r="A54" s="10">
        <f t="shared" si="10"/>
        <v>40</v>
      </c>
      <c r="B54" s="249" t="s">
        <v>126</v>
      </c>
      <c r="C54" s="471" t="s">
        <v>127</v>
      </c>
      <c r="D54" s="745">
        <v>150936930</v>
      </c>
      <c r="E54" s="470">
        <v>31695</v>
      </c>
      <c r="F54" s="473" t="s">
        <v>214</v>
      </c>
      <c r="G54" s="473" t="s">
        <v>214</v>
      </c>
      <c r="H54" s="473"/>
      <c r="I54" s="473" t="s">
        <v>214</v>
      </c>
      <c r="J54" s="473" t="s">
        <v>214</v>
      </c>
      <c r="K54" s="473" t="s">
        <v>214</v>
      </c>
      <c r="L54" s="473" t="s">
        <v>214</v>
      </c>
      <c r="M54" s="473" t="s">
        <v>214</v>
      </c>
      <c r="N54" s="473" t="s">
        <v>214</v>
      </c>
      <c r="O54" s="473"/>
      <c r="P54" s="473" t="s">
        <v>214</v>
      </c>
      <c r="Q54" s="473" t="s">
        <v>214</v>
      </c>
      <c r="R54" s="473" t="s">
        <v>214</v>
      </c>
      <c r="S54" s="473" t="s">
        <v>214</v>
      </c>
      <c r="T54" s="473" t="s">
        <v>214</v>
      </c>
      <c r="U54" s="627"/>
      <c r="V54" s="740">
        <v>1</v>
      </c>
      <c r="W54" s="626">
        <f t="shared" si="11"/>
        <v>1</v>
      </c>
      <c r="X54" s="747">
        <f t="shared" si="9"/>
        <v>13</v>
      </c>
      <c r="Y54" s="743"/>
      <c r="Z54" s="2">
        <v>0</v>
      </c>
      <c r="AA54" s="257">
        <f>COUNTIF(F54:T54,"-")</f>
        <v>0</v>
      </c>
      <c r="AB54" s="243"/>
      <c r="AC54" s="244"/>
    </row>
    <row r="55" spans="1:29" s="257" customFormat="1" ht="29.1" customHeight="1">
      <c r="A55" s="10"/>
      <c r="B55" s="249" t="s">
        <v>126</v>
      </c>
      <c r="C55" s="471" t="s">
        <v>127</v>
      </c>
      <c r="D55" s="745" t="s">
        <v>215</v>
      </c>
      <c r="E55" s="470"/>
      <c r="F55" s="306" t="s">
        <v>216</v>
      </c>
      <c r="G55" s="306" t="s">
        <v>216</v>
      </c>
      <c r="H55" s="306"/>
      <c r="I55" s="306" t="s">
        <v>216</v>
      </c>
      <c r="J55" s="306" t="s">
        <v>216</v>
      </c>
      <c r="K55" s="306" t="s">
        <v>216</v>
      </c>
      <c r="L55" s="306" t="s">
        <v>216</v>
      </c>
      <c r="M55" s="306" t="s">
        <v>216</v>
      </c>
      <c r="N55" s="306" t="s">
        <v>216</v>
      </c>
      <c r="O55" s="306"/>
      <c r="P55" s="306" t="s">
        <v>216</v>
      </c>
      <c r="Q55" s="306" t="s">
        <v>216</v>
      </c>
      <c r="R55" s="306" t="s">
        <v>216</v>
      </c>
      <c r="S55" s="306" t="s">
        <v>216</v>
      </c>
      <c r="T55" s="306" t="s">
        <v>216</v>
      </c>
      <c r="U55" s="627"/>
      <c r="V55" s="627"/>
      <c r="W55" s="626"/>
      <c r="X55" s="747">
        <f t="shared" si="9"/>
        <v>6.5</v>
      </c>
      <c r="Y55" s="743"/>
      <c r="Z55" s="348">
        <v>0</v>
      </c>
      <c r="AA55" s="257">
        <f t="shared" ref="AA55:AA76" si="12">COUNTIF(F55:T55,"-")</f>
        <v>0</v>
      </c>
      <c r="AB55" s="243"/>
      <c r="AC55" s="244"/>
    </row>
    <row r="56" spans="1:29" s="257" customFormat="1" ht="29.1" customHeight="1">
      <c r="A56" s="10">
        <f>+A54+1</f>
        <v>41</v>
      </c>
      <c r="B56" s="249" t="s">
        <v>128</v>
      </c>
      <c r="C56" s="471" t="s">
        <v>129</v>
      </c>
      <c r="D56" s="745">
        <v>180753924</v>
      </c>
      <c r="E56" s="470">
        <v>31999</v>
      </c>
      <c r="F56" s="473" t="s">
        <v>214</v>
      </c>
      <c r="G56" s="473" t="s">
        <v>214</v>
      </c>
      <c r="H56" s="473"/>
      <c r="I56" s="473" t="s">
        <v>214</v>
      </c>
      <c r="J56" s="473" t="s">
        <v>214</v>
      </c>
      <c r="K56" s="473" t="s">
        <v>214</v>
      </c>
      <c r="L56" s="473" t="s">
        <v>214</v>
      </c>
      <c r="M56" s="473" t="s">
        <v>214</v>
      </c>
      <c r="N56" s="473" t="s">
        <v>214</v>
      </c>
      <c r="O56" s="473"/>
      <c r="P56" s="473" t="s">
        <v>214</v>
      </c>
      <c r="Q56" s="473" t="s">
        <v>214</v>
      </c>
      <c r="R56" s="473" t="s">
        <v>214</v>
      </c>
      <c r="S56" s="473" t="s">
        <v>214</v>
      </c>
      <c r="T56" s="306" t="s">
        <v>216</v>
      </c>
      <c r="U56" s="627"/>
      <c r="V56" s="740">
        <v>1</v>
      </c>
      <c r="W56" s="626">
        <f t="shared" ref="W56" si="13">IF(SUM(Z56:AA56)&lt;=2,1,0)</f>
        <v>1</v>
      </c>
      <c r="X56" s="747">
        <f t="shared" si="9"/>
        <v>12.5</v>
      </c>
      <c r="Y56" s="743"/>
      <c r="Z56" s="348"/>
      <c r="AA56" s="257">
        <f t="shared" si="12"/>
        <v>0</v>
      </c>
      <c r="AB56" s="243"/>
      <c r="AC56" s="244"/>
    </row>
    <row r="57" spans="1:29" s="257" customFormat="1" ht="29.1" customHeight="1">
      <c r="A57" s="10"/>
      <c r="B57" s="249" t="s">
        <v>128</v>
      </c>
      <c r="C57" s="471" t="s">
        <v>129</v>
      </c>
      <c r="D57" s="745" t="s">
        <v>215</v>
      </c>
      <c r="E57" s="470"/>
      <c r="F57" s="306"/>
      <c r="G57" s="306"/>
      <c r="H57" s="306"/>
      <c r="I57" s="306"/>
      <c r="J57" s="306"/>
      <c r="K57" s="306" t="s">
        <v>216</v>
      </c>
      <c r="L57" s="306" t="s">
        <v>216</v>
      </c>
      <c r="M57" s="306" t="s">
        <v>216</v>
      </c>
      <c r="N57" s="306" t="s">
        <v>216</v>
      </c>
      <c r="O57" s="306"/>
      <c r="P57" s="306"/>
      <c r="Q57" s="306" t="s">
        <v>216</v>
      </c>
      <c r="R57" s="306" t="s">
        <v>216</v>
      </c>
      <c r="S57" s="306"/>
      <c r="T57" s="627"/>
      <c r="U57" s="627"/>
      <c r="V57" s="627"/>
      <c r="W57" s="626"/>
      <c r="X57" s="747">
        <f t="shared" si="9"/>
        <v>3</v>
      </c>
      <c r="Y57" s="743"/>
      <c r="Z57" s="348">
        <v>0</v>
      </c>
      <c r="AA57" s="257">
        <f t="shared" si="12"/>
        <v>0</v>
      </c>
      <c r="AB57" s="243"/>
      <c r="AC57" s="244"/>
    </row>
    <row r="58" spans="1:29" s="257" customFormat="1" ht="29.1" customHeight="1">
      <c r="A58" s="10">
        <f>+A56+1</f>
        <v>42</v>
      </c>
      <c r="B58" s="249" t="s">
        <v>188</v>
      </c>
      <c r="C58" s="471" t="s">
        <v>130</v>
      </c>
      <c r="D58" s="745">
        <v>220208904</v>
      </c>
      <c r="E58" s="470">
        <v>36442</v>
      </c>
      <c r="F58" s="473" t="s">
        <v>214</v>
      </c>
      <c r="G58" s="473" t="s">
        <v>214</v>
      </c>
      <c r="H58" s="473"/>
      <c r="I58" s="473" t="s">
        <v>214</v>
      </c>
      <c r="J58" s="473" t="s">
        <v>214</v>
      </c>
      <c r="K58" s="473" t="s">
        <v>214</v>
      </c>
      <c r="L58" s="473" t="s">
        <v>214</v>
      </c>
      <c r="M58" s="473" t="s">
        <v>214</v>
      </c>
      <c r="N58" s="473" t="s">
        <v>214</v>
      </c>
      <c r="O58" s="473"/>
      <c r="P58" s="473" t="s">
        <v>214</v>
      </c>
      <c r="Q58" s="473" t="s">
        <v>214</v>
      </c>
      <c r="R58" s="473" t="s">
        <v>214</v>
      </c>
      <c r="S58" s="473" t="s">
        <v>214</v>
      </c>
      <c r="T58" s="473" t="s">
        <v>214</v>
      </c>
      <c r="U58" s="473" t="s">
        <v>214</v>
      </c>
      <c r="V58" s="740">
        <v>1</v>
      </c>
      <c r="W58" s="626">
        <f t="shared" ref="W58" si="14">IF(SUM(Z58:AA58)&lt;=2,1,0)</f>
        <v>1</v>
      </c>
      <c r="X58" s="747">
        <f t="shared" si="9"/>
        <v>14</v>
      </c>
      <c r="Y58" s="743"/>
      <c r="Z58" s="348">
        <v>0</v>
      </c>
      <c r="AA58" s="257">
        <f t="shared" si="12"/>
        <v>0</v>
      </c>
      <c r="AB58" s="243"/>
      <c r="AC58" s="244"/>
    </row>
    <row r="59" spans="1:29" s="257" customFormat="1" ht="29.1" customHeight="1">
      <c r="A59" s="10"/>
      <c r="B59" s="249" t="s">
        <v>188</v>
      </c>
      <c r="C59" s="471" t="s">
        <v>130</v>
      </c>
      <c r="D59" s="745" t="s">
        <v>215</v>
      </c>
      <c r="E59" s="470"/>
      <c r="F59" s="306" t="s">
        <v>216</v>
      </c>
      <c r="G59" s="306"/>
      <c r="H59" s="306"/>
      <c r="I59" s="306" t="s">
        <v>216</v>
      </c>
      <c r="J59" s="306" t="s">
        <v>216</v>
      </c>
      <c r="K59" s="306" t="s">
        <v>216</v>
      </c>
      <c r="L59" s="306" t="s">
        <v>216</v>
      </c>
      <c r="M59" s="306" t="s">
        <v>216</v>
      </c>
      <c r="N59" s="306" t="s">
        <v>216</v>
      </c>
      <c r="O59" s="306"/>
      <c r="P59" s="306" t="s">
        <v>216</v>
      </c>
      <c r="Q59" s="306" t="s">
        <v>216</v>
      </c>
      <c r="R59" s="306" t="s">
        <v>216</v>
      </c>
      <c r="S59" s="306" t="s">
        <v>216</v>
      </c>
      <c r="T59" s="306" t="s">
        <v>216</v>
      </c>
      <c r="U59" s="627"/>
      <c r="V59" s="627"/>
      <c r="W59" s="626"/>
      <c r="X59" s="747">
        <f t="shared" si="9"/>
        <v>6</v>
      </c>
      <c r="Y59" s="743"/>
      <c r="Z59" s="348">
        <v>1</v>
      </c>
      <c r="AA59" s="257">
        <f t="shared" si="12"/>
        <v>0</v>
      </c>
      <c r="AB59" s="243"/>
      <c r="AC59" s="244"/>
    </row>
    <row r="60" spans="1:29" s="257" customFormat="1" ht="30" customHeight="1">
      <c r="A60" s="10">
        <f>1+A58</f>
        <v>43</v>
      </c>
      <c r="B60" s="453" t="s">
        <v>131</v>
      </c>
      <c r="C60" s="565" t="s">
        <v>132</v>
      </c>
      <c r="D60" s="745">
        <v>150978188</v>
      </c>
      <c r="E60" s="746">
        <v>37990</v>
      </c>
      <c r="F60" s="626"/>
      <c r="G60" s="626"/>
      <c r="H60" s="626"/>
      <c r="I60" s="626"/>
      <c r="J60" s="627"/>
      <c r="K60" s="627" t="s">
        <v>214</v>
      </c>
      <c r="L60" s="627" t="s">
        <v>214</v>
      </c>
      <c r="M60" s="627" t="s">
        <v>214</v>
      </c>
      <c r="N60" s="627" t="s">
        <v>214</v>
      </c>
      <c r="O60" s="627" t="s">
        <v>214</v>
      </c>
      <c r="P60" s="627"/>
      <c r="Q60" s="627"/>
      <c r="R60" s="627"/>
      <c r="S60" s="627"/>
      <c r="T60" s="627"/>
      <c r="U60" s="627"/>
      <c r="V60" s="740">
        <v>1</v>
      </c>
      <c r="W60" s="626">
        <f t="shared" ref="W60:W79" si="15">IF(SUM(Z60:AA60)&lt;=2,1,0)</f>
        <v>1</v>
      </c>
      <c r="X60" s="747">
        <f t="shared" ref="X60:X79" si="16">COUNTIF(F60:U60,"X")+0.5*COUNTIF(F60:U60,"/")+COUNTIF(F60:U60,"R1")+COUNTIF(F60:U60,"R")+COUNTIF(F60:U60,"R")+COUNTIF(F60:U60,"Xcv")</f>
        <v>5</v>
      </c>
      <c r="Y60" s="743"/>
      <c r="Z60" s="348">
        <v>0</v>
      </c>
      <c r="AA60" s="257">
        <f t="shared" si="12"/>
        <v>0</v>
      </c>
      <c r="AB60" s="243"/>
      <c r="AC60" s="244"/>
    </row>
    <row r="61" spans="1:29" s="257" customFormat="1" ht="30" customHeight="1">
      <c r="A61" s="10">
        <f>+A60+1</f>
        <v>44</v>
      </c>
      <c r="B61" s="453" t="s">
        <v>133</v>
      </c>
      <c r="C61" s="454" t="s">
        <v>134</v>
      </c>
      <c r="D61" s="745">
        <v>210070000</v>
      </c>
      <c r="E61" s="746">
        <v>29441</v>
      </c>
      <c r="F61" s="626"/>
      <c r="G61" s="626"/>
      <c r="H61" s="626"/>
      <c r="I61" s="626"/>
      <c r="J61" s="627"/>
      <c r="K61" s="627" t="s">
        <v>214</v>
      </c>
      <c r="L61" s="627" t="s">
        <v>214</v>
      </c>
      <c r="M61" s="627" t="s">
        <v>214</v>
      </c>
      <c r="N61" s="627" t="s">
        <v>214</v>
      </c>
      <c r="O61" s="627" t="s">
        <v>214</v>
      </c>
      <c r="P61" s="627"/>
      <c r="Q61" s="627"/>
      <c r="R61" s="627"/>
      <c r="S61" s="627"/>
      <c r="T61" s="627"/>
      <c r="U61" s="627"/>
      <c r="V61" s="740">
        <v>1</v>
      </c>
      <c r="W61" s="626">
        <f t="shared" si="15"/>
        <v>1</v>
      </c>
      <c r="X61" s="747">
        <f t="shared" si="16"/>
        <v>5</v>
      </c>
      <c r="Y61" s="743"/>
      <c r="Z61" s="348">
        <v>2</v>
      </c>
      <c r="AA61" s="257">
        <f t="shared" si="12"/>
        <v>0</v>
      </c>
      <c r="AB61" s="243"/>
      <c r="AC61" s="244"/>
    </row>
    <row r="62" spans="1:29" s="257" customFormat="1" ht="30" customHeight="1">
      <c r="A62" s="10">
        <f>+A61+1</f>
        <v>45</v>
      </c>
      <c r="B62" s="453" t="s">
        <v>137</v>
      </c>
      <c r="C62" s="454" t="s">
        <v>138</v>
      </c>
      <c r="D62" s="745">
        <v>150582874</v>
      </c>
      <c r="E62" s="746">
        <v>31240</v>
      </c>
      <c r="F62" s="626"/>
      <c r="G62" s="626"/>
      <c r="H62" s="626"/>
      <c r="I62" s="626"/>
      <c r="J62" s="627"/>
      <c r="K62" s="627" t="s">
        <v>214</v>
      </c>
      <c r="L62" s="627" t="s">
        <v>214</v>
      </c>
      <c r="M62" s="627" t="s">
        <v>214</v>
      </c>
      <c r="N62" s="627" t="s">
        <v>214</v>
      </c>
      <c r="O62" s="658" t="s">
        <v>202</v>
      </c>
      <c r="P62" s="627"/>
      <c r="Q62" s="627"/>
      <c r="R62" s="627"/>
      <c r="S62" s="627"/>
      <c r="T62" s="627"/>
      <c r="U62" s="627"/>
      <c r="V62" s="740">
        <v>1</v>
      </c>
      <c r="W62" s="626">
        <f t="shared" si="15"/>
        <v>1</v>
      </c>
      <c r="X62" s="747">
        <f t="shared" si="16"/>
        <v>4</v>
      </c>
      <c r="Y62" s="743"/>
      <c r="Z62" s="348">
        <v>1</v>
      </c>
      <c r="AA62" s="257">
        <f t="shared" si="12"/>
        <v>1</v>
      </c>
      <c r="AB62" s="243"/>
      <c r="AC62" s="244"/>
    </row>
    <row r="63" spans="1:29" s="257" customFormat="1" ht="30" customHeight="1">
      <c r="A63" s="10">
        <f>+A62+1</f>
        <v>46</v>
      </c>
      <c r="B63" s="453" t="s">
        <v>139</v>
      </c>
      <c r="C63" s="454" t="s">
        <v>140</v>
      </c>
      <c r="D63" s="745" t="s">
        <v>190</v>
      </c>
      <c r="E63" s="746">
        <v>35221</v>
      </c>
      <c r="F63" s="626"/>
      <c r="G63" s="626"/>
      <c r="H63" s="626"/>
      <c r="I63" s="626"/>
      <c r="J63" s="627"/>
      <c r="K63" s="658" t="s">
        <v>202</v>
      </c>
      <c r="L63" s="627" t="s">
        <v>214</v>
      </c>
      <c r="M63" s="627" t="s">
        <v>214</v>
      </c>
      <c r="N63" s="627" t="s">
        <v>214</v>
      </c>
      <c r="O63" s="627" t="s">
        <v>214</v>
      </c>
      <c r="P63" s="627"/>
      <c r="Q63" s="627"/>
      <c r="R63" s="627"/>
      <c r="S63" s="627"/>
      <c r="T63" s="627"/>
      <c r="U63" s="627"/>
      <c r="V63" s="740">
        <v>1</v>
      </c>
      <c r="W63" s="626">
        <f t="shared" si="15"/>
        <v>1</v>
      </c>
      <c r="X63" s="747">
        <f t="shared" si="16"/>
        <v>4</v>
      </c>
      <c r="Y63" s="743"/>
      <c r="Z63" s="348">
        <v>0</v>
      </c>
      <c r="AA63" s="257">
        <f t="shared" si="12"/>
        <v>1</v>
      </c>
      <c r="AB63" s="243"/>
      <c r="AC63" s="244"/>
    </row>
    <row r="64" spans="1:29" s="257" customFormat="1" ht="27.95" customHeight="1">
      <c r="A64" s="10">
        <f t="shared" ref="A64:A88" si="17">+A63+1</f>
        <v>47</v>
      </c>
      <c r="B64" s="453" t="s">
        <v>141</v>
      </c>
      <c r="C64" s="454" t="s">
        <v>142</v>
      </c>
      <c r="D64" s="745">
        <v>151058048</v>
      </c>
      <c r="E64" s="746">
        <v>39700</v>
      </c>
      <c r="F64" s="626"/>
      <c r="G64" s="626"/>
      <c r="H64" s="626"/>
      <c r="I64" s="626"/>
      <c r="J64" s="627"/>
      <c r="K64" s="627" t="s">
        <v>214</v>
      </c>
      <c r="L64" s="627" t="s">
        <v>214</v>
      </c>
      <c r="M64" s="627" t="s">
        <v>214</v>
      </c>
      <c r="N64" s="627" t="s">
        <v>214</v>
      </c>
      <c r="O64" s="627" t="s">
        <v>214</v>
      </c>
      <c r="P64" s="627"/>
      <c r="Q64" s="627"/>
      <c r="R64" s="627"/>
      <c r="S64" s="627"/>
      <c r="T64" s="627"/>
      <c r="U64" s="627"/>
      <c r="V64" s="740">
        <v>1</v>
      </c>
      <c r="W64" s="626">
        <f t="shared" si="15"/>
        <v>1</v>
      </c>
      <c r="X64" s="747">
        <f t="shared" si="16"/>
        <v>5</v>
      </c>
      <c r="Y64" s="743"/>
      <c r="Z64" s="348">
        <v>0</v>
      </c>
      <c r="AA64" s="257">
        <f t="shared" si="12"/>
        <v>0</v>
      </c>
      <c r="AB64" s="243"/>
      <c r="AC64" s="244"/>
    </row>
    <row r="65" spans="1:57" s="257" customFormat="1" ht="27.95" customHeight="1">
      <c r="A65" s="10">
        <f t="shared" si="17"/>
        <v>48</v>
      </c>
      <c r="B65" s="453" t="s">
        <v>143</v>
      </c>
      <c r="C65" s="454" t="s">
        <v>144</v>
      </c>
      <c r="D65" s="745">
        <v>150925395</v>
      </c>
      <c r="E65" s="746">
        <v>26483</v>
      </c>
      <c r="F65" s="626"/>
      <c r="G65" s="626"/>
      <c r="H65" s="626"/>
      <c r="I65" s="626"/>
      <c r="J65" s="627"/>
      <c r="K65" s="627" t="s">
        <v>214</v>
      </c>
      <c r="L65" s="627" t="s">
        <v>214</v>
      </c>
      <c r="M65" s="627" t="s">
        <v>214</v>
      </c>
      <c r="N65" s="627" t="s">
        <v>214</v>
      </c>
      <c r="O65" s="627" t="s">
        <v>214</v>
      </c>
      <c r="P65" s="627"/>
      <c r="Q65" s="627"/>
      <c r="R65" s="627"/>
      <c r="S65" s="627"/>
      <c r="T65" s="627"/>
      <c r="U65" s="627"/>
      <c r="V65" s="740">
        <v>1</v>
      </c>
      <c r="W65" s="626">
        <f t="shared" si="15"/>
        <v>1</v>
      </c>
      <c r="X65" s="747">
        <f t="shared" si="16"/>
        <v>5</v>
      </c>
      <c r="Y65" s="743"/>
      <c r="Z65" s="348">
        <v>1</v>
      </c>
      <c r="AA65" s="257">
        <f t="shared" si="12"/>
        <v>0</v>
      </c>
      <c r="AB65" s="243"/>
      <c r="AC65" s="244"/>
    </row>
    <row r="66" spans="1:57" s="257" customFormat="1" ht="27.95" customHeight="1">
      <c r="A66" s="10">
        <f t="shared" si="17"/>
        <v>49</v>
      </c>
      <c r="B66" s="453" t="s">
        <v>145</v>
      </c>
      <c r="C66" s="454" t="s">
        <v>146</v>
      </c>
      <c r="D66" s="745">
        <v>151075912</v>
      </c>
      <c r="E66" s="746">
        <v>40097</v>
      </c>
      <c r="F66" s="626"/>
      <c r="G66" s="626"/>
      <c r="H66" s="626"/>
      <c r="I66" s="626"/>
      <c r="J66" s="627"/>
      <c r="K66" s="627" t="s">
        <v>214</v>
      </c>
      <c r="L66" s="627" t="s">
        <v>214</v>
      </c>
      <c r="M66" s="627" t="s">
        <v>214</v>
      </c>
      <c r="N66" s="627" t="s">
        <v>214</v>
      </c>
      <c r="O66" s="627" t="s">
        <v>214</v>
      </c>
      <c r="P66" s="627"/>
      <c r="Q66" s="627"/>
      <c r="R66" s="627"/>
      <c r="S66" s="627"/>
      <c r="T66" s="627"/>
      <c r="U66" s="627"/>
      <c r="V66" s="740">
        <v>1</v>
      </c>
      <c r="W66" s="626">
        <f t="shared" si="15"/>
        <v>1</v>
      </c>
      <c r="X66" s="747">
        <f t="shared" si="16"/>
        <v>5</v>
      </c>
      <c r="Y66" s="743"/>
      <c r="Z66" s="348">
        <v>1</v>
      </c>
      <c r="AA66" s="257">
        <f t="shared" si="12"/>
        <v>0</v>
      </c>
      <c r="AB66" s="243"/>
      <c r="AC66" s="244"/>
    </row>
    <row r="67" spans="1:57" s="257" customFormat="1" ht="27.95" customHeight="1">
      <c r="A67" s="10">
        <f t="shared" si="17"/>
        <v>50</v>
      </c>
      <c r="B67" s="456" t="s">
        <v>147</v>
      </c>
      <c r="C67" s="566" t="s">
        <v>148</v>
      </c>
      <c r="D67" s="745">
        <v>151055393</v>
      </c>
      <c r="E67" s="752">
        <v>39725</v>
      </c>
      <c r="F67" s="626"/>
      <c r="G67" s="626"/>
      <c r="H67" s="626"/>
      <c r="I67" s="626"/>
      <c r="J67" s="627"/>
      <c r="K67" s="627" t="s">
        <v>214</v>
      </c>
      <c r="L67" s="627" t="s">
        <v>214</v>
      </c>
      <c r="M67" s="627" t="s">
        <v>214</v>
      </c>
      <c r="N67" s="627" t="s">
        <v>214</v>
      </c>
      <c r="O67" s="627" t="s">
        <v>214</v>
      </c>
      <c r="P67" s="627"/>
      <c r="Q67" s="627"/>
      <c r="R67" s="627"/>
      <c r="S67" s="627"/>
      <c r="T67" s="627"/>
      <c r="U67" s="627"/>
      <c r="V67" s="740">
        <v>1</v>
      </c>
      <c r="W67" s="626">
        <f t="shared" si="15"/>
        <v>1</v>
      </c>
      <c r="X67" s="747">
        <f t="shared" si="16"/>
        <v>5</v>
      </c>
      <c r="Y67" s="743"/>
      <c r="Z67" s="348">
        <v>0</v>
      </c>
      <c r="AA67" s="257">
        <f t="shared" si="12"/>
        <v>0</v>
      </c>
      <c r="AB67" s="243"/>
      <c r="AC67" s="244"/>
    </row>
    <row r="68" spans="1:57" s="257" customFormat="1" ht="27.95" customHeight="1">
      <c r="A68" s="10">
        <f t="shared" si="17"/>
        <v>51</v>
      </c>
      <c r="B68" s="453" t="s">
        <v>149</v>
      </c>
      <c r="C68" s="454" t="s">
        <v>150</v>
      </c>
      <c r="D68" s="745">
        <v>150981411</v>
      </c>
      <c r="E68" s="746">
        <v>30228</v>
      </c>
      <c r="F68" s="626"/>
      <c r="G68" s="626"/>
      <c r="H68" s="626"/>
      <c r="I68" s="626"/>
      <c r="J68" s="627"/>
      <c r="K68" s="627" t="s">
        <v>214</v>
      </c>
      <c r="L68" s="627" t="s">
        <v>214</v>
      </c>
      <c r="M68" s="627" t="s">
        <v>214</v>
      </c>
      <c r="N68" s="627" t="s">
        <v>214</v>
      </c>
      <c r="O68" s="627" t="s">
        <v>214</v>
      </c>
      <c r="P68" s="627"/>
      <c r="Q68" s="627"/>
      <c r="R68" s="627"/>
      <c r="S68" s="627"/>
      <c r="T68" s="627"/>
      <c r="U68" s="627"/>
      <c r="V68" s="740">
        <v>1</v>
      </c>
      <c r="W68" s="626">
        <f t="shared" si="15"/>
        <v>1</v>
      </c>
      <c r="X68" s="747">
        <f t="shared" si="16"/>
        <v>5</v>
      </c>
      <c r="Y68" s="743"/>
      <c r="Z68" s="348">
        <v>0</v>
      </c>
      <c r="AA68" s="257">
        <f t="shared" si="12"/>
        <v>0</v>
      </c>
      <c r="AB68" s="243"/>
      <c r="AC68" s="244"/>
    </row>
    <row r="69" spans="1:57" s="257" customFormat="1" ht="27.95" customHeight="1">
      <c r="A69" s="10">
        <f t="shared" si="17"/>
        <v>52</v>
      </c>
      <c r="B69" s="457" t="s">
        <v>151</v>
      </c>
      <c r="C69" s="458" t="s">
        <v>152</v>
      </c>
      <c r="D69" s="745">
        <v>151029997</v>
      </c>
      <c r="E69" s="750">
        <v>39116</v>
      </c>
      <c r="F69" s="626"/>
      <c r="G69" s="626"/>
      <c r="H69" s="626"/>
      <c r="I69" s="626"/>
      <c r="J69" s="627"/>
      <c r="K69" s="627" t="s">
        <v>214</v>
      </c>
      <c r="L69" s="627" t="s">
        <v>214</v>
      </c>
      <c r="M69" s="627" t="s">
        <v>214</v>
      </c>
      <c r="N69" s="627" t="s">
        <v>214</v>
      </c>
      <c r="O69" s="627" t="s">
        <v>214</v>
      </c>
      <c r="P69" s="627"/>
      <c r="Q69" s="627"/>
      <c r="R69" s="627"/>
      <c r="S69" s="627"/>
      <c r="T69" s="627"/>
      <c r="U69" s="627"/>
      <c r="V69" s="740">
        <v>1</v>
      </c>
      <c r="W69" s="626">
        <f t="shared" si="15"/>
        <v>1</v>
      </c>
      <c r="X69" s="747">
        <f t="shared" si="16"/>
        <v>5</v>
      </c>
      <c r="Y69" s="743"/>
      <c r="Z69" s="348">
        <v>0</v>
      </c>
      <c r="AA69" s="257">
        <f t="shared" si="12"/>
        <v>0</v>
      </c>
      <c r="AB69" s="243"/>
      <c r="AC69" s="244"/>
    </row>
    <row r="70" spans="1:57" s="257" customFormat="1" ht="27.95" customHeight="1">
      <c r="A70" s="10">
        <f t="shared" si="17"/>
        <v>53</v>
      </c>
      <c r="B70" s="457" t="s">
        <v>153</v>
      </c>
      <c r="C70" s="458" t="s">
        <v>154</v>
      </c>
      <c r="D70" s="745">
        <v>181167293</v>
      </c>
      <c r="E70" s="750">
        <v>39668</v>
      </c>
      <c r="F70" s="626"/>
      <c r="G70" s="626"/>
      <c r="H70" s="626"/>
      <c r="I70" s="626"/>
      <c r="J70" s="627"/>
      <c r="K70" s="627" t="s">
        <v>214</v>
      </c>
      <c r="L70" s="627" t="s">
        <v>214</v>
      </c>
      <c r="M70" s="627" t="s">
        <v>214</v>
      </c>
      <c r="N70" s="627" t="s">
        <v>214</v>
      </c>
      <c r="O70" s="627" t="s">
        <v>214</v>
      </c>
      <c r="P70" s="627"/>
      <c r="Q70" s="627"/>
      <c r="R70" s="627"/>
      <c r="S70" s="627"/>
      <c r="T70" s="627"/>
      <c r="U70" s="627"/>
      <c r="V70" s="740">
        <v>1</v>
      </c>
      <c r="W70" s="626">
        <f t="shared" si="15"/>
        <v>1</v>
      </c>
      <c r="X70" s="747">
        <f t="shared" si="16"/>
        <v>5</v>
      </c>
      <c r="Y70" s="743"/>
      <c r="Z70" s="348">
        <v>1</v>
      </c>
      <c r="AA70" s="257">
        <f t="shared" si="12"/>
        <v>0</v>
      </c>
      <c r="AB70" s="243"/>
      <c r="AC70" s="244"/>
    </row>
    <row r="71" spans="1:57" s="257" customFormat="1" ht="27.95" customHeight="1">
      <c r="A71" s="10">
        <f t="shared" si="17"/>
        <v>54</v>
      </c>
      <c r="B71" s="457" t="s">
        <v>155</v>
      </c>
      <c r="C71" s="458" t="s">
        <v>156</v>
      </c>
      <c r="D71" s="745">
        <v>151048971</v>
      </c>
      <c r="E71" s="750">
        <v>39552</v>
      </c>
      <c r="F71" s="626"/>
      <c r="G71" s="626"/>
      <c r="H71" s="626"/>
      <c r="I71" s="626"/>
      <c r="J71" s="627"/>
      <c r="K71" s="627" t="s">
        <v>214</v>
      </c>
      <c r="L71" s="627" t="s">
        <v>214</v>
      </c>
      <c r="M71" s="627" t="s">
        <v>214</v>
      </c>
      <c r="N71" s="627" t="s">
        <v>214</v>
      </c>
      <c r="O71" s="627" t="s">
        <v>214</v>
      </c>
      <c r="P71" s="627"/>
      <c r="Q71" s="627"/>
      <c r="R71" s="627"/>
      <c r="S71" s="627"/>
      <c r="T71" s="627"/>
      <c r="U71" s="627"/>
      <c r="V71" s="740">
        <v>1</v>
      </c>
      <c r="W71" s="626">
        <f t="shared" si="15"/>
        <v>1</v>
      </c>
      <c r="X71" s="747">
        <f t="shared" si="16"/>
        <v>5</v>
      </c>
      <c r="Y71" s="743"/>
      <c r="Z71" s="348">
        <v>0</v>
      </c>
      <c r="AA71" s="257">
        <f t="shared" si="12"/>
        <v>0</v>
      </c>
      <c r="AB71" s="243"/>
      <c r="AC71" s="244"/>
    </row>
    <row r="72" spans="1:57" s="257" customFormat="1" ht="32.1" customHeight="1">
      <c r="A72" s="10">
        <f t="shared" si="17"/>
        <v>55</v>
      </c>
      <c r="B72" s="457" t="s">
        <v>157</v>
      </c>
      <c r="C72" s="458" t="s">
        <v>158</v>
      </c>
      <c r="D72" s="745">
        <v>150845321</v>
      </c>
      <c r="E72" s="750">
        <v>34279</v>
      </c>
      <c r="F72" s="626"/>
      <c r="G72" s="626"/>
      <c r="H72" s="626"/>
      <c r="I72" s="626"/>
      <c r="J72" s="627"/>
      <c r="K72" s="627" t="s">
        <v>214</v>
      </c>
      <c r="L72" s="627" t="s">
        <v>214</v>
      </c>
      <c r="M72" s="627" t="s">
        <v>214</v>
      </c>
      <c r="N72" s="627" t="s">
        <v>214</v>
      </c>
      <c r="O72" s="627" t="s">
        <v>214</v>
      </c>
      <c r="P72" s="627"/>
      <c r="Q72" s="627"/>
      <c r="R72" s="627"/>
      <c r="S72" s="627"/>
      <c r="T72" s="627"/>
      <c r="U72" s="627"/>
      <c r="V72" s="740">
        <v>1</v>
      </c>
      <c r="W72" s="626">
        <f t="shared" si="15"/>
        <v>1</v>
      </c>
      <c r="X72" s="747">
        <f t="shared" si="16"/>
        <v>5</v>
      </c>
      <c r="Y72" s="743"/>
      <c r="Z72" s="348">
        <v>1</v>
      </c>
      <c r="AA72" s="257">
        <f t="shared" si="12"/>
        <v>0</v>
      </c>
      <c r="AB72" s="243"/>
      <c r="AC72" s="244"/>
    </row>
    <row r="73" spans="1:57" s="257" customFormat="1" ht="32.1" customHeight="1">
      <c r="A73" s="10">
        <f t="shared" si="17"/>
        <v>56</v>
      </c>
      <c r="B73" s="457" t="s">
        <v>221</v>
      </c>
      <c r="C73" s="458" t="s">
        <v>222</v>
      </c>
      <c r="D73" s="745">
        <v>190569581</v>
      </c>
      <c r="E73" s="750">
        <v>34887</v>
      </c>
      <c r="F73" s="626"/>
      <c r="G73" s="626"/>
      <c r="H73" s="626"/>
      <c r="I73" s="626"/>
      <c r="J73" s="627"/>
      <c r="K73" s="627" t="s">
        <v>214</v>
      </c>
      <c r="L73" s="627" t="s">
        <v>214</v>
      </c>
      <c r="M73" s="627" t="s">
        <v>214</v>
      </c>
      <c r="N73" s="627" t="s">
        <v>214</v>
      </c>
      <c r="O73" s="627" t="s">
        <v>214</v>
      </c>
      <c r="P73" s="627"/>
      <c r="Q73" s="627"/>
      <c r="R73" s="627"/>
      <c r="S73" s="627"/>
      <c r="T73" s="627"/>
      <c r="U73" s="627"/>
      <c r="V73" s="740">
        <v>1</v>
      </c>
      <c r="W73" s="626">
        <f t="shared" si="15"/>
        <v>1</v>
      </c>
      <c r="X73" s="747">
        <f t="shared" si="16"/>
        <v>5</v>
      </c>
      <c r="Y73" s="743"/>
      <c r="Z73" s="348">
        <v>0</v>
      </c>
      <c r="AA73" s="257">
        <f t="shared" si="12"/>
        <v>0</v>
      </c>
      <c r="AB73" s="243"/>
      <c r="AC73" s="244"/>
    </row>
    <row r="74" spans="1:57" s="257" customFormat="1" ht="32.1" customHeight="1">
      <c r="A74" s="10">
        <f t="shared" si="17"/>
        <v>57</v>
      </c>
      <c r="B74" s="457" t="s">
        <v>265</v>
      </c>
      <c r="C74" s="458" t="s">
        <v>266</v>
      </c>
      <c r="D74" s="745">
        <v>150273869</v>
      </c>
      <c r="E74" s="750">
        <v>29776</v>
      </c>
      <c r="F74" s="626"/>
      <c r="G74" s="626"/>
      <c r="H74" s="626"/>
      <c r="I74" s="626"/>
      <c r="J74" s="627"/>
      <c r="K74" s="627" t="s">
        <v>214</v>
      </c>
      <c r="L74" s="627" t="s">
        <v>214</v>
      </c>
      <c r="M74" s="627" t="s">
        <v>214</v>
      </c>
      <c r="N74" s="658" t="s">
        <v>202</v>
      </c>
      <c r="O74" s="658" t="s">
        <v>202</v>
      </c>
      <c r="P74" s="627"/>
      <c r="Q74" s="627"/>
      <c r="R74" s="627"/>
      <c r="S74" s="627"/>
      <c r="T74" s="627"/>
      <c r="U74" s="627"/>
      <c r="V74" s="740">
        <v>1</v>
      </c>
      <c r="W74" s="626">
        <f t="shared" si="15"/>
        <v>1</v>
      </c>
      <c r="X74" s="747">
        <f t="shared" si="16"/>
        <v>3</v>
      </c>
      <c r="Y74" s="743"/>
      <c r="Z74" s="348">
        <v>0</v>
      </c>
      <c r="AA74" s="257">
        <f t="shared" si="12"/>
        <v>2</v>
      </c>
      <c r="AB74" s="243"/>
      <c r="AC74" s="244"/>
    </row>
    <row r="75" spans="1:57" s="257" customFormat="1" ht="32.1" customHeight="1">
      <c r="A75" s="10">
        <f t="shared" si="17"/>
        <v>58</v>
      </c>
      <c r="B75" s="457" t="s">
        <v>282</v>
      </c>
      <c r="C75" s="567" t="s">
        <v>283</v>
      </c>
      <c r="D75" s="745">
        <v>220175294</v>
      </c>
      <c r="E75" s="750">
        <v>34814</v>
      </c>
      <c r="F75" s="626"/>
      <c r="G75" s="626"/>
      <c r="H75" s="626"/>
      <c r="I75" s="626"/>
      <c r="J75" s="627"/>
      <c r="K75" s="627" t="s">
        <v>214</v>
      </c>
      <c r="L75" s="627" t="s">
        <v>214</v>
      </c>
      <c r="M75" s="627" t="s">
        <v>214</v>
      </c>
      <c r="N75" s="627" t="s">
        <v>214</v>
      </c>
      <c r="O75" s="627" t="s">
        <v>214</v>
      </c>
      <c r="P75" s="627"/>
      <c r="Q75" s="627"/>
      <c r="R75" s="627"/>
      <c r="S75" s="627"/>
      <c r="T75" s="627"/>
      <c r="U75" s="627"/>
      <c r="V75" s="740">
        <v>1</v>
      </c>
      <c r="W75" s="626">
        <f t="shared" si="15"/>
        <v>1</v>
      </c>
      <c r="X75" s="747">
        <f t="shared" si="16"/>
        <v>5</v>
      </c>
      <c r="Y75" s="743"/>
      <c r="Z75" s="348">
        <v>1</v>
      </c>
      <c r="AA75" s="257">
        <f t="shared" si="12"/>
        <v>0</v>
      </c>
      <c r="AB75" s="243"/>
      <c r="AC75" s="244"/>
    </row>
    <row r="76" spans="1:57" s="257" customFormat="1" ht="32.1" customHeight="1">
      <c r="A76" s="753">
        <f t="shared" si="17"/>
        <v>59</v>
      </c>
      <c r="B76" s="457" t="s">
        <v>284</v>
      </c>
      <c r="C76" s="459" t="s">
        <v>285</v>
      </c>
      <c r="D76" s="745">
        <v>181068674</v>
      </c>
      <c r="E76" s="750">
        <v>39000</v>
      </c>
      <c r="F76" s="626"/>
      <c r="G76" s="626"/>
      <c r="H76" s="626"/>
      <c r="I76" s="626"/>
      <c r="J76" s="627"/>
      <c r="K76" s="627" t="s">
        <v>214</v>
      </c>
      <c r="L76" s="658" t="s">
        <v>202</v>
      </c>
      <c r="M76" s="658" t="s">
        <v>202</v>
      </c>
      <c r="N76" s="658" t="s">
        <v>202</v>
      </c>
      <c r="O76" s="627" t="s">
        <v>214</v>
      </c>
      <c r="P76" s="627"/>
      <c r="Q76" s="627"/>
      <c r="R76" s="627"/>
      <c r="S76" s="627"/>
      <c r="T76" s="627"/>
      <c r="U76" s="627"/>
      <c r="V76" s="740">
        <v>1</v>
      </c>
      <c r="W76" s="741">
        <f t="shared" si="15"/>
        <v>0</v>
      </c>
      <c r="X76" s="747">
        <f t="shared" si="16"/>
        <v>2</v>
      </c>
      <c r="Y76" s="743"/>
      <c r="Z76" s="348"/>
      <c r="AA76" s="257">
        <f t="shared" si="12"/>
        <v>3</v>
      </c>
      <c r="AB76" s="243"/>
      <c r="AC76" s="244"/>
    </row>
    <row r="77" spans="1:57" s="257" customFormat="1" ht="32.1" customHeight="1">
      <c r="A77" s="753">
        <f t="shared" si="17"/>
        <v>60</v>
      </c>
      <c r="B77" s="457" t="s">
        <v>286</v>
      </c>
      <c r="C77" s="459" t="s">
        <v>287</v>
      </c>
      <c r="D77" s="745">
        <v>220139991</v>
      </c>
      <c r="E77" s="750">
        <v>32174</v>
      </c>
      <c r="F77" s="626"/>
      <c r="G77" s="626"/>
      <c r="H77" s="626"/>
      <c r="I77" s="626"/>
      <c r="J77" s="627"/>
      <c r="K77" s="627" t="s">
        <v>214</v>
      </c>
      <c r="L77" s="627" t="s">
        <v>214</v>
      </c>
      <c r="M77" s="627" t="s">
        <v>214</v>
      </c>
      <c r="N77" s="627" t="s">
        <v>214</v>
      </c>
      <c r="O77" s="627" t="s">
        <v>214</v>
      </c>
      <c r="P77" s="627"/>
      <c r="Q77" s="627"/>
      <c r="R77" s="627"/>
      <c r="S77" s="627"/>
      <c r="T77" s="627"/>
      <c r="U77" s="627"/>
      <c r="V77" s="740">
        <v>1</v>
      </c>
      <c r="W77" s="626">
        <f t="shared" si="15"/>
        <v>1</v>
      </c>
      <c r="X77" s="747">
        <f t="shared" si="16"/>
        <v>5</v>
      </c>
      <c r="Y77" s="743"/>
      <c r="Z77" s="348">
        <v>1</v>
      </c>
      <c r="AA77" s="257">
        <f t="shared" ref="AA77:AA88" si="18">COUNTIF(F77:T77,"-")</f>
        <v>0</v>
      </c>
      <c r="AB77" s="243"/>
      <c r="AC77" s="244"/>
    </row>
    <row r="78" spans="1:57" s="257" customFormat="1" ht="32.1" customHeight="1">
      <c r="A78" s="753">
        <f t="shared" si="17"/>
        <v>61</v>
      </c>
      <c r="B78" s="457" t="s">
        <v>324</v>
      </c>
      <c r="C78" s="567" t="s">
        <v>325</v>
      </c>
      <c r="D78" s="745">
        <v>150582830</v>
      </c>
      <c r="E78" s="750">
        <v>35768</v>
      </c>
      <c r="F78" s="626"/>
      <c r="G78" s="626"/>
      <c r="H78" s="626"/>
      <c r="I78" s="626"/>
      <c r="J78" s="627"/>
      <c r="K78" s="627" t="s">
        <v>214</v>
      </c>
      <c r="L78" s="627" t="s">
        <v>214</v>
      </c>
      <c r="M78" s="627" t="s">
        <v>214</v>
      </c>
      <c r="N78" s="627" t="s">
        <v>214</v>
      </c>
      <c r="O78" s="627" t="s">
        <v>214</v>
      </c>
      <c r="P78" s="627"/>
      <c r="Q78" s="627"/>
      <c r="R78" s="627"/>
      <c r="S78" s="627"/>
      <c r="T78" s="627"/>
      <c r="U78" s="627"/>
      <c r="V78" s="740">
        <v>1</v>
      </c>
      <c r="W78" s="626">
        <f t="shared" si="15"/>
        <v>1</v>
      </c>
      <c r="X78" s="747">
        <f t="shared" si="16"/>
        <v>5</v>
      </c>
      <c r="Y78" s="743"/>
      <c r="Z78" s="348">
        <v>1</v>
      </c>
      <c r="AA78" s="257">
        <f t="shared" si="18"/>
        <v>0</v>
      </c>
      <c r="AB78" s="243"/>
      <c r="AC78" s="244"/>
    </row>
    <row r="79" spans="1:57" s="308" customFormat="1" ht="32.1" customHeight="1">
      <c r="A79" s="753">
        <f t="shared" si="17"/>
        <v>62</v>
      </c>
      <c r="B79" s="457" t="s">
        <v>339</v>
      </c>
      <c r="C79" s="459" t="s">
        <v>340</v>
      </c>
      <c r="D79" s="745">
        <v>150352388</v>
      </c>
      <c r="E79" s="750">
        <v>31707</v>
      </c>
      <c r="F79" s="626"/>
      <c r="G79" s="626"/>
      <c r="H79" s="626"/>
      <c r="I79" s="626"/>
      <c r="J79" s="627"/>
      <c r="K79" s="627" t="s">
        <v>214</v>
      </c>
      <c r="L79" s="627" t="s">
        <v>214</v>
      </c>
      <c r="M79" s="627" t="s">
        <v>214</v>
      </c>
      <c r="N79" s="627" t="s">
        <v>214</v>
      </c>
      <c r="O79" s="627" t="s">
        <v>214</v>
      </c>
      <c r="P79" s="627"/>
      <c r="Q79" s="627"/>
      <c r="R79" s="627"/>
      <c r="S79" s="627"/>
      <c r="T79" s="627"/>
      <c r="U79" s="627"/>
      <c r="V79" s="740">
        <v>1</v>
      </c>
      <c r="W79" s="626">
        <f t="shared" si="15"/>
        <v>1</v>
      </c>
      <c r="X79" s="747">
        <f t="shared" si="16"/>
        <v>5</v>
      </c>
      <c r="Y79" s="743"/>
      <c r="Z79" s="348">
        <v>0</v>
      </c>
      <c r="AA79" s="257">
        <f t="shared" si="18"/>
        <v>0</v>
      </c>
      <c r="AB79" s="307"/>
      <c r="AC79" s="307"/>
      <c r="AD79" s="307"/>
      <c r="AE79" s="307"/>
      <c r="AF79" s="307"/>
      <c r="AG79" s="307"/>
      <c r="AH79" s="307"/>
      <c r="AI79" s="307"/>
      <c r="AJ79" s="307"/>
      <c r="AK79" s="307"/>
      <c r="AL79" s="307"/>
      <c r="AM79" s="307"/>
      <c r="AN79" s="307"/>
      <c r="AO79" s="307"/>
      <c r="AP79" s="307"/>
      <c r="AQ79" s="307"/>
      <c r="AR79" s="307"/>
      <c r="AS79" s="307"/>
      <c r="AT79" s="307"/>
      <c r="AU79" s="307"/>
      <c r="AV79" s="307"/>
      <c r="AW79" s="307"/>
      <c r="AX79" s="307"/>
      <c r="AY79" s="307"/>
      <c r="AZ79" s="307"/>
      <c r="BA79" s="307"/>
      <c r="BB79" s="307"/>
      <c r="BC79" s="307"/>
      <c r="BD79" s="307"/>
      <c r="BE79" s="307"/>
    </row>
    <row r="80" spans="1:57" s="308" customFormat="1" ht="32.1" customHeight="1">
      <c r="A80" s="753">
        <v>63</v>
      </c>
      <c r="B80" s="249" t="s">
        <v>159</v>
      </c>
      <c r="C80" s="472" t="s">
        <v>160</v>
      </c>
      <c r="D80" s="745">
        <v>150740078</v>
      </c>
      <c r="E80" s="470">
        <v>35917</v>
      </c>
      <c r="F80" s="751" t="s">
        <v>214</v>
      </c>
      <c r="G80" s="751" t="s">
        <v>214</v>
      </c>
      <c r="H80" s="751" t="s">
        <v>214</v>
      </c>
      <c r="I80" s="751" t="s">
        <v>214</v>
      </c>
      <c r="J80" s="627"/>
      <c r="K80" s="627"/>
      <c r="L80" s="627" t="s">
        <v>214</v>
      </c>
      <c r="M80" s="627" t="s">
        <v>214</v>
      </c>
      <c r="N80" s="627" t="s">
        <v>214</v>
      </c>
      <c r="O80" s="627" t="s">
        <v>214</v>
      </c>
      <c r="P80" s="627" t="s">
        <v>214</v>
      </c>
      <c r="Q80" s="627" t="s">
        <v>214</v>
      </c>
      <c r="R80" s="627" t="s">
        <v>214</v>
      </c>
      <c r="S80" s="627" t="s">
        <v>214</v>
      </c>
      <c r="T80" s="627" t="s">
        <v>214</v>
      </c>
      <c r="U80" s="627"/>
      <c r="V80" s="740">
        <v>1</v>
      </c>
      <c r="W80" s="626">
        <f t="shared" ref="W80:W88" si="19">IF(SUM(Z80:AA80)&lt;=2,1,0)</f>
        <v>1</v>
      </c>
      <c r="X80" s="747">
        <f t="shared" ref="X80:X88" si="20">COUNTIF(F80:U80,"X")+0.5*COUNTIF(F80:U80,"/")+COUNTIF(F80:U80,"R1")+COUNTIF(F80:U80,"R")+COUNTIF(F80:U80,"R")+COUNTIF(F80:U80,"Xcv")</f>
        <v>13</v>
      </c>
      <c r="Y80" s="743"/>
      <c r="Z80" s="348">
        <v>0</v>
      </c>
      <c r="AA80" s="257">
        <f t="shared" si="18"/>
        <v>0</v>
      </c>
      <c r="AB80" s="307"/>
      <c r="AC80" s="307"/>
      <c r="AD80" s="307"/>
      <c r="AE80" s="307"/>
      <c r="AF80" s="307"/>
      <c r="AG80" s="307"/>
      <c r="AH80" s="307"/>
      <c r="AI80" s="307"/>
      <c r="AJ80" s="307"/>
      <c r="AK80" s="307"/>
      <c r="AL80" s="307"/>
      <c r="AM80" s="307"/>
      <c r="AN80" s="307"/>
      <c r="AO80" s="307"/>
      <c r="AP80" s="307"/>
      <c r="AQ80" s="307"/>
      <c r="AR80" s="307"/>
      <c r="AS80" s="307"/>
      <c r="AT80" s="307"/>
      <c r="AU80" s="307"/>
      <c r="AV80" s="307"/>
      <c r="AW80" s="307"/>
      <c r="AX80" s="307"/>
      <c r="AY80" s="307"/>
      <c r="AZ80" s="307"/>
      <c r="BA80" s="307"/>
      <c r="BB80" s="307"/>
      <c r="BC80" s="307"/>
      <c r="BD80" s="307"/>
      <c r="BE80" s="307"/>
    </row>
    <row r="81" spans="1:57" s="308" customFormat="1" ht="32.1" customHeight="1">
      <c r="A81" s="10">
        <f t="shared" si="17"/>
        <v>64</v>
      </c>
      <c r="B81" s="249" t="s">
        <v>161</v>
      </c>
      <c r="C81" s="469" t="s">
        <v>162</v>
      </c>
      <c r="D81" s="745">
        <v>150922981</v>
      </c>
      <c r="E81" s="470">
        <v>32243</v>
      </c>
      <c r="F81" s="657" t="s">
        <v>202</v>
      </c>
      <c r="G81" s="751" t="s">
        <v>214</v>
      </c>
      <c r="H81" s="751" t="s">
        <v>214</v>
      </c>
      <c r="I81" s="751" t="s">
        <v>214</v>
      </c>
      <c r="J81" s="627"/>
      <c r="K81" s="627"/>
      <c r="L81" s="627" t="s">
        <v>214</v>
      </c>
      <c r="M81" s="627" t="s">
        <v>214</v>
      </c>
      <c r="N81" s="627" t="s">
        <v>214</v>
      </c>
      <c r="O81" s="627" t="s">
        <v>214</v>
      </c>
      <c r="P81" s="658" t="s">
        <v>202</v>
      </c>
      <c r="Q81" s="627" t="s">
        <v>214</v>
      </c>
      <c r="R81" s="627" t="s">
        <v>214</v>
      </c>
      <c r="S81" s="627" t="s">
        <v>214</v>
      </c>
      <c r="T81" s="627" t="s">
        <v>214</v>
      </c>
      <c r="U81" s="627"/>
      <c r="V81" s="740">
        <v>1</v>
      </c>
      <c r="W81" s="741">
        <f t="shared" si="19"/>
        <v>0</v>
      </c>
      <c r="X81" s="747">
        <f t="shared" si="20"/>
        <v>11</v>
      </c>
      <c r="Y81" s="743"/>
      <c r="Z81" s="348">
        <v>1</v>
      </c>
      <c r="AA81" s="257">
        <f t="shared" si="18"/>
        <v>2</v>
      </c>
      <c r="AB81" s="307"/>
      <c r="AC81" s="307"/>
      <c r="AD81" s="307"/>
      <c r="AE81" s="307"/>
      <c r="AF81" s="307"/>
      <c r="AG81" s="307"/>
      <c r="AH81" s="307"/>
      <c r="AI81" s="307"/>
      <c r="AJ81" s="307"/>
      <c r="AK81" s="307"/>
      <c r="AL81" s="307"/>
      <c r="AM81" s="307"/>
      <c r="AN81" s="307"/>
      <c r="AO81" s="307"/>
      <c r="AP81" s="307"/>
      <c r="AQ81" s="307"/>
      <c r="AR81" s="307"/>
      <c r="AS81" s="307"/>
      <c r="AT81" s="307"/>
      <c r="AU81" s="307"/>
      <c r="AV81" s="307"/>
      <c r="AW81" s="307"/>
      <c r="AX81" s="307"/>
      <c r="AY81" s="307"/>
      <c r="AZ81" s="307"/>
      <c r="BA81" s="307"/>
      <c r="BB81" s="307"/>
      <c r="BC81" s="307"/>
      <c r="BD81" s="307"/>
      <c r="BE81" s="307"/>
    </row>
    <row r="82" spans="1:57" s="308" customFormat="1" ht="32.1" customHeight="1">
      <c r="A82" s="10">
        <f t="shared" si="17"/>
        <v>65</v>
      </c>
      <c r="B82" s="474" t="s">
        <v>163</v>
      </c>
      <c r="C82" s="472" t="s">
        <v>164</v>
      </c>
      <c r="D82" s="745">
        <v>150627964</v>
      </c>
      <c r="E82" s="470">
        <v>33054</v>
      </c>
      <c r="F82" s="751" t="s">
        <v>214</v>
      </c>
      <c r="G82" s="751" t="s">
        <v>214</v>
      </c>
      <c r="H82" s="751" t="s">
        <v>214</v>
      </c>
      <c r="I82" s="657" t="s">
        <v>202</v>
      </c>
      <c r="J82" s="627"/>
      <c r="K82" s="627"/>
      <c r="L82" s="627" t="s">
        <v>214</v>
      </c>
      <c r="M82" s="627" t="s">
        <v>214</v>
      </c>
      <c r="N82" s="627" t="s">
        <v>214</v>
      </c>
      <c r="O82" s="627" t="s">
        <v>214</v>
      </c>
      <c r="P82" s="627" t="s">
        <v>214</v>
      </c>
      <c r="Q82" s="627" t="s">
        <v>214</v>
      </c>
      <c r="R82" s="627" t="s">
        <v>214</v>
      </c>
      <c r="S82" s="627" t="s">
        <v>214</v>
      </c>
      <c r="T82" s="627" t="s">
        <v>214</v>
      </c>
      <c r="U82" s="627"/>
      <c r="V82" s="740">
        <v>1</v>
      </c>
      <c r="W82" s="626">
        <f t="shared" si="19"/>
        <v>1</v>
      </c>
      <c r="X82" s="747">
        <f t="shared" si="20"/>
        <v>12</v>
      </c>
      <c r="Y82" s="743"/>
      <c r="Z82" s="348">
        <v>0</v>
      </c>
      <c r="AA82" s="257">
        <f t="shared" si="18"/>
        <v>1</v>
      </c>
      <c r="AB82" s="307"/>
      <c r="AC82" s="307"/>
      <c r="AD82" s="307"/>
      <c r="AE82" s="307"/>
      <c r="AF82" s="307"/>
      <c r="AG82" s="307"/>
      <c r="AH82" s="307"/>
      <c r="AI82" s="307"/>
      <c r="AJ82" s="307"/>
      <c r="AK82" s="307"/>
      <c r="AL82" s="307"/>
      <c r="AM82" s="307"/>
      <c r="AN82" s="307"/>
      <c r="AO82" s="307"/>
      <c r="AP82" s="307"/>
      <c r="AQ82" s="307"/>
      <c r="AR82" s="307"/>
      <c r="AS82" s="307"/>
      <c r="AT82" s="307"/>
      <c r="AU82" s="307"/>
      <c r="AV82" s="307"/>
      <c r="AW82" s="307"/>
      <c r="AX82" s="307"/>
      <c r="AY82" s="307"/>
      <c r="AZ82" s="307"/>
      <c r="BA82" s="307"/>
      <c r="BB82" s="307"/>
      <c r="BC82" s="307"/>
      <c r="BD82" s="307"/>
      <c r="BE82" s="307"/>
    </row>
    <row r="83" spans="1:57" s="308" customFormat="1" ht="32.1" customHeight="1">
      <c r="A83" s="10">
        <f t="shared" si="17"/>
        <v>66</v>
      </c>
      <c r="B83" s="474" t="s">
        <v>217</v>
      </c>
      <c r="C83" s="568" t="s">
        <v>218</v>
      </c>
      <c r="D83" s="745">
        <v>220234318</v>
      </c>
      <c r="E83" s="470">
        <v>34825</v>
      </c>
      <c r="F83" s="751" t="s">
        <v>214</v>
      </c>
      <c r="G83" s="751" t="s">
        <v>214</v>
      </c>
      <c r="H83" s="657" t="s">
        <v>202</v>
      </c>
      <c r="I83" s="751" t="s">
        <v>214</v>
      </c>
      <c r="J83" s="627"/>
      <c r="K83" s="627"/>
      <c r="L83" s="627" t="s">
        <v>214</v>
      </c>
      <c r="M83" s="627" t="s">
        <v>214</v>
      </c>
      <c r="N83" s="658" t="s">
        <v>202</v>
      </c>
      <c r="O83" s="627" t="s">
        <v>214</v>
      </c>
      <c r="P83" s="627" t="s">
        <v>214</v>
      </c>
      <c r="Q83" s="627" t="s">
        <v>214</v>
      </c>
      <c r="R83" s="627" t="s">
        <v>214</v>
      </c>
      <c r="S83" s="627" t="s">
        <v>214</v>
      </c>
      <c r="T83" s="627" t="s">
        <v>214</v>
      </c>
      <c r="U83" s="627"/>
      <c r="V83" s="740">
        <v>1</v>
      </c>
      <c r="W83" s="626">
        <f t="shared" si="19"/>
        <v>1</v>
      </c>
      <c r="X83" s="747">
        <f t="shared" si="20"/>
        <v>11</v>
      </c>
      <c r="Y83" s="743"/>
      <c r="Z83" s="348">
        <v>0</v>
      </c>
      <c r="AA83" s="257">
        <f t="shared" si="18"/>
        <v>2</v>
      </c>
      <c r="AB83" s="307"/>
      <c r="AC83" s="307"/>
      <c r="AD83" s="307"/>
      <c r="AE83" s="307"/>
      <c r="AF83" s="307"/>
      <c r="AG83" s="307"/>
      <c r="AH83" s="307"/>
      <c r="AI83" s="307"/>
      <c r="AJ83" s="307"/>
      <c r="AK83" s="307"/>
      <c r="AL83" s="307"/>
      <c r="AM83" s="307"/>
      <c r="AN83" s="307"/>
      <c r="AO83" s="307"/>
      <c r="AP83" s="307"/>
      <c r="AQ83" s="307"/>
      <c r="AR83" s="307"/>
      <c r="AS83" s="307"/>
      <c r="AT83" s="307"/>
      <c r="AU83" s="307"/>
      <c r="AV83" s="307"/>
      <c r="AW83" s="307"/>
      <c r="AX83" s="307"/>
      <c r="AY83" s="307"/>
      <c r="AZ83" s="307"/>
      <c r="BA83" s="307"/>
      <c r="BB83" s="307"/>
      <c r="BC83" s="307"/>
      <c r="BD83" s="307"/>
      <c r="BE83" s="307"/>
    </row>
    <row r="84" spans="1:57" s="308" customFormat="1" ht="32.1" customHeight="1">
      <c r="A84" s="10">
        <f t="shared" si="17"/>
        <v>67</v>
      </c>
      <c r="B84" s="249" t="s">
        <v>165</v>
      </c>
      <c r="C84" s="467" t="s">
        <v>191</v>
      </c>
      <c r="D84" s="745">
        <v>220175244</v>
      </c>
      <c r="E84" s="468">
        <v>35680</v>
      </c>
      <c r="F84" s="751" t="s">
        <v>214</v>
      </c>
      <c r="G84" s="751" t="s">
        <v>214</v>
      </c>
      <c r="H84" s="751" t="s">
        <v>214</v>
      </c>
      <c r="I84" s="751" t="s">
        <v>214</v>
      </c>
      <c r="J84" s="627"/>
      <c r="K84" s="627"/>
      <c r="L84" s="658" t="s">
        <v>202</v>
      </c>
      <c r="M84" s="627" t="s">
        <v>214</v>
      </c>
      <c r="N84" s="627" t="s">
        <v>214</v>
      </c>
      <c r="O84" s="627" t="s">
        <v>214</v>
      </c>
      <c r="P84" s="627" t="s">
        <v>214</v>
      </c>
      <c r="Q84" s="627" t="s">
        <v>214</v>
      </c>
      <c r="R84" s="627" t="s">
        <v>214</v>
      </c>
      <c r="S84" s="627" t="s">
        <v>214</v>
      </c>
      <c r="T84" s="627" t="s">
        <v>214</v>
      </c>
      <c r="U84" s="627"/>
      <c r="V84" s="740">
        <v>1</v>
      </c>
      <c r="W84" s="626">
        <f t="shared" si="19"/>
        <v>1</v>
      </c>
      <c r="X84" s="747">
        <f t="shared" si="20"/>
        <v>12</v>
      </c>
      <c r="Y84" s="743"/>
      <c r="Z84" s="348">
        <v>0</v>
      </c>
      <c r="AA84" s="257">
        <f t="shared" si="18"/>
        <v>1</v>
      </c>
      <c r="AB84" s="307"/>
      <c r="AC84" s="307"/>
      <c r="AD84" s="307"/>
      <c r="AE84" s="307"/>
      <c r="AF84" s="307"/>
      <c r="AG84" s="307"/>
      <c r="AH84" s="307"/>
      <c r="AI84" s="307"/>
      <c r="AJ84" s="307"/>
      <c r="AK84" s="307"/>
      <c r="AL84" s="307"/>
      <c r="AM84" s="307"/>
      <c r="AN84" s="307"/>
      <c r="AO84" s="307"/>
      <c r="AP84" s="307"/>
      <c r="AQ84" s="307"/>
      <c r="AR84" s="307"/>
      <c r="AS84" s="307"/>
      <c r="AT84" s="307"/>
      <c r="AU84" s="307"/>
      <c r="AV84" s="307"/>
      <c r="AW84" s="307"/>
      <c r="AX84" s="307"/>
      <c r="AY84" s="307"/>
      <c r="AZ84" s="307"/>
      <c r="BA84" s="307"/>
      <c r="BB84" s="307"/>
      <c r="BC84" s="307"/>
      <c r="BD84" s="307"/>
      <c r="BE84" s="307"/>
    </row>
    <row r="85" spans="1:57" ht="32.1" customHeight="1">
      <c r="A85" s="10">
        <f t="shared" si="17"/>
        <v>68</v>
      </c>
      <c r="B85" s="249" t="s">
        <v>166</v>
      </c>
      <c r="C85" s="467" t="s">
        <v>167</v>
      </c>
      <c r="D85" s="745">
        <v>150565864</v>
      </c>
      <c r="E85" s="468">
        <v>32893</v>
      </c>
      <c r="F85" s="751" t="s">
        <v>214</v>
      </c>
      <c r="G85" s="751" t="s">
        <v>214</v>
      </c>
      <c r="H85" s="751" t="s">
        <v>214</v>
      </c>
      <c r="I85" s="751" t="s">
        <v>214</v>
      </c>
      <c r="J85" s="627"/>
      <c r="K85" s="627"/>
      <c r="L85" s="658" t="s">
        <v>202</v>
      </c>
      <c r="M85" s="627" t="s">
        <v>214</v>
      </c>
      <c r="N85" s="627" t="s">
        <v>214</v>
      </c>
      <c r="O85" s="627" t="s">
        <v>214</v>
      </c>
      <c r="P85" s="627" t="s">
        <v>214</v>
      </c>
      <c r="Q85" s="627" t="s">
        <v>214</v>
      </c>
      <c r="R85" s="627" t="s">
        <v>214</v>
      </c>
      <c r="S85" s="627" t="s">
        <v>214</v>
      </c>
      <c r="T85" s="627" t="s">
        <v>214</v>
      </c>
      <c r="U85" s="627"/>
      <c r="V85" s="740">
        <v>1</v>
      </c>
      <c r="W85" s="626">
        <f t="shared" si="19"/>
        <v>1</v>
      </c>
      <c r="X85" s="747">
        <f t="shared" si="20"/>
        <v>12</v>
      </c>
      <c r="Y85" s="743"/>
      <c r="Z85" s="348">
        <v>0</v>
      </c>
      <c r="AA85" s="257">
        <f t="shared" si="18"/>
        <v>1</v>
      </c>
    </row>
    <row r="86" spans="1:57" ht="32.1" customHeight="1">
      <c r="A86" s="10">
        <f t="shared" si="17"/>
        <v>69</v>
      </c>
      <c r="B86" s="475" t="s">
        <v>168</v>
      </c>
      <c r="C86" s="476" t="s">
        <v>169</v>
      </c>
      <c r="D86" s="745">
        <v>150612355</v>
      </c>
      <c r="E86" s="477">
        <v>35107</v>
      </c>
      <c r="F86" s="751" t="s">
        <v>214</v>
      </c>
      <c r="G86" s="751" t="s">
        <v>214</v>
      </c>
      <c r="H86" s="751" t="s">
        <v>214</v>
      </c>
      <c r="I86" s="751" t="s">
        <v>214</v>
      </c>
      <c r="J86" s="627"/>
      <c r="K86" s="627"/>
      <c r="L86" s="627" t="s">
        <v>214</v>
      </c>
      <c r="M86" s="627" t="s">
        <v>214</v>
      </c>
      <c r="N86" s="627" t="s">
        <v>214</v>
      </c>
      <c r="O86" s="627" t="s">
        <v>214</v>
      </c>
      <c r="P86" s="627" t="s">
        <v>214</v>
      </c>
      <c r="Q86" s="627" t="s">
        <v>214</v>
      </c>
      <c r="R86" s="627" t="s">
        <v>214</v>
      </c>
      <c r="S86" s="627" t="s">
        <v>214</v>
      </c>
      <c r="T86" s="627" t="s">
        <v>214</v>
      </c>
      <c r="U86" s="627"/>
      <c r="V86" s="740">
        <v>1</v>
      </c>
      <c r="W86" s="626">
        <f t="shared" si="19"/>
        <v>1</v>
      </c>
      <c r="X86" s="747">
        <f t="shared" si="20"/>
        <v>13</v>
      </c>
      <c r="Y86" s="743"/>
      <c r="Z86" s="348">
        <v>0</v>
      </c>
      <c r="AA86" s="257">
        <f t="shared" si="18"/>
        <v>0</v>
      </c>
    </row>
    <row r="87" spans="1:57" ht="32.1" customHeight="1">
      <c r="A87" s="10">
        <f t="shared" si="17"/>
        <v>70</v>
      </c>
      <c r="B87" s="552" t="s">
        <v>72</v>
      </c>
      <c r="C87" s="555" t="s">
        <v>73</v>
      </c>
      <c r="D87" s="745">
        <v>150468451</v>
      </c>
      <c r="E87" s="746">
        <v>32969</v>
      </c>
      <c r="F87" s="751" t="s">
        <v>214</v>
      </c>
      <c r="G87" s="751" t="s">
        <v>214</v>
      </c>
      <c r="H87" s="751" t="s">
        <v>214</v>
      </c>
      <c r="I87" s="751" t="s">
        <v>214</v>
      </c>
      <c r="J87" s="627"/>
      <c r="K87" s="627"/>
      <c r="L87" s="627" t="s">
        <v>214</v>
      </c>
      <c r="M87" s="627" t="s">
        <v>214</v>
      </c>
      <c r="N87" s="627" t="s">
        <v>214</v>
      </c>
      <c r="O87" s="627" t="s">
        <v>214</v>
      </c>
      <c r="P87" s="627" t="s">
        <v>214</v>
      </c>
      <c r="Q87" s="627" t="s">
        <v>214</v>
      </c>
      <c r="R87" s="627" t="s">
        <v>214</v>
      </c>
      <c r="S87" s="627" t="s">
        <v>214</v>
      </c>
      <c r="T87" s="627" t="s">
        <v>214</v>
      </c>
      <c r="U87" s="627"/>
      <c r="V87" s="740">
        <v>1</v>
      </c>
      <c r="W87" s="626">
        <f t="shared" si="19"/>
        <v>1</v>
      </c>
      <c r="X87" s="747">
        <f t="shared" si="20"/>
        <v>13</v>
      </c>
      <c r="Y87" s="743"/>
      <c r="Z87" s="348">
        <v>0</v>
      </c>
      <c r="AA87" s="257">
        <f t="shared" si="18"/>
        <v>0</v>
      </c>
    </row>
    <row r="88" spans="1:57" ht="30" customHeight="1">
      <c r="A88" s="10">
        <f t="shared" si="17"/>
        <v>71</v>
      </c>
      <c r="B88" s="249" t="s">
        <v>170</v>
      </c>
      <c r="C88" s="467" t="s">
        <v>171</v>
      </c>
      <c r="D88" s="745">
        <v>150952614</v>
      </c>
      <c r="E88" s="468">
        <v>37225</v>
      </c>
      <c r="F88" s="751" t="s">
        <v>214</v>
      </c>
      <c r="G88" s="751" t="s">
        <v>214</v>
      </c>
      <c r="H88" s="751" t="s">
        <v>214</v>
      </c>
      <c r="I88" s="751" t="s">
        <v>214</v>
      </c>
      <c r="J88" s="626"/>
      <c r="K88" s="626"/>
      <c r="L88" s="658" t="s">
        <v>202</v>
      </c>
      <c r="M88" s="658" t="s">
        <v>202</v>
      </c>
      <c r="N88" s="627" t="s">
        <v>214</v>
      </c>
      <c r="O88" s="627" t="s">
        <v>214</v>
      </c>
      <c r="P88" s="627" t="s">
        <v>214</v>
      </c>
      <c r="Q88" s="627" t="s">
        <v>214</v>
      </c>
      <c r="R88" s="627" t="s">
        <v>214</v>
      </c>
      <c r="S88" s="627" t="s">
        <v>214</v>
      </c>
      <c r="T88" s="627" t="s">
        <v>214</v>
      </c>
      <c r="U88" s="626"/>
      <c r="V88" s="740">
        <v>1</v>
      </c>
      <c r="W88" s="626">
        <f t="shared" si="19"/>
        <v>1</v>
      </c>
      <c r="X88" s="747">
        <f t="shared" si="20"/>
        <v>11</v>
      </c>
      <c r="Y88" s="743"/>
      <c r="Z88" s="348">
        <v>0</v>
      </c>
      <c r="AA88" s="257">
        <f t="shared" si="18"/>
        <v>2</v>
      </c>
    </row>
    <row r="89" spans="1:57" ht="30" customHeight="1">
      <c r="A89" s="323" t="s">
        <v>365</v>
      </c>
      <c r="B89" s="821" t="s">
        <v>366</v>
      </c>
      <c r="C89" s="822"/>
      <c r="D89" s="822"/>
      <c r="E89" s="823"/>
      <c r="F89" s="306">
        <v>16</v>
      </c>
      <c r="G89" s="306">
        <v>17</v>
      </c>
      <c r="H89" s="306">
        <v>18</v>
      </c>
      <c r="I89" s="306">
        <v>19</v>
      </c>
      <c r="J89" s="306">
        <v>20</v>
      </c>
      <c r="K89" s="306">
        <v>21</v>
      </c>
      <c r="L89" s="306">
        <v>22</v>
      </c>
      <c r="M89" s="306">
        <v>23</v>
      </c>
      <c r="N89" s="306">
        <v>24</v>
      </c>
      <c r="O89" s="306">
        <v>25</v>
      </c>
      <c r="P89" s="306">
        <v>26</v>
      </c>
      <c r="Q89" s="306">
        <v>27</v>
      </c>
      <c r="R89" s="306">
        <v>28</v>
      </c>
      <c r="S89" s="306">
        <v>29</v>
      </c>
      <c r="T89" s="306">
        <v>30</v>
      </c>
      <c r="U89" s="306">
        <v>31</v>
      </c>
      <c r="V89" s="306"/>
      <c r="W89" s="626"/>
      <c r="X89" s="754">
        <f>SUM(X90:X91)</f>
        <v>10.5</v>
      </c>
      <c r="Y89" s="755"/>
    </row>
    <row r="90" spans="1:57" ht="30" customHeight="1">
      <c r="A90" s="756">
        <v>73</v>
      </c>
      <c r="B90" s="249" t="s">
        <v>333</v>
      </c>
      <c r="C90" s="471" t="s">
        <v>332</v>
      </c>
      <c r="D90" s="745">
        <v>151046569</v>
      </c>
      <c r="E90" s="470">
        <v>29407</v>
      </c>
      <c r="F90" s="626"/>
      <c r="G90" s="626"/>
      <c r="H90" s="626"/>
      <c r="I90" s="626"/>
      <c r="J90" s="626"/>
      <c r="K90" s="626"/>
      <c r="L90" s="626"/>
      <c r="M90" s="626"/>
      <c r="N90" s="626"/>
      <c r="O90" s="626"/>
      <c r="P90" s="626"/>
      <c r="Q90" s="626" t="s">
        <v>216</v>
      </c>
      <c r="R90" s="626"/>
      <c r="S90" s="626"/>
      <c r="T90" s="626"/>
      <c r="U90" s="626"/>
      <c r="V90" s="626"/>
      <c r="W90" s="626"/>
      <c r="X90" s="747">
        <f>COUNTIF(F90:U90,"X")+0.5*COUNTIF(F90:U90,"/")+COUNTIF(F90:U90,"R1")+COUNTIF(F90:U90,"R")+COUNTIF(F90:U90,"R")+COUNTIF(F90:U90,"Xcv")</f>
        <v>0.5</v>
      </c>
      <c r="Y90" s="755"/>
    </row>
    <row r="91" spans="1:57" ht="30" customHeight="1">
      <c r="A91" s="756">
        <v>74</v>
      </c>
      <c r="B91" s="26" t="s">
        <v>57</v>
      </c>
      <c r="C91" s="454" t="s">
        <v>58</v>
      </c>
      <c r="D91" s="745">
        <v>110471355</v>
      </c>
      <c r="E91" s="746">
        <v>27485</v>
      </c>
      <c r="F91" s="626" t="s">
        <v>214</v>
      </c>
      <c r="G91" s="626" t="s">
        <v>216</v>
      </c>
      <c r="H91" s="626" t="s">
        <v>214</v>
      </c>
      <c r="I91" s="626" t="s">
        <v>216</v>
      </c>
      <c r="J91" s="626" t="s">
        <v>214</v>
      </c>
      <c r="K91" s="626" t="s">
        <v>216</v>
      </c>
      <c r="L91" s="626" t="s">
        <v>216</v>
      </c>
      <c r="M91" s="626" t="s">
        <v>214</v>
      </c>
      <c r="N91" s="626" t="s">
        <v>216</v>
      </c>
      <c r="O91" s="626" t="s">
        <v>214</v>
      </c>
      <c r="P91" s="626" t="s">
        <v>216</v>
      </c>
      <c r="Q91" s="626"/>
      <c r="R91" s="626" t="s">
        <v>214</v>
      </c>
      <c r="S91" s="626"/>
      <c r="T91" s="626" t="s">
        <v>214</v>
      </c>
      <c r="U91" s="626"/>
      <c r="V91" s="626"/>
      <c r="W91" s="626"/>
      <c r="X91" s="747">
        <f>COUNTIF(F91:U91,"X")+0.5*COUNTIF(F91:U91,"/")</f>
        <v>10</v>
      </c>
      <c r="Y91" s="755"/>
    </row>
    <row r="92" spans="1:57" ht="30" customHeight="1">
      <c r="A92" s="323" t="s">
        <v>214</v>
      </c>
      <c r="B92" s="757" t="s">
        <v>351</v>
      </c>
      <c r="C92" s="26"/>
      <c r="D92" s="745"/>
      <c r="E92" s="746"/>
      <c r="F92" s="626"/>
      <c r="G92" s="626"/>
      <c r="H92" s="626"/>
      <c r="I92" s="626"/>
      <c r="J92" s="626"/>
      <c r="K92" s="626"/>
      <c r="L92" s="626"/>
      <c r="M92" s="626"/>
      <c r="N92" s="626"/>
      <c r="O92" s="626"/>
      <c r="P92" s="626"/>
      <c r="Q92" s="626"/>
      <c r="R92" s="626"/>
      <c r="S92" s="626"/>
      <c r="T92" s="626"/>
      <c r="U92" s="626"/>
      <c r="V92" s="626"/>
      <c r="W92" s="626"/>
      <c r="X92" s="758">
        <f>SUM(X93:X100)</f>
        <v>15.5</v>
      </c>
      <c r="Y92" s="755"/>
    </row>
    <row r="93" spans="1:57" ht="30" customHeight="1">
      <c r="A93" s="756">
        <v>75</v>
      </c>
      <c r="B93" s="453" t="s">
        <v>68</v>
      </c>
      <c r="C93" s="551" t="s">
        <v>69</v>
      </c>
      <c r="D93" s="745">
        <v>150911076</v>
      </c>
      <c r="E93" s="746">
        <v>37169</v>
      </c>
      <c r="F93" s="626"/>
      <c r="G93" s="626" t="s">
        <v>214</v>
      </c>
      <c r="H93" s="626"/>
      <c r="I93" s="626"/>
      <c r="J93" s="626"/>
      <c r="K93" s="626"/>
      <c r="L93" s="626"/>
      <c r="M93" s="626"/>
      <c r="N93" s="626"/>
      <c r="O93" s="626"/>
      <c r="P93" s="626"/>
      <c r="Q93" s="626"/>
      <c r="R93" s="626"/>
      <c r="S93" s="626"/>
      <c r="T93" s="626"/>
      <c r="U93" s="626"/>
      <c r="V93" s="626"/>
      <c r="W93" s="626"/>
      <c r="X93" s="747">
        <f>COUNTIF(F93:U93,"X")+0.5*COUNTIF(F93:U93,"/")</f>
        <v>1</v>
      </c>
      <c r="Y93" s="755"/>
    </row>
    <row r="94" spans="1:57" ht="30" customHeight="1">
      <c r="A94" s="756">
        <v>76</v>
      </c>
      <c r="B94" s="552" t="s">
        <v>76</v>
      </c>
      <c r="C94" s="554" t="s">
        <v>77</v>
      </c>
      <c r="D94" s="748">
        <v>151006137</v>
      </c>
      <c r="E94" s="746">
        <v>38944</v>
      </c>
      <c r="F94" s="626" t="s">
        <v>214</v>
      </c>
      <c r="G94" s="626"/>
      <c r="H94" s="626"/>
      <c r="I94" s="626"/>
      <c r="J94" s="626"/>
      <c r="K94" s="626"/>
      <c r="L94" s="626"/>
      <c r="M94" s="626"/>
      <c r="N94" s="626"/>
      <c r="O94" s="626"/>
      <c r="P94" s="626"/>
      <c r="Q94" s="626"/>
      <c r="R94" s="626"/>
      <c r="S94" s="626"/>
      <c r="T94" s="626"/>
      <c r="U94" s="626"/>
      <c r="V94" s="626"/>
      <c r="W94" s="626"/>
      <c r="X94" s="747">
        <f t="shared" ref="X94:X100" si="21">COUNTIF(F94:U94,"X")+0.5*COUNTIF(F94:U94,"/")</f>
        <v>1</v>
      </c>
      <c r="Y94" s="755"/>
    </row>
    <row r="95" spans="1:57" ht="29.1" customHeight="1">
      <c r="A95" s="756">
        <v>77</v>
      </c>
      <c r="B95" s="560" t="s">
        <v>100</v>
      </c>
      <c r="C95" s="458" t="s">
        <v>101</v>
      </c>
      <c r="D95" s="745">
        <v>150952503</v>
      </c>
      <c r="E95" s="750">
        <v>38207</v>
      </c>
      <c r="F95" s="626" t="s">
        <v>214</v>
      </c>
      <c r="G95" s="626"/>
      <c r="H95" s="626"/>
      <c r="I95" s="626"/>
      <c r="J95" s="626"/>
      <c r="K95" s="626"/>
      <c r="L95" s="626"/>
      <c r="M95" s="626"/>
      <c r="N95" s="626"/>
      <c r="O95" s="626"/>
      <c r="P95" s="626"/>
      <c r="Q95" s="626"/>
      <c r="R95" s="626"/>
      <c r="S95" s="626"/>
      <c r="T95" s="626"/>
      <c r="U95" s="626"/>
      <c r="V95" s="626"/>
      <c r="W95" s="626"/>
      <c r="X95" s="747">
        <f t="shared" si="21"/>
        <v>1</v>
      </c>
      <c r="Y95" s="755"/>
    </row>
    <row r="96" spans="1:57" ht="29.1" customHeight="1">
      <c r="A96" s="756">
        <v>78</v>
      </c>
      <c r="B96" s="453" t="s">
        <v>131</v>
      </c>
      <c r="C96" s="565" t="s">
        <v>132</v>
      </c>
      <c r="D96" s="745">
        <v>150978188</v>
      </c>
      <c r="E96" s="746">
        <v>37990</v>
      </c>
      <c r="F96" s="626"/>
      <c r="G96" s="626"/>
      <c r="H96" s="626"/>
      <c r="I96" s="626"/>
      <c r="J96" s="626" t="s">
        <v>216</v>
      </c>
      <c r="K96" s="626"/>
      <c r="L96" s="626"/>
      <c r="M96" s="626"/>
      <c r="N96" s="626"/>
      <c r="O96" s="626"/>
      <c r="P96" s="626" t="s">
        <v>214</v>
      </c>
      <c r="Q96" s="626" t="s">
        <v>214</v>
      </c>
      <c r="R96" s="626" t="s">
        <v>216</v>
      </c>
      <c r="S96" s="626"/>
      <c r="T96" s="626" t="s">
        <v>216</v>
      </c>
      <c r="U96" s="626"/>
      <c r="V96" s="626"/>
      <c r="W96" s="626"/>
      <c r="X96" s="747">
        <f t="shared" si="21"/>
        <v>3.5</v>
      </c>
      <c r="Y96" s="755"/>
    </row>
    <row r="97" spans="1:25" ht="29.1" customHeight="1">
      <c r="A97" s="756">
        <v>79</v>
      </c>
      <c r="B97" s="453" t="s">
        <v>145</v>
      </c>
      <c r="C97" s="454" t="s">
        <v>146</v>
      </c>
      <c r="D97" s="745">
        <v>151075912</v>
      </c>
      <c r="E97" s="746">
        <v>40097</v>
      </c>
      <c r="F97" s="626" t="s">
        <v>214</v>
      </c>
      <c r="G97" s="626"/>
      <c r="H97" s="626"/>
      <c r="I97" s="626"/>
      <c r="J97" s="626"/>
      <c r="K97" s="626"/>
      <c r="L97" s="626"/>
      <c r="M97" s="626"/>
      <c r="N97" s="626"/>
      <c r="O97" s="626"/>
      <c r="P97" s="626"/>
      <c r="Q97" s="626"/>
      <c r="R97" s="626"/>
      <c r="S97" s="626"/>
      <c r="T97" s="626" t="s">
        <v>214</v>
      </c>
      <c r="U97" s="626"/>
      <c r="V97" s="626"/>
      <c r="W97" s="626"/>
      <c r="X97" s="747">
        <f t="shared" si="21"/>
        <v>2</v>
      </c>
      <c r="Y97" s="755"/>
    </row>
    <row r="98" spans="1:25" ht="29.1" customHeight="1">
      <c r="A98" s="756">
        <v>80</v>
      </c>
      <c r="B98" s="456" t="s">
        <v>147</v>
      </c>
      <c r="C98" s="566" t="s">
        <v>148</v>
      </c>
      <c r="D98" s="745">
        <v>151055393</v>
      </c>
      <c r="E98" s="752">
        <v>39725</v>
      </c>
      <c r="F98" s="626"/>
      <c r="G98" s="626"/>
      <c r="H98" s="626"/>
      <c r="I98" s="626"/>
      <c r="J98" s="626" t="s">
        <v>216</v>
      </c>
      <c r="K98" s="626"/>
      <c r="L98" s="626"/>
      <c r="M98" s="626"/>
      <c r="N98" s="626"/>
      <c r="O98" s="626"/>
      <c r="P98" s="626" t="s">
        <v>214</v>
      </c>
      <c r="Q98" s="626" t="s">
        <v>214</v>
      </c>
      <c r="R98" s="626" t="s">
        <v>216</v>
      </c>
      <c r="S98" s="626"/>
      <c r="T98" s="626" t="s">
        <v>214</v>
      </c>
      <c r="U98" s="626"/>
      <c r="V98" s="626"/>
      <c r="W98" s="626"/>
      <c r="X98" s="747">
        <f t="shared" si="21"/>
        <v>4</v>
      </c>
      <c r="Y98" s="755"/>
    </row>
    <row r="99" spans="1:25" ht="29.1" customHeight="1">
      <c r="A99" s="756">
        <v>81</v>
      </c>
      <c r="B99" s="457" t="s">
        <v>157</v>
      </c>
      <c r="C99" s="458" t="s">
        <v>158</v>
      </c>
      <c r="D99" s="745">
        <v>150845321</v>
      </c>
      <c r="E99" s="750">
        <v>34279</v>
      </c>
      <c r="F99" s="626" t="s">
        <v>214</v>
      </c>
      <c r="G99" s="626" t="s">
        <v>214</v>
      </c>
      <c r="H99" s="626" t="s">
        <v>216</v>
      </c>
      <c r="I99" s="626"/>
      <c r="J99" s="626"/>
      <c r="K99" s="626"/>
      <c r="L99" s="626"/>
      <c r="M99" s="626"/>
      <c r="N99" s="626"/>
      <c r="O99" s="626"/>
      <c r="P99" s="626"/>
      <c r="Q99" s="626"/>
      <c r="R99" s="626"/>
      <c r="S99" s="626"/>
      <c r="T99" s="626"/>
      <c r="U99" s="626"/>
      <c r="V99" s="626"/>
      <c r="W99" s="626"/>
      <c r="X99" s="747">
        <f t="shared" si="21"/>
        <v>2.5</v>
      </c>
      <c r="Y99" s="755"/>
    </row>
    <row r="100" spans="1:25" ht="29.1" customHeight="1">
      <c r="A100" s="756">
        <v>82</v>
      </c>
      <c r="B100" s="457" t="s">
        <v>282</v>
      </c>
      <c r="C100" s="567" t="s">
        <v>283</v>
      </c>
      <c r="D100" s="745">
        <v>220175294</v>
      </c>
      <c r="E100" s="750">
        <v>34814</v>
      </c>
      <c r="F100" s="626" t="s">
        <v>216</v>
      </c>
      <c r="G100" s="626"/>
      <c r="H100" s="626"/>
      <c r="I100" s="626"/>
      <c r="J100" s="626"/>
      <c r="K100" s="626"/>
      <c r="L100" s="626"/>
      <c r="M100" s="626"/>
      <c r="N100" s="626"/>
      <c r="O100" s="626"/>
      <c r="P100" s="626"/>
      <c r="Q100" s="626"/>
      <c r="R100" s="626"/>
      <c r="S100" s="626"/>
      <c r="T100" s="626"/>
      <c r="U100" s="626"/>
      <c r="V100" s="626"/>
      <c r="W100" s="626"/>
      <c r="X100" s="747">
        <f t="shared" si="21"/>
        <v>0.5</v>
      </c>
      <c r="Y100" s="755"/>
    </row>
    <row r="101" spans="1:25" ht="29.1" customHeight="1">
      <c r="A101" s="756" t="s">
        <v>367</v>
      </c>
      <c r="B101" s="759" t="s">
        <v>368</v>
      </c>
      <c r="C101" s="760"/>
      <c r="D101" s="745"/>
      <c r="E101" s="750"/>
      <c r="F101" s="306">
        <v>16</v>
      </c>
      <c r="G101" s="306">
        <v>17</v>
      </c>
      <c r="H101" s="306">
        <v>18</v>
      </c>
      <c r="I101" s="306">
        <v>19</v>
      </c>
      <c r="J101" s="306">
        <v>20</v>
      </c>
      <c r="K101" s="306">
        <v>21</v>
      </c>
      <c r="L101" s="306">
        <v>22</v>
      </c>
      <c r="M101" s="306">
        <v>23</v>
      </c>
      <c r="N101" s="306">
        <v>24</v>
      </c>
      <c r="O101" s="306">
        <v>25</v>
      </c>
      <c r="P101" s="306">
        <v>26</v>
      </c>
      <c r="Q101" s="306">
        <v>27</v>
      </c>
      <c r="R101" s="306">
        <v>28</v>
      </c>
      <c r="S101" s="306">
        <v>29</v>
      </c>
      <c r="T101" s="306">
        <v>30</v>
      </c>
      <c r="U101" s="306">
        <v>31</v>
      </c>
      <c r="V101" s="306"/>
      <c r="W101" s="626"/>
      <c r="X101" s="758">
        <f>SUM(X102:X114)</f>
        <v>64</v>
      </c>
      <c r="Y101" s="755"/>
    </row>
    <row r="102" spans="1:25" ht="29.1" customHeight="1">
      <c r="A102" s="756">
        <v>83</v>
      </c>
      <c r="B102" s="453" t="s">
        <v>68</v>
      </c>
      <c r="C102" s="551" t="s">
        <v>69</v>
      </c>
      <c r="D102" s="745">
        <v>150911076</v>
      </c>
      <c r="E102" s="746">
        <v>37169</v>
      </c>
      <c r="F102" s="626" t="s">
        <v>214</v>
      </c>
      <c r="G102" s="626" t="s">
        <v>214</v>
      </c>
      <c r="H102" s="626" t="s">
        <v>214</v>
      </c>
      <c r="I102" s="626" t="s">
        <v>214</v>
      </c>
      <c r="J102" s="626"/>
      <c r="K102" s="626"/>
      <c r="L102" s="626"/>
      <c r="M102" s="626"/>
      <c r="N102" s="626"/>
      <c r="O102" s="626"/>
      <c r="P102" s="626" t="s">
        <v>214</v>
      </c>
      <c r="Q102" s="626"/>
      <c r="R102" s="626"/>
      <c r="S102" s="626"/>
      <c r="T102" s="626"/>
      <c r="U102" s="626"/>
      <c r="V102" s="626"/>
      <c r="W102" s="626"/>
      <c r="X102" s="747">
        <f t="shared" ref="X102:X114" si="22">COUNTIF(F102:U102,"X")+0.5*COUNTIF(F102:U102,"/")</f>
        <v>5</v>
      </c>
      <c r="Y102" s="755"/>
    </row>
    <row r="103" spans="1:25" ht="29.1" customHeight="1">
      <c r="A103" s="756">
        <f>+A102+1</f>
        <v>84</v>
      </c>
      <c r="B103" s="558" t="s">
        <v>88</v>
      </c>
      <c r="C103" s="559" t="s">
        <v>89</v>
      </c>
      <c r="D103" s="745" t="s">
        <v>184</v>
      </c>
      <c r="E103" s="746">
        <v>31484</v>
      </c>
      <c r="F103" s="626" t="s">
        <v>214</v>
      </c>
      <c r="G103" s="626" t="s">
        <v>214</v>
      </c>
      <c r="H103" s="626" t="s">
        <v>214</v>
      </c>
      <c r="I103" s="626" t="s">
        <v>214</v>
      </c>
      <c r="J103" s="626"/>
      <c r="K103" s="626"/>
      <c r="L103" s="626"/>
      <c r="M103" s="626"/>
      <c r="N103" s="626"/>
      <c r="O103" s="626"/>
      <c r="P103" s="626" t="s">
        <v>214</v>
      </c>
      <c r="Q103" s="626"/>
      <c r="R103" s="626"/>
      <c r="S103" s="626"/>
      <c r="T103" s="626"/>
      <c r="U103" s="626"/>
      <c r="V103" s="626"/>
      <c r="W103" s="626"/>
      <c r="X103" s="747">
        <f t="shared" si="22"/>
        <v>5</v>
      </c>
      <c r="Y103" s="755"/>
    </row>
    <row r="104" spans="1:25" ht="29.1" customHeight="1">
      <c r="A104" s="756">
        <f t="shared" ref="A104:A114" si="23">+A103+1</f>
        <v>85</v>
      </c>
      <c r="B104" s="560" t="s">
        <v>94</v>
      </c>
      <c r="C104" s="562" t="s">
        <v>95</v>
      </c>
      <c r="D104" s="745">
        <v>220137301</v>
      </c>
      <c r="E104" s="750">
        <v>30074</v>
      </c>
      <c r="F104" s="626" t="s">
        <v>214</v>
      </c>
      <c r="G104" s="626" t="s">
        <v>214</v>
      </c>
      <c r="H104" s="626" t="s">
        <v>214</v>
      </c>
      <c r="I104" s="626" t="s">
        <v>214</v>
      </c>
      <c r="J104" s="626"/>
      <c r="K104" s="626"/>
      <c r="L104" s="626"/>
      <c r="M104" s="626"/>
      <c r="N104" s="626"/>
      <c r="O104" s="626"/>
      <c r="P104" s="626" t="s">
        <v>214</v>
      </c>
      <c r="Q104" s="626"/>
      <c r="R104" s="626"/>
      <c r="S104" s="626"/>
      <c r="T104" s="626"/>
      <c r="U104" s="626"/>
      <c r="V104" s="626"/>
      <c r="W104" s="626"/>
      <c r="X104" s="747">
        <f t="shared" si="22"/>
        <v>5</v>
      </c>
      <c r="Y104" s="755"/>
    </row>
    <row r="105" spans="1:25" ht="29.1" customHeight="1">
      <c r="A105" s="756">
        <f t="shared" si="23"/>
        <v>86</v>
      </c>
      <c r="B105" s="560" t="s">
        <v>102</v>
      </c>
      <c r="C105" s="458" t="s">
        <v>103</v>
      </c>
      <c r="D105" s="745">
        <v>220248893</v>
      </c>
      <c r="E105" s="750">
        <v>33855</v>
      </c>
      <c r="F105" s="626" t="s">
        <v>214</v>
      </c>
      <c r="G105" s="626" t="s">
        <v>214</v>
      </c>
      <c r="H105" s="626" t="s">
        <v>214</v>
      </c>
      <c r="I105" s="626" t="s">
        <v>214</v>
      </c>
      <c r="J105" s="626"/>
      <c r="K105" s="626"/>
      <c r="L105" s="626"/>
      <c r="M105" s="626"/>
      <c r="N105" s="626"/>
      <c r="O105" s="626"/>
      <c r="P105" s="626" t="s">
        <v>214</v>
      </c>
      <c r="Q105" s="626"/>
      <c r="R105" s="626"/>
      <c r="S105" s="626"/>
      <c r="T105" s="626"/>
      <c r="U105" s="626"/>
      <c r="V105" s="626"/>
      <c r="W105" s="626"/>
      <c r="X105" s="747">
        <f t="shared" si="22"/>
        <v>5</v>
      </c>
      <c r="Y105" s="755"/>
    </row>
    <row r="106" spans="1:25" ht="29.1" customHeight="1">
      <c r="A106" s="756">
        <f t="shared" si="23"/>
        <v>87</v>
      </c>
      <c r="B106" s="564" t="s">
        <v>278</v>
      </c>
      <c r="C106" s="563" t="s">
        <v>279</v>
      </c>
      <c r="D106" s="745">
        <v>220211460</v>
      </c>
      <c r="E106" s="750">
        <v>37970</v>
      </c>
      <c r="F106" s="626" t="s">
        <v>214</v>
      </c>
      <c r="G106" s="626" t="s">
        <v>214</v>
      </c>
      <c r="H106" s="626" t="s">
        <v>214</v>
      </c>
      <c r="I106" s="626" t="s">
        <v>214</v>
      </c>
      <c r="J106" s="626"/>
      <c r="K106" s="626"/>
      <c r="L106" s="626"/>
      <c r="M106" s="626"/>
      <c r="N106" s="626"/>
      <c r="O106" s="626"/>
      <c r="P106" s="626" t="s">
        <v>214</v>
      </c>
      <c r="Q106" s="626"/>
      <c r="R106" s="626"/>
      <c r="S106" s="626"/>
      <c r="T106" s="626"/>
      <c r="U106" s="626"/>
      <c r="V106" s="626"/>
      <c r="W106" s="626"/>
      <c r="X106" s="747">
        <f t="shared" si="22"/>
        <v>5</v>
      </c>
      <c r="Y106" s="755"/>
    </row>
    <row r="107" spans="1:25" ht="29.1" customHeight="1">
      <c r="A107" s="756">
        <f t="shared" si="23"/>
        <v>88</v>
      </c>
      <c r="B107" s="453" t="s">
        <v>135</v>
      </c>
      <c r="C107" s="454" t="s">
        <v>136</v>
      </c>
      <c r="D107" s="745" t="s">
        <v>189</v>
      </c>
      <c r="E107" s="746">
        <v>31934</v>
      </c>
      <c r="F107" s="626" t="s">
        <v>214</v>
      </c>
      <c r="G107" s="626" t="s">
        <v>214</v>
      </c>
      <c r="H107" s="626" t="s">
        <v>214</v>
      </c>
      <c r="I107" s="626" t="s">
        <v>214</v>
      </c>
      <c r="J107" s="626"/>
      <c r="K107" s="626"/>
      <c r="L107" s="626"/>
      <c r="M107" s="626"/>
      <c r="N107" s="626"/>
      <c r="O107" s="626"/>
      <c r="P107" s="626" t="s">
        <v>214</v>
      </c>
      <c r="Q107" s="626"/>
      <c r="R107" s="626"/>
      <c r="S107" s="626"/>
      <c r="T107" s="626"/>
      <c r="U107" s="626"/>
      <c r="V107" s="626"/>
      <c r="W107" s="626"/>
      <c r="X107" s="747">
        <f t="shared" si="22"/>
        <v>5</v>
      </c>
      <c r="Y107" s="755"/>
    </row>
    <row r="108" spans="1:25" ht="29.1" customHeight="1">
      <c r="A108" s="756">
        <f t="shared" si="23"/>
        <v>89</v>
      </c>
      <c r="B108" s="453" t="s">
        <v>131</v>
      </c>
      <c r="C108" s="565" t="s">
        <v>132</v>
      </c>
      <c r="D108" s="745">
        <v>150978188</v>
      </c>
      <c r="E108" s="746">
        <v>37990</v>
      </c>
      <c r="F108" s="626" t="s">
        <v>214</v>
      </c>
      <c r="G108" s="626" t="s">
        <v>214</v>
      </c>
      <c r="H108" s="626" t="s">
        <v>214</v>
      </c>
      <c r="I108" s="626" t="s">
        <v>214</v>
      </c>
      <c r="J108" s="626" t="s">
        <v>214</v>
      </c>
      <c r="K108" s="626"/>
      <c r="L108" s="626"/>
      <c r="M108" s="626"/>
      <c r="N108" s="626"/>
      <c r="O108" s="626"/>
      <c r="P108" s="626"/>
      <c r="Q108" s="626"/>
      <c r="R108" s="626"/>
      <c r="S108" s="626"/>
      <c r="T108" s="626"/>
      <c r="U108" s="626"/>
      <c r="V108" s="626"/>
      <c r="W108" s="626"/>
      <c r="X108" s="747">
        <f t="shared" si="22"/>
        <v>5</v>
      </c>
      <c r="Y108" s="755"/>
    </row>
    <row r="109" spans="1:25" ht="29.1" customHeight="1">
      <c r="A109" s="756">
        <f t="shared" si="23"/>
        <v>90</v>
      </c>
      <c r="B109" s="453" t="s">
        <v>139</v>
      </c>
      <c r="C109" s="454" t="s">
        <v>140</v>
      </c>
      <c r="D109" s="745" t="s">
        <v>190</v>
      </c>
      <c r="E109" s="746">
        <v>35221</v>
      </c>
      <c r="F109" s="626" t="s">
        <v>214</v>
      </c>
      <c r="G109" s="626" t="s">
        <v>214</v>
      </c>
      <c r="H109" s="626" t="s">
        <v>214</v>
      </c>
      <c r="I109" s="626" t="s">
        <v>214</v>
      </c>
      <c r="J109" s="626" t="s">
        <v>214</v>
      </c>
      <c r="K109" s="626"/>
      <c r="L109" s="626"/>
      <c r="M109" s="626"/>
      <c r="N109" s="626"/>
      <c r="O109" s="626"/>
      <c r="P109" s="626"/>
      <c r="Q109" s="626"/>
      <c r="R109" s="626"/>
      <c r="S109" s="626"/>
      <c r="T109" s="626"/>
      <c r="U109" s="626"/>
      <c r="V109" s="626"/>
      <c r="W109" s="626"/>
      <c r="X109" s="747">
        <f t="shared" si="22"/>
        <v>5</v>
      </c>
      <c r="Y109" s="755"/>
    </row>
    <row r="110" spans="1:25" ht="29.1" customHeight="1">
      <c r="A110" s="756">
        <f t="shared" si="23"/>
        <v>91</v>
      </c>
      <c r="B110" s="453" t="s">
        <v>143</v>
      </c>
      <c r="C110" s="454" t="s">
        <v>144</v>
      </c>
      <c r="D110" s="745">
        <v>150925395</v>
      </c>
      <c r="E110" s="746">
        <v>26483</v>
      </c>
      <c r="F110" s="626" t="s">
        <v>214</v>
      </c>
      <c r="G110" s="626" t="s">
        <v>214</v>
      </c>
      <c r="H110" s="626" t="s">
        <v>214</v>
      </c>
      <c r="I110" s="626" t="s">
        <v>214</v>
      </c>
      <c r="J110" s="626" t="s">
        <v>214</v>
      </c>
      <c r="K110" s="626"/>
      <c r="L110" s="626"/>
      <c r="M110" s="626"/>
      <c r="N110" s="626"/>
      <c r="O110" s="626"/>
      <c r="P110" s="626"/>
      <c r="Q110" s="626"/>
      <c r="R110" s="626"/>
      <c r="S110" s="626"/>
      <c r="T110" s="626"/>
      <c r="U110" s="626"/>
      <c r="V110" s="626"/>
      <c r="W110" s="626"/>
      <c r="X110" s="747">
        <f t="shared" si="22"/>
        <v>5</v>
      </c>
      <c r="Y110" s="755"/>
    </row>
    <row r="111" spans="1:25" ht="29.1" customHeight="1">
      <c r="A111" s="756">
        <f t="shared" si="23"/>
        <v>92</v>
      </c>
      <c r="B111" s="456" t="s">
        <v>147</v>
      </c>
      <c r="C111" s="566" t="s">
        <v>148</v>
      </c>
      <c r="D111" s="745">
        <v>151055393</v>
      </c>
      <c r="E111" s="752">
        <v>39725</v>
      </c>
      <c r="F111" s="626" t="s">
        <v>214</v>
      </c>
      <c r="G111" s="626" t="s">
        <v>214</v>
      </c>
      <c r="H111" s="626" t="s">
        <v>214</v>
      </c>
      <c r="I111" s="626" t="s">
        <v>214</v>
      </c>
      <c r="J111" s="626" t="s">
        <v>214</v>
      </c>
      <c r="K111" s="626"/>
      <c r="L111" s="626"/>
      <c r="M111" s="626"/>
      <c r="N111" s="626"/>
      <c r="O111" s="626"/>
      <c r="P111" s="626"/>
      <c r="Q111" s="626"/>
      <c r="R111" s="626"/>
      <c r="S111" s="626"/>
      <c r="T111" s="626"/>
      <c r="U111" s="626"/>
      <c r="V111" s="626"/>
      <c r="W111" s="626"/>
      <c r="X111" s="747">
        <f t="shared" si="22"/>
        <v>5</v>
      </c>
      <c r="Y111" s="755"/>
    </row>
    <row r="112" spans="1:25" ht="29.1" customHeight="1">
      <c r="A112" s="756">
        <f t="shared" si="23"/>
        <v>93</v>
      </c>
      <c r="B112" s="457" t="s">
        <v>155</v>
      </c>
      <c r="C112" s="458" t="s">
        <v>156</v>
      </c>
      <c r="D112" s="745">
        <v>151048971</v>
      </c>
      <c r="E112" s="750">
        <v>39552</v>
      </c>
      <c r="F112" s="626" t="s">
        <v>214</v>
      </c>
      <c r="G112" s="626" t="s">
        <v>214</v>
      </c>
      <c r="H112" s="626" t="s">
        <v>214</v>
      </c>
      <c r="I112" s="626" t="s">
        <v>214</v>
      </c>
      <c r="J112" s="626" t="s">
        <v>214</v>
      </c>
      <c r="K112" s="626"/>
      <c r="L112" s="626"/>
      <c r="M112" s="626"/>
      <c r="N112" s="626"/>
      <c r="O112" s="626"/>
      <c r="P112" s="626"/>
      <c r="Q112" s="626"/>
      <c r="R112" s="626"/>
      <c r="S112" s="626"/>
      <c r="T112" s="626"/>
      <c r="U112" s="626"/>
      <c r="V112" s="626"/>
      <c r="W112" s="626"/>
      <c r="X112" s="747">
        <f t="shared" si="22"/>
        <v>5</v>
      </c>
      <c r="Y112" s="755"/>
    </row>
    <row r="113" spans="1:25" ht="29.1" customHeight="1">
      <c r="A113" s="756">
        <f t="shared" si="23"/>
        <v>94</v>
      </c>
      <c r="B113" s="457" t="s">
        <v>324</v>
      </c>
      <c r="C113" s="567" t="s">
        <v>325</v>
      </c>
      <c r="D113" s="745">
        <v>150582830</v>
      </c>
      <c r="E113" s="750">
        <v>35768</v>
      </c>
      <c r="F113" s="626" t="s">
        <v>214</v>
      </c>
      <c r="G113" s="626" t="s">
        <v>214</v>
      </c>
      <c r="H113" s="626" t="s">
        <v>214</v>
      </c>
      <c r="I113" s="626" t="s">
        <v>214</v>
      </c>
      <c r="J113" s="626" t="s">
        <v>214</v>
      </c>
      <c r="K113" s="626"/>
      <c r="L113" s="626"/>
      <c r="M113" s="626"/>
      <c r="N113" s="626"/>
      <c r="O113" s="626"/>
      <c r="P113" s="626"/>
      <c r="Q113" s="626"/>
      <c r="R113" s="626"/>
      <c r="S113" s="626"/>
      <c r="T113" s="626"/>
      <c r="U113" s="626"/>
      <c r="V113" s="626"/>
      <c r="W113" s="626"/>
      <c r="X113" s="747">
        <f t="shared" si="22"/>
        <v>5</v>
      </c>
      <c r="Y113" s="755"/>
    </row>
    <row r="114" spans="1:25" ht="18.75">
      <c r="A114" s="756">
        <f t="shared" si="23"/>
        <v>95</v>
      </c>
      <c r="B114" s="558" t="s">
        <v>280</v>
      </c>
      <c r="C114" s="563" t="s">
        <v>281</v>
      </c>
      <c r="D114" s="745">
        <v>151056059</v>
      </c>
      <c r="E114" s="750">
        <v>38810</v>
      </c>
      <c r="F114" s="626" t="s">
        <v>214</v>
      </c>
      <c r="G114" s="626" t="s">
        <v>214</v>
      </c>
      <c r="H114" s="626" t="s">
        <v>214</v>
      </c>
      <c r="I114" s="626" t="s">
        <v>214</v>
      </c>
      <c r="J114" s="626"/>
      <c r="K114" s="626"/>
      <c r="L114" s="626"/>
      <c r="M114" s="626"/>
      <c r="N114" s="626"/>
      <c r="O114" s="626"/>
      <c r="P114" s="626"/>
      <c r="Q114" s="626"/>
      <c r="R114" s="626"/>
      <c r="S114" s="626"/>
      <c r="T114" s="626"/>
      <c r="U114" s="626"/>
      <c r="V114" s="626"/>
      <c r="W114" s="626"/>
      <c r="X114" s="747">
        <f t="shared" si="22"/>
        <v>4</v>
      </c>
      <c r="Y114" s="755"/>
    </row>
    <row r="115" spans="1:25">
      <c r="A115" s="10"/>
      <c r="B115" s="830" t="s">
        <v>203</v>
      </c>
      <c r="C115" s="830"/>
      <c r="D115" s="761"/>
      <c r="E115" s="746"/>
      <c r="F115" s="633"/>
      <c r="G115" s="633"/>
      <c r="H115" s="633"/>
      <c r="I115" s="633"/>
      <c r="J115" s="633"/>
      <c r="K115" s="633"/>
      <c r="L115" s="633"/>
      <c r="M115" s="633"/>
      <c r="N115" s="633"/>
      <c r="O115" s="633"/>
      <c r="P115" s="633"/>
      <c r="Q115" s="633"/>
      <c r="R115" s="633"/>
      <c r="S115" s="633"/>
      <c r="T115" s="633"/>
      <c r="U115" s="633"/>
      <c r="V115" s="12">
        <f>SUM(V12:V88)</f>
        <v>71</v>
      </c>
      <c r="W115" s="12">
        <f>SUM(W12:W88)</f>
        <v>60</v>
      </c>
      <c r="X115" s="747"/>
      <c r="Y115" s="743"/>
    </row>
    <row r="116" spans="1:25">
      <c r="A116" s="762"/>
      <c r="B116" s="763"/>
      <c r="C116" s="763"/>
      <c r="D116" s="764"/>
      <c r="E116" s="765"/>
      <c r="F116" s="766"/>
      <c r="G116" s="766"/>
      <c r="H116" s="766"/>
      <c r="I116" s="766"/>
      <c r="J116" s="766"/>
      <c r="K116" s="766"/>
      <c r="L116" s="766"/>
      <c r="M116" s="766"/>
      <c r="N116" s="766"/>
      <c r="O116" s="766"/>
      <c r="P116" s="766"/>
      <c r="Q116" s="766"/>
      <c r="R116" s="766"/>
      <c r="S116" s="766"/>
      <c r="T116" s="766"/>
      <c r="U116" s="766"/>
      <c r="V116" s="766"/>
      <c r="W116" s="767"/>
      <c r="X116" s="768"/>
      <c r="Y116" s="769"/>
    </row>
    <row r="117" spans="1:25">
      <c r="A117" s="581"/>
      <c r="B117" s="831" t="s">
        <v>14</v>
      </c>
      <c r="C117" s="831"/>
      <c r="D117" s="770"/>
      <c r="E117" s="771"/>
      <c r="F117" s="4"/>
      <c r="G117" s="770"/>
      <c r="H117" s="770"/>
      <c r="I117" s="770"/>
      <c r="J117" s="770"/>
      <c r="K117" s="770"/>
      <c r="L117" s="770"/>
      <c r="M117" s="770"/>
      <c r="N117" s="770"/>
      <c r="O117" s="770"/>
      <c r="P117" s="832" t="s">
        <v>270</v>
      </c>
      <c r="Q117" s="832"/>
      <c r="R117" s="832"/>
      <c r="S117" s="832"/>
      <c r="T117" s="832"/>
      <c r="U117" s="832"/>
      <c r="V117" s="832"/>
      <c r="W117" s="832"/>
      <c r="X117" s="832"/>
      <c r="Y117" s="832"/>
    </row>
    <row r="118" spans="1:25">
      <c r="A118" s="581"/>
      <c r="B118" s="829" t="s">
        <v>16</v>
      </c>
      <c r="C118" s="829"/>
      <c r="D118" s="772"/>
      <c r="E118" s="580"/>
      <c r="F118" s="4"/>
      <c r="G118" s="772"/>
      <c r="H118" s="772"/>
      <c r="I118" s="772"/>
      <c r="J118" s="772"/>
      <c r="K118" s="772"/>
      <c r="L118" s="772"/>
      <c r="M118" s="772"/>
      <c r="N118" s="772"/>
      <c r="O118" s="772"/>
      <c r="P118" s="799" t="s">
        <v>271</v>
      </c>
      <c r="Q118" s="799"/>
      <c r="R118" s="799"/>
      <c r="S118" s="799"/>
      <c r="T118" s="799"/>
      <c r="U118" s="799"/>
      <c r="V118" s="799"/>
      <c r="W118" s="799"/>
      <c r="X118" s="799"/>
      <c r="Y118" s="799"/>
    </row>
    <row r="119" spans="1:25">
      <c r="A119" s="581"/>
      <c r="B119" s="4"/>
      <c r="C119" s="4"/>
      <c r="D119" s="4"/>
      <c r="E119" s="58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>
      <c r="A120" s="773"/>
      <c r="B120" s="774"/>
      <c r="C120" s="775"/>
      <c r="D120" s="776"/>
      <c r="E120" s="777"/>
      <c r="F120" s="773"/>
      <c r="G120" s="773"/>
      <c r="H120" s="773"/>
      <c r="I120" s="773"/>
      <c r="J120" s="773"/>
      <c r="K120" s="773"/>
      <c r="L120" s="773"/>
      <c r="M120" s="773"/>
      <c r="N120" s="773"/>
      <c r="O120" s="773"/>
      <c r="P120" s="773"/>
      <c r="Q120" s="773"/>
      <c r="R120" s="773"/>
      <c r="S120" s="773"/>
      <c r="T120" s="773"/>
      <c r="U120" s="773"/>
      <c r="V120" s="773"/>
      <c r="W120" s="773"/>
      <c r="X120" s="778"/>
      <c r="Y120" s="773"/>
    </row>
    <row r="121" spans="1:25">
      <c r="A121" s="581"/>
      <c r="B121" s="829" t="s">
        <v>17</v>
      </c>
      <c r="C121" s="829"/>
      <c r="D121" s="4"/>
      <c r="E121" s="58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>
      <c r="A122" s="581"/>
      <c r="B122" s="4"/>
      <c r="C122" s="4"/>
      <c r="D122" s="4"/>
      <c r="E122" s="58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25"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25"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25"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</sheetData>
  <autoFilter ref="A11:AE85"/>
  <mergeCells count="20">
    <mergeCell ref="B121:C121"/>
    <mergeCell ref="B115:C115"/>
    <mergeCell ref="B117:C117"/>
    <mergeCell ref="P117:Y117"/>
    <mergeCell ref="B118:C118"/>
    <mergeCell ref="P118:Y118"/>
    <mergeCell ref="B89:E89"/>
    <mergeCell ref="A1:D1"/>
    <mergeCell ref="A2:D2"/>
    <mergeCell ref="A3:D3"/>
    <mergeCell ref="A4:D4"/>
    <mergeCell ref="A7:Y7"/>
    <mergeCell ref="A8:Y8"/>
    <mergeCell ref="A9:Y9"/>
    <mergeCell ref="F10:U10"/>
    <mergeCell ref="P1:Y1"/>
    <mergeCell ref="P2:Y2"/>
    <mergeCell ref="P3:Y3"/>
    <mergeCell ref="P4:Y4"/>
    <mergeCell ref="A6:Y6"/>
  </mergeCells>
  <printOptions horizontalCentered="1"/>
  <pageMargins left="0.19685039370078741" right="0.19685039370078741" top="0.43307086614173229" bottom="0.43307086614173229" header="0.23622047244094491" footer="0.23622047244094491"/>
  <pageSetup paperSize="9" scale="8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zoomScale="70" zoomScaleNormal="70" workbookViewId="0">
      <selection activeCell="C40" sqref="C40"/>
    </sheetView>
  </sheetViews>
  <sheetFormatPr defaultRowHeight="14.25"/>
  <cols>
    <col min="1" max="1" width="7.5" style="356" customWidth="1"/>
    <col min="2" max="2" width="62.875" style="356" customWidth="1"/>
    <col min="3" max="3" width="16.875" style="356" customWidth="1"/>
    <col min="4" max="4" width="11.5" style="356" customWidth="1"/>
    <col min="5" max="5" width="17.625" style="356" customWidth="1"/>
    <col min="6" max="6" width="18.25" style="356" customWidth="1"/>
    <col min="7" max="7" width="11.75" style="356" customWidth="1"/>
    <col min="8" max="8" width="13.625" style="356" customWidth="1"/>
    <col min="9" max="9" width="15.5" style="356" bestFit="1" customWidth="1"/>
    <col min="10" max="10" width="16" style="356" bestFit="1" customWidth="1"/>
    <col min="11" max="11" width="14" style="356" bestFit="1" customWidth="1"/>
    <col min="12" max="12" width="15.375" style="356" bestFit="1" customWidth="1"/>
    <col min="13" max="13" width="11.125" style="356" bestFit="1" customWidth="1"/>
    <col min="14" max="16384" width="9" style="356"/>
  </cols>
  <sheetData>
    <row r="1" spans="1:12" s="354" customFormat="1" ht="18">
      <c r="A1" s="856" t="s">
        <v>0</v>
      </c>
      <c r="B1" s="856"/>
      <c r="C1" s="353"/>
      <c r="D1" s="538"/>
      <c r="E1" s="857" t="s">
        <v>1</v>
      </c>
      <c r="F1" s="857"/>
      <c r="G1" s="857"/>
      <c r="H1" s="857"/>
      <c r="I1" s="239"/>
    </row>
    <row r="2" spans="1:12" s="354" customFormat="1" ht="18.75">
      <c r="A2" s="852" t="s">
        <v>2</v>
      </c>
      <c r="B2" s="852"/>
      <c r="C2" s="238"/>
      <c r="D2" s="539"/>
      <c r="E2" s="858" t="s">
        <v>3</v>
      </c>
      <c r="F2" s="858"/>
      <c r="G2" s="858"/>
      <c r="H2" s="858"/>
      <c r="I2" s="257"/>
    </row>
    <row r="3" spans="1:12" s="354" customFormat="1" ht="18">
      <c r="A3" s="859" t="s">
        <v>4</v>
      </c>
      <c r="B3" s="859"/>
      <c r="C3" s="355"/>
      <c r="D3" s="541"/>
      <c r="E3" s="857" t="s">
        <v>5</v>
      </c>
      <c r="F3" s="857"/>
      <c r="G3" s="857"/>
      <c r="H3" s="857"/>
      <c r="I3" s="239"/>
    </row>
    <row r="4" spans="1:12" s="354" customFormat="1" ht="18.75">
      <c r="A4" s="852" t="s">
        <v>6</v>
      </c>
      <c r="B4" s="852"/>
      <c r="C4" s="238"/>
      <c r="D4" s="539"/>
      <c r="E4" s="853" t="s">
        <v>7</v>
      </c>
      <c r="F4" s="853"/>
      <c r="G4" s="853"/>
      <c r="H4" s="853"/>
      <c r="I4" s="240"/>
    </row>
    <row r="5" spans="1:12" ht="10.15" customHeight="1"/>
    <row r="6" spans="1:12" s="357" customFormat="1" ht="47.25" customHeight="1">
      <c r="A6" s="854" t="s">
        <v>377</v>
      </c>
      <c r="B6" s="854"/>
      <c r="C6" s="854"/>
      <c r="D6" s="854"/>
      <c r="E6" s="854"/>
      <c r="F6" s="854"/>
      <c r="G6" s="854"/>
      <c r="H6" s="854"/>
    </row>
    <row r="7" spans="1:12" s="358" customFormat="1" ht="24.95" customHeight="1">
      <c r="A7" s="855" t="s">
        <v>328</v>
      </c>
      <c r="B7" s="855"/>
      <c r="C7" s="855"/>
      <c r="D7" s="855"/>
      <c r="E7" s="855"/>
      <c r="F7" s="855"/>
      <c r="G7" s="855"/>
      <c r="H7" s="855"/>
    </row>
    <row r="8" spans="1:12" s="358" customFormat="1" ht="24.95" customHeight="1">
      <c r="A8" s="855" t="s">
        <v>349</v>
      </c>
      <c r="B8" s="855"/>
      <c r="C8" s="855"/>
      <c r="D8" s="855"/>
      <c r="E8" s="855"/>
      <c r="F8" s="855"/>
      <c r="G8" s="855"/>
      <c r="H8" s="855"/>
    </row>
    <row r="9" spans="1:12" ht="12" customHeight="1" thickBot="1"/>
    <row r="10" spans="1:12" s="359" customFormat="1" ht="39.75" customHeight="1" thickTop="1">
      <c r="A10" s="845" t="s">
        <v>288</v>
      </c>
      <c r="B10" s="847" t="s">
        <v>289</v>
      </c>
      <c r="C10" s="847" t="s">
        <v>290</v>
      </c>
      <c r="D10" s="847" t="s">
        <v>291</v>
      </c>
      <c r="E10" s="849" t="s">
        <v>292</v>
      </c>
      <c r="F10" s="849"/>
      <c r="G10" s="847" t="s">
        <v>293</v>
      </c>
      <c r="H10" s="850"/>
      <c r="I10" s="837" t="s">
        <v>294</v>
      </c>
    </row>
    <row r="11" spans="1:12" s="361" customFormat="1" ht="42" customHeight="1">
      <c r="A11" s="846"/>
      <c r="B11" s="848"/>
      <c r="C11" s="848"/>
      <c r="D11" s="848"/>
      <c r="E11" s="360" t="s">
        <v>295</v>
      </c>
      <c r="F11" s="360" t="s">
        <v>296</v>
      </c>
      <c r="G11" s="848"/>
      <c r="H11" s="851"/>
      <c r="I11" s="837"/>
      <c r="K11" s="361" t="s">
        <v>297</v>
      </c>
    </row>
    <row r="12" spans="1:12" s="361" customFormat="1" ht="35.1" customHeight="1">
      <c r="A12" s="362">
        <v>1</v>
      </c>
      <c r="B12" s="598" t="s">
        <v>298</v>
      </c>
      <c r="C12" s="599" t="s">
        <v>299</v>
      </c>
      <c r="D12" s="600">
        <f>ROUND(23000/31947,4)</f>
        <v>0.71989999999999998</v>
      </c>
      <c r="E12" s="601">
        <f>'[3]BTHKL D1 T1'!E13</f>
        <v>945.15</v>
      </c>
      <c r="F12" s="460">
        <f>ROUND(E12*D12,2)</f>
        <v>680.41</v>
      </c>
      <c r="G12" s="602"/>
      <c r="H12" s="603"/>
      <c r="I12" s="542"/>
    </row>
    <row r="13" spans="1:12" s="361" customFormat="1" ht="35.1" customHeight="1">
      <c r="A13" s="362">
        <f>+A12+1</f>
        <v>2</v>
      </c>
      <c r="B13" s="598" t="s">
        <v>300</v>
      </c>
      <c r="C13" s="599" t="s">
        <v>299</v>
      </c>
      <c r="D13" s="600">
        <f>ROUND(35000/31947,4)</f>
        <v>1.0955999999999999</v>
      </c>
      <c r="E13" s="601">
        <f>'[3]BTHKL D1 T1'!E14</f>
        <v>363.85</v>
      </c>
      <c r="F13" s="460">
        <f>ROUND(E13*D13,2)</f>
        <v>398.63</v>
      </c>
      <c r="G13" s="602"/>
      <c r="H13" s="603"/>
      <c r="I13" s="542"/>
    </row>
    <row r="14" spans="1:12" s="365" customFormat="1" ht="35.1" customHeight="1">
      <c r="A14" s="362">
        <f>+A13+1</f>
        <v>3</v>
      </c>
      <c r="B14" s="125" t="s">
        <v>301</v>
      </c>
      <c r="C14" s="604" t="s">
        <v>302</v>
      </c>
      <c r="D14" s="600"/>
      <c r="E14" s="601"/>
      <c r="F14" s="460">
        <f>SUM(F15:F16)</f>
        <v>28.549999999999997</v>
      </c>
      <c r="G14" s="838"/>
      <c r="H14" s="839"/>
      <c r="I14" s="363"/>
      <c r="J14" s="364"/>
    </row>
    <row r="15" spans="1:12" s="370" customFormat="1" ht="35.1" customHeight="1">
      <c r="A15" s="366" t="s">
        <v>303</v>
      </c>
      <c r="B15" s="605" t="s">
        <v>304</v>
      </c>
      <c r="C15" s="606" t="s">
        <v>305</v>
      </c>
      <c r="D15" s="607">
        <v>0.9657</v>
      </c>
      <c r="E15" s="601">
        <f>'[3]BCC D1 (26)'!X55</f>
        <v>14</v>
      </c>
      <c r="F15" s="460">
        <f t="shared" ref="F15:F20" si="0">ROUND(D15*E15,2)</f>
        <v>13.52</v>
      </c>
      <c r="G15" s="367" t="s">
        <v>306</v>
      </c>
      <c r="H15" s="368"/>
      <c r="I15" s="242">
        <f t="shared" ref="I15:I23" si="1">ROUND(K15/J15,4)</f>
        <v>1.5022</v>
      </c>
      <c r="J15" s="369">
        <v>9</v>
      </c>
      <c r="K15" s="243">
        <f t="shared" ref="K15:K23" si="2">F15</f>
        <v>13.52</v>
      </c>
      <c r="L15" s="244">
        <f>ROUND(F15*31947,0)</f>
        <v>431923</v>
      </c>
    </row>
    <row r="16" spans="1:12" s="370" customFormat="1" ht="35.1" customHeight="1">
      <c r="A16" s="366" t="s">
        <v>303</v>
      </c>
      <c r="B16" s="605" t="s">
        <v>307</v>
      </c>
      <c r="C16" s="606" t="s">
        <v>305</v>
      </c>
      <c r="D16" s="607">
        <v>1.0736000000000001</v>
      </c>
      <c r="E16" s="601">
        <f>'[3]BCC D1 (26)'!X13</f>
        <v>14</v>
      </c>
      <c r="F16" s="460">
        <f t="shared" si="0"/>
        <v>15.03</v>
      </c>
      <c r="G16" s="367" t="s">
        <v>306</v>
      </c>
      <c r="H16" s="368"/>
      <c r="I16" s="242">
        <f t="shared" si="1"/>
        <v>1.1561999999999999</v>
      </c>
      <c r="J16" s="369">
        <v>13</v>
      </c>
      <c r="K16" s="243">
        <f t="shared" si="2"/>
        <v>15.03</v>
      </c>
      <c r="L16" s="244">
        <f>F16*31947</f>
        <v>480163.41</v>
      </c>
    </row>
    <row r="17" spans="1:13" s="365" customFormat="1" ht="35.1" customHeight="1">
      <c r="A17" s="371">
        <f>+A14+1</f>
        <v>4</v>
      </c>
      <c r="B17" s="608" t="s">
        <v>308</v>
      </c>
      <c r="C17" s="604" t="s">
        <v>302</v>
      </c>
      <c r="D17" s="609">
        <v>1.4221999999999999</v>
      </c>
      <c r="E17" s="601">
        <f>'[3]BTHKL D1 T1'!J18</f>
        <v>40.5</v>
      </c>
      <c r="F17" s="460">
        <f>ROUND(D17*E17,2)</f>
        <v>57.6</v>
      </c>
      <c r="G17" s="367" t="s">
        <v>309</v>
      </c>
      <c r="H17" s="610"/>
      <c r="I17" s="242">
        <f t="shared" si="1"/>
        <v>1.6456999999999999</v>
      </c>
      <c r="J17" s="369">
        <v>35</v>
      </c>
      <c r="K17" s="243">
        <f t="shared" si="2"/>
        <v>57.6</v>
      </c>
      <c r="L17" s="244">
        <f>ROUND(F17*31947,0)</f>
        <v>1840147</v>
      </c>
      <c r="M17" s="372">
        <f>K17*2</f>
        <v>115.2</v>
      </c>
    </row>
    <row r="18" spans="1:13" s="365" customFormat="1" ht="35.1" customHeight="1">
      <c r="A18" s="371">
        <f>+A17+1</f>
        <v>5</v>
      </c>
      <c r="B18" s="373" t="s">
        <v>310</v>
      </c>
      <c r="C18" s="606" t="s">
        <v>305</v>
      </c>
      <c r="D18" s="609">
        <v>1.4259999999999999</v>
      </c>
      <c r="E18" s="601">
        <f>SUM('BCC D1(26)'!X54:X57,'BCC D1(26)'!X15:X18)</f>
        <v>72</v>
      </c>
      <c r="F18" s="460">
        <f>ROUND(D18*E18,2)</f>
        <v>102.67</v>
      </c>
      <c r="G18" s="367" t="s">
        <v>311</v>
      </c>
      <c r="H18" s="374"/>
      <c r="I18" s="242">
        <f>ROUND(K18/J18,4)</f>
        <v>1.8667</v>
      </c>
      <c r="J18" s="369">
        <v>55</v>
      </c>
      <c r="K18" s="243">
        <f t="shared" si="2"/>
        <v>102.67</v>
      </c>
      <c r="L18" s="244">
        <f>ROUND(F18*31947/4,0)</f>
        <v>820000</v>
      </c>
      <c r="M18" s="372">
        <f>K18*4</f>
        <v>410.68</v>
      </c>
    </row>
    <row r="19" spans="1:13" s="365" customFormat="1" ht="35.1" customHeight="1">
      <c r="A19" s="371">
        <f>+A18+1</f>
        <v>6</v>
      </c>
      <c r="B19" s="127" t="s">
        <v>312</v>
      </c>
      <c r="C19" s="606" t="s">
        <v>305</v>
      </c>
      <c r="D19" s="607">
        <v>0.97040000000000004</v>
      </c>
      <c r="E19" s="601">
        <f>'[3]BTHKL D1 T1'!J20</f>
        <v>27</v>
      </c>
      <c r="F19" s="460">
        <f>ROUND(D19*E19,2)</f>
        <v>26.2</v>
      </c>
      <c r="G19" s="577" t="s">
        <v>309</v>
      </c>
      <c r="H19" s="610"/>
      <c r="I19" s="242">
        <f t="shared" si="1"/>
        <v>1.4556</v>
      </c>
      <c r="J19" s="242">
        <v>18</v>
      </c>
      <c r="K19" s="243">
        <f t="shared" si="2"/>
        <v>26.2</v>
      </c>
      <c r="L19" s="244">
        <f>ROUND(F19*31947/2,0)</f>
        <v>418506</v>
      </c>
      <c r="M19" s="372">
        <f>K19*2</f>
        <v>52.4</v>
      </c>
    </row>
    <row r="20" spans="1:13" s="365" customFormat="1" ht="35.1" customHeight="1">
      <c r="A20" s="371">
        <f>+A19+1</f>
        <v>7</v>
      </c>
      <c r="B20" s="611" t="s">
        <v>313</v>
      </c>
      <c r="C20" s="606" t="s">
        <v>305</v>
      </c>
      <c r="D20" s="607">
        <v>1.2233000000000001</v>
      </c>
      <c r="E20" s="601">
        <f>'[3]BTHKL D1 T1'!J21</f>
        <v>12</v>
      </c>
      <c r="F20" s="460">
        <f t="shared" si="0"/>
        <v>14.68</v>
      </c>
      <c r="G20" s="577"/>
      <c r="H20" s="610"/>
      <c r="I20" s="242">
        <f t="shared" si="1"/>
        <v>1.835</v>
      </c>
      <c r="J20" s="369">
        <v>8</v>
      </c>
      <c r="K20" s="243">
        <f t="shared" si="2"/>
        <v>14.68</v>
      </c>
      <c r="L20" s="244">
        <f>F20*31947</f>
        <v>468981.95999999996</v>
      </c>
    </row>
    <row r="21" spans="1:13" s="376" customFormat="1" ht="35.1" customHeight="1">
      <c r="A21" s="371">
        <f>+A20+1</f>
        <v>8</v>
      </c>
      <c r="B21" s="127" t="s">
        <v>314</v>
      </c>
      <c r="C21" s="604" t="s">
        <v>302</v>
      </c>
      <c r="D21" s="612"/>
      <c r="E21" s="613"/>
      <c r="F21" s="461">
        <f>SUM(F22:F26)</f>
        <v>209.66000000000003</v>
      </c>
      <c r="G21" s="375"/>
      <c r="H21" s="614"/>
      <c r="I21" s="242">
        <f t="shared" si="1"/>
        <v>19.059999999999999</v>
      </c>
      <c r="J21" s="369">
        <v>11</v>
      </c>
      <c r="K21" s="243">
        <f t="shared" si="2"/>
        <v>209.66000000000003</v>
      </c>
      <c r="L21" s="244">
        <f>F21*31947</f>
        <v>6698008.0200000005</v>
      </c>
    </row>
    <row r="22" spans="1:13" s="377" customFormat="1" ht="35.1" customHeight="1">
      <c r="A22" s="371" t="s">
        <v>315</v>
      </c>
      <c r="B22" s="127" t="s">
        <v>272</v>
      </c>
      <c r="C22" s="606" t="s">
        <v>305</v>
      </c>
      <c r="D22" s="615">
        <v>0.93910000000000005</v>
      </c>
      <c r="E22" s="616">
        <f>'[3]BCC D1 (26)'!X98</f>
        <v>15.5</v>
      </c>
      <c r="F22" s="462">
        <f>ROUND(D22*E22,2)</f>
        <v>14.56</v>
      </c>
      <c r="G22" s="375"/>
      <c r="H22" s="614"/>
      <c r="I22" s="242">
        <f t="shared" si="1"/>
        <v>1.1200000000000001</v>
      </c>
      <c r="J22" s="369">
        <v>13</v>
      </c>
      <c r="K22" s="243">
        <f t="shared" si="2"/>
        <v>14.56</v>
      </c>
      <c r="L22" s="244">
        <f>F22*31947</f>
        <v>465148.32</v>
      </c>
    </row>
    <row r="23" spans="1:13" s="377" customFormat="1" ht="48.75" customHeight="1">
      <c r="A23" s="371" t="s">
        <v>327</v>
      </c>
      <c r="B23" s="617" t="s">
        <v>356</v>
      </c>
      <c r="C23" s="604" t="s">
        <v>302</v>
      </c>
      <c r="D23" s="615">
        <v>1.2501</v>
      </c>
      <c r="E23" s="613">
        <f>'[3]BCC D1 (26)'!X107</f>
        <v>64</v>
      </c>
      <c r="F23" s="462">
        <f>ROUNDDOWN(D23*E23,2)</f>
        <v>80</v>
      </c>
      <c r="G23" s="378"/>
      <c r="H23" s="614"/>
      <c r="I23" s="242">
        <f t="shared" si="1"/>
        <v>9.4117999999999995</v>
      </c>
      <c r="J23" s="369">
        <v>8.5</v>
      </c>
      <c r="K23" s="243">
        <f t="shared" si="2"/>
        <v>80</v>
      </c>
      <c r="L23" s="244">
        <f>F23*31947</f>
        <v>2555760</v>
      </c>
    </row>
    <row r="24" spans="1:13" s="377" customFormat="1" ht="48.75" customHeight="1">
      <c r="A24" s="371" t="s">
        <v>316</v>
      </c>
      <c r="B24" s="618" t="s">
        <v>357</v>
      </c>
      <c r="C24" s="604" t="s">
        <v>302</v>
      </c>
      <c r="D24" s="615">
        <v>1.3147</v>
      </c>
      <c r="E24" s="613">
        <f>'[3]BCC D1 (26)'!X95</f>
        <v>10.5</v>
      </c>
      <c r="F24" s="462">
        <f>ROUND(D24*E24,2)</f>
        <v>13.8</v>
      </c>
      <c r="G24" s="378"/>
      <c r="H24" s="614"/>
      <c r="I24" s="242"/>
      <c r="J24" s="369"/>
      <c r="K24" s="243"/>
      <c r="L24" s="244"/>
    </row>
    <row r="25" spans="1:13" s="377" customFormat="1" ht="42.75" customHeight="1">
      <c r="A25" s="371" t="s">
        <v>317</v>
      </c>
      <c r="B25" s="619" t="s">
        <v>358</v>
      </c>
      <c r="C25" s="606" t="s">
        <v>305</v>
      </c>
      <c r="D25" s="620">
        <f>ROUND(16000/31947,4)</f>
        <v>0.50080000000000002</v>
      </c>
      <c r="E25" s="613">
        <f>'[3]BCC D1 (26)'!V121</f>
        <v>71</v>
      </c>
      <c r="F25" s="462">
        <f>ROUND(D25*E25,2)</f>
        <v>35.56</v>
      </c>
      <c r="G25" s="378"/>
      <c r="H25" s="614"/>
      <c r="I25" s="379"/>
      <c r="J25" s="380"/>
      <c r="K25" s="381"/>
      <c r="L25" s="381"/>
    </row>
    <row r="26" spans="1:13" s="377" customFormat="1" ht="18.75">
      <c r="A26" s="371" t="s">
        <v>359</v>
      </c>
      <c r="B26" s="621" t="s">
        <v>53</v>
      </c>
      <c r="C26" s="604" t="s">
        <v>318</v>
      </c>
      <c r="D26" s="620">
        <f>ROUND(35000/31947,4)</f>
        <v>1.0955999999999999</v>
      </c>
      <c r="E26" s="613">
        <f>'[3]BCC D1 (26)'!W121</f>
        <v>60</v>
      </c>
      <c r="F26" s="462">
        <f>ROUND(D26*E26,2)</f>
        <v>65.739999999999995</v>
      </c>
      <c r="G26" s="382"/>
      <c r="H26" s="614"/>
      <c r="I26" s="379"/>
      <c r="J26" s="380"/>
      <c r="K26" s="381"/>
      <c r="L26" s="381"/>
    </row>
    <row r="27" spans="1:13" s="390" customFormat="1" ht="34.5" customHeight="1" thickBot="1">
      <c r="A27" s="840" t="s">
        <v>319</v>
      </c>
      <c r="B27" s="841"/>
      <c r="C27" s="383"/>
      <c r="D27" s="384"/>
      <c r="E27" s="385"/>
      <c r="F27" s="385">
        <f>ROUND(SUM(F12:F14,F17:F21),2)</f>
        <v>1518.4</v>
      </c>
      <c r="G27" s="386"/>
      <c r="H27" s="387"/>
      <c r="I27" s="388">
        <f>F27*31947</f>
        <v>48508324.800000004</v>
      </c>
      <c r="J27" s="389"/>
      <c r="K27" s="389"/>
      <c r="L27" s="389"/>
    </row>
    <row r="28" spans="1:13" s="390" customFormat="1" ht="34.5" customHeight="1" thickTop="1">
      <c r="A28" s="593"/>
      <c r="B28" s="593"/>
      <c r="C28" s="594"/>
      <c r="D28" s="595"/>
      <c r="E28" s="596"/>
      <c r="F28" s="596"/>
      <c r="G28" s="597"/>
      <c r="H28" s="596"/>
      <c r="I28" s="388"/>
      <c r="J28" s="389"/>
      <c r="K28" s="389"/>
      <c r="L28" s="389"/>
    </row>
    <row r="29" spans="1:13" s="394" customFormat="1" ht="21" customHeight="1">
      <c r="A29" s="391"/>
      <c r="B29" s="392"/>
      <c r="C29" s="391"/>
      <c r="D29" s="391"/>
      <c r="E29" s="393"/>
      <c r="F29" s="393"/>
      <c r="G29" s="393"/>
      <c r="I29" s="395">
        <f>2290.11-627</f>
        <v>1663.1100000000001</v>
      </c>
      <c r="J29" s="396">
        <f>ROUND(F27*31947,0)</f>
        <v>48508325</v>
      </c>
      <c r="K29" s="397">
        <v>1140.8399999999999</v>
      </c>
    </row>
    <row r="30" spans="1:13" s="402" customFormat="1" ht="22.5" customHeight="1">
      <c r="A30" s="398"/>
      <c r="B30" s="399"/>
      <c r="C30" s="398"/>
      <c r="D30" s="398"/>
      <c r="E30" s="842" t="s">
        <v>355</v>
      </c>
      <c r="F30" s="842"/>
      <c r="G30" s="842"/>
      <c r="H30" s="842"/>
      <c r="I30" s="400"/>
      <c r="J30" s="396">
        <f>ROUND(K29*31947,0)</f>
        <v>36446415</v>
      </c>
      <c r="K30" s="401"/>
      <c r="L30" s="401"/>
    </row>
    <row r="31" spans="1:13" s="402" customFormat="1" ht="15.75">
      <c r="A31" s="403"/>
      <c r="B31" s="544" t="s">
        <v>320</v>
      </c>
      <c r="D31" s="403"/>
      <c r="E31" s="844" t="s">
        <v>321</v>
      </c>
      <c r="F31" s="844"/>
      <c r="G31" s="844"/>
      <c r="H31" s="844"/>
      <c r="I31" s="404"/>
    </row>
    <row r="32" spans="1:13" s="245" customFormat="1" ht="15.75">
      <c r="A32" s="405"/>
      <c r="B32" s="406"/>
      <c r="D32" s="405"/>
      <c r="E32" s="843"/>
      <c r="F32" s="843"/>
      <c r="G32" s="843"/>
      <c r="H32" s="843"/>
      <c r="I32" s="407"/>
    </row>
    <row r="33" spans="1:11" s="245" customFormat="1" ht="15.75">
      <c r="A33" s="543"/>
      <c r="B33" s="406"/>
      <c r="C33" s="543"/>
      <c r="D33" s="543"/>
      <c r="E33" s="543"/>
      <c r="G33" s="406"/>
      <c r="H33" s="406"/>
      <c r="I33" s="407"/>
    </row>
    <row r="34" spans="1:11" s="245" customFormat="1" ht="15.75">
      <c r="A34" s="543"/>
      <c r="B34" s="543" t="s">
        <v>17</v>
      </c>
      <c r="C34" s="543"/>
      <c r="D34" s="543"/>
      <c r="E34" s="543"/>
      <c r="G34" s="406"/>
      <c r="H34" s="406"/>
      <c r="I34" s="407"/>
    </row>
    <row r="35" spans="1:11" s="245" customFormat="1" ht="15.75">
      <c r="A35" s="543"/>
      <c r="C35" s="543"/>
      <c r="D35" s="543"/>
      <c r="E35" s="543"/>
      <c r="G35" s="406"/>
      <c r="H35" s="406"/>
      <c r="I35" s="407"/>
    </row>
    <row r="36" spans="1:11" s="408" customFormat="1" ht="18.75">
      <c r="A36" s="246"/>
      <c r="C36" s="246"/>
      <c r="D36" s="246"/>
      <c r="E36" s="246"/>
      <c r="G36" s="409"/>
      <c r="H36" s="246"/>
      <c r="I36" s="410"/>
    </row>
    <row r="37" spans="1:11" s="408" customFormat="1" ht="18.75">
      <c r="A37" s="411"/>
      <c r="B37" s="412"/>
      <c r="C37" s="411"/>
      <c r="D37" s="411"/>
      <c r="E37" s="411"/>
      <c r="G37" s="405"/>
      <c r="H37" s="405"/>
      <c r="I37" s="413"/>
    </row>
    <row r="38" spans="1:11" s="408" customFormat="1" ht="18.75" hidden="1">
      <c r="A38" s="833"/>
      <c r="B38" s="833"/>
      <c r="C38" s="833"/>
      <c r="D38" s="833"/>
      <c r="E38" s="833"/>
      <c r="F38" s="834" t="s">
        <v>13</v>
      </c>
      <c r="G38" s="834"/>
      <c r="H38" s="834"/>
      <c r="I38" s="414"/>
      <c r="J38" s="414"/>
      <c r="K38" s="414"/>
    </row>
    <row r="39" spans="1:11" s="408" customFormat="1" ht="18.75" hidden="1">
      <c r="A39" s="835"/>
      <c r="B39" s="835"/>
      <c r="C39" s="835"/>
      <c r="D39" s="835"/>
      <c r="E39" s="835"/>
      <c r="F39" s="836" t="s">
        <v>322</v>
      </c>
      <c r="G39" s="836"/>
      <c r="H39" s="836"/>
      <c r="I39" s="415"/>
      <c r="J39" s="415"/>
      <c r="K39" s="415"/>
    </row>
    <row r="40" spans="1:11" s="394" customFormat="1" ht="18.75">
      <c r="A40" s="416"/>
      <c r="B40" s="417"/>
      <c r="C40" s="418"/>
      <c r="D40" s="419"/>
      <c r="E40" s="419"/>
      <c r="F40" s="420"/>
      <c r="G40" s="420"/>
      <c r="H40" s="420"/>
      <c r="I40" s="420"/>
    </row>
    <row r="41" spans="1:11" s="408" customFormat="1" ht="26.25" customHeight="1">
      <c r="A41" s="412"/>
      <c r="B41" s="417"/>
      <c r="C41" s="421"/>
      <c r="D41" s="422"/>
      <c r="E41" s="423"/>
      <c r="F41" s="424"/>
      <c r="G41" s="425"/>
      <c r="I41" s="410"/>
    </row>
    <row r="42" spans="1:11" s="408" customFormat="1" ht="26.25" customHeight="1">
      <c r="A42" s="412"/>
      <c r="B42" s="426"/>
      <c r="C42" s="422"/>
      <c r="D42" s="422"/>
      <c r="E42" s="427"/>
      <c r="F42" s="425"/>
      <c r="G42" s="428"/>
      <c r="I42" s="410"/>
    </row>
    <row r="43" spans="1:11" s="408" customFormat="1" ht="26.25" customHeight="1">
      <c r="A43" s="412"/>
      <c r="B43" s="429"/>
      <c r="C43" s="422"/>
      <c r="D43" s="422"/>
      <c r="E43" s="425"/>
      <c r="F43" s="425"/>
      <c r="G43" s="425"/>
      <c r="I43" s="410"/>
    </row>
    <row r="44" spans="1:11" s="408" customFormat="1" ht="26.25" customHeight="1">
      <c r="A44" s="412"/>
      <c r="B44" s="430"/>
      <c r="C44" s="422"/>
      <c r="D44" s="422"/>
      <c r="E44" s="425"/>
      <c r="F44" s="425"/>
      <c r="G44" s="425"/>
      <c r="I44" s="410"/>
    </row>
    <row r="45" spans="1:11" s="408" customFormat="1" ht="26.25" customHeight="1">
      <c r="A45" s="412"/>
      <c r="B45" s="430"/>
      <c r="C45" s="422"/>
      <c r="D45" s="422"/>
      <c r="E45" s="425"/>
      <c r="F45" s="425"/>
      <c r="G45" s="425"/>
      <c r="I45" s="410"/>
    </row>
    <row r="46" spans="1:11" s="408" customFormat="1" ht="26.25" customHeight="1">
      <c r="A46" s="412"/>
      <c r="B46" s="430"/>
      <c r="C46" s="422"/>
      <c r="D46" s="422"/>
      <c r="E46" s="425"/>
      <c r="F46" s="425"/>
      <c r="G46" s="425"/>
      <c r="I46" s="410"/>
    </row>
    <row r="47" spans="1:11" s="408" customFormat="1" ht="26.25" customHeight="1">
      <c r="A47" s="412"/>
      <c r="B47" s="430"/>
      <c r="C47" s="422"/>
      <c r="D47" s="422"/>
      <c r="E47" s="425"/>
      <c r="F47" s="425"/>
      <c r="G47" s="425"/>
      <c r="I47" s="410"/>
    </row>
    <row r="48" spans="1:11" s="408" customFormat="1" ht="26.25" customHeight="1">
      <c r="A48" s="412"/>
      <c r="B48" s="430"/>
      <c r="C48" s="422"/>
      <c r="D48" s="422"/>
      <c r="E48" s="425"/>
      <c r="F48" s="425"/>
      <c r="G48" s="425"/>
      <c r="I48" s="410"/>
    </row>
    <row r="49" spans="1:9" s="408" customFormat="1" ht="26.25" customHeight="1">
      <c r="A49" s="412"/>
      <c r="B49" s="430"/>
      <c r="C49" s="422"/>
      <c r="D49" s="422"/>
      <c r="E49" s="425"/>
      <c r="F49" s="425"/>
      <c r="G49" s="425"/>
      <c r="I49" s="410"/>
    </row>
    <row r="50" spans="1:9" s="408" customFormat="1" ht="26.25" customHeight="1">
      <c r="A50" s="412"/>
      <c r="B50" s="412"/>
      <c r="C50" s="422"/>
      <c r="D50" s="422"/>
      <c r="E50" s="425"/>
      <c r="F50" s="425"/>
      <c r="G50" s="425"/>
      <c r="I50" s="410"/>
    </row>
    <row r="51" spans="1:9" s="408" customFormat="1" ht="26.25" customHeight="1">
      <c r="C51" s="431"/>
      <c r="D51" s="431"/>
      <c r="E51" s="410"/>
      <c r="F51" s="410"/>
      <c r="G51" s="410"/>
      <c r="I51" s="410"/>
    </row>
    <row r="52" spans="1:9" s="408" customFormat="1" ht="26.25" customHeight="1">
      <c r="C52" s="431"/>
      <c r="D52" s="431"/>
      <c r="E52" s="410"/>
      <c r="F52" s="410"/>
      <c r="G52" s="410"/>
      <c r="I52" s="410"/>
    </row>
    <row r="53" spans="1:9" s="408" customFormat="1" ht="26.25" customHeight="1">
      <c r="C53" s="431"/>
      <c r="D53" s="431"/>
      <c r="E53" s="410"/>
      <c r="F53" s="410"/>
      <c r="G53" s="410"/>
      <c r="I53" s="410"/>
    </row>
    <row r="54" spans="1:9" s="408" customFormat="1" ht="26.25" customHeight="1">
      <c r="C54" s="431"/>
      <c r="D54" s="431"/>
      <c r="E54" s="410"/>
      <c r="F54" s="410"/>
      <c r="G54" s="410"/>
      <c r="I54" s="410"/>
    </row>
    <row r="55" spans="1:9" s="408" customFormat="1" ht="26.25" customHeight="1">
      <c r="C55" s="431"/>
      <c r="D55" s="431"/>
      <c r="E55" s="410"/>
      <c r="F55" s="410"/>
      <c r="G55" s="410"/>
      <c r="I55" s="410"/>
    </row>
    <row r="56" spans="1:9" s="408" customFormat="1" ht="26.25" customHeight="1">
      <c r="C56" s="431"/>
      <c r="D56" s="431"/>
      <c r="E56" s="410"/>
      <c r="F56" s="410"/>
      <c r="G56" s="410"/>
      <c r="I56" s="410"/>
    </row>
    <row r="57" spans="1:9" s="408" customFormat="1" ht="26.25" customHeight="1">
      <c r="C57" s="431"/>
      <c r="D57" s="431"/>
      <c r="E57" s="410"/>
      <c r="F57" s="410"/>
      <c r="G57" s="410"/>
      <c r="I57" s="410"/>
    </row>
    <row r="58" spans="1:9" s="408" customFormat="1" ht="26.25" customHeight="1">
      <c r="C58" s="431"/>
      <c r="D58" s="431"/>
      <c r="E58" s="410"/>
      <c r="F58" s="410"/>
      <c r="G58" s="410"/>
      <c r="I58" s="410"/>
    </row>
    <row r="59" spans="1:9" s="408" customFormat="1" ht="26.25" customHeight="1">
      <c r="C59" s="431"/>
      <c r="D59" s="431"/>
      <c r="E59" s="410"/>
      <c r="F59" s="410"/>
      <c r="G59" s="410"/>
      <c r="I59" s="410"/>
    </row>
    <row r="60" spans="1:9" s="408" customFormat="1" ht="26.25" customHeight="1">
      <c r="C60" s="431"/>
      <c r="D60" s="431"/>
      <c r="E60" s="410"/>
      <c r="F60" s="410"/>
      <c r="G60" s="410"/>
      <c r="I60" s="410"/>
    </row>
    <row r="61" spans="1:9" s="408" customFormat="1" ht="26.25" customHeight="1">
      <c r="C61" s="431"/>
      <c r="D61" s="431"/>
      <c r="E61" s="410"/>
      <c r="F61" s="410"/>
      <c r="G61" s="410"/>
      <c r="I61" s="410"/>
    </row>
    <row r="62" spans="1:9" s="408" customFormat="1" ht="26.25" customHeight="1">
      <c r="C62" s="431"/>
      <c r="D62" s="431"/>
      <c r="E62" s="410"/>
      <c r="F62" s="410"/>
      <c r="G62" s="410"/>
      <c r="I62" s="410"/>
    </row>
    <row r="63" spans="1:9" s="408" customFormat="1" ht="26.25" customHeight="1">
      <c r="C63" s="431"/>
      <c r="D63" s="431"/>
      <c r="E63" s="410"/>
      <c r="F63" s="410"/>
      <c r="G63" s="410"/>
      <c r="I63" s="410"/>
    </row>
    <row r="64" spans="1:9" s="408" customFormat="1" ht="26.25" customHeight="1">
      <c r="C64" s="431"/>
      <c r="D64" s="431"/>
      <c r="E64" s="410"/>
      <c r="F64" s="410"/>
      <c r="G64" s="410"/>
      <c r="I64" s="410"/>
    </row>
    <row r="65" spans="3:9" s="408" customFormat="1" ht="26.25" customHeight="1">
      <c r="C65" s="431"/>
      <c r="D65" s="431"/>
      <c r="E65" s="410"/>
      <c r="F65" s="410"/>
      <c r="G65" s="410"/>
      <c r="I65" s="410"/>
    </row>
    <row r="66" spans="3:9" s="408" customFormat="1" ht="26.25" customHeight="1">
      <c r="C66" s="431"/>
      <c r="D66" s="431"/>
      <c r="E66" s="410"/>
      <c r="F66" s="410"/>
      <c r="G66" s="410"/>
      <c r="I66" s="410"/>
    </row>
    <row r="67" spans="3:9" s="408" customFormat="1" ht="26.25" customHeight="1">
      <c r="C67" s="431"/>
      <c r="D67" s="431"/>
      <c r="E67" s="410"/>
      <c r="F67" s="410"/>
      <c r="G67" s="410"/>
      <c r="I67" s="410"/>
    </row>
    <row r="68" spans="3:9" s="408" customFormat="1" ht="26.25" customHeight="1">
      <c r="C68" s="431"/>
      <c r="D68" s="431"/>
      <c r="E68" s="410"/>
      <c r="F68" s="410"/>
      <c r="G68" s="410"/>
      <c r="I68" s="410"/>
    </row>
    <row r="69" spans="3:9" s="408" customFormat="1" ht="26.25" customHeight="1">
      <c r="C69" s="431"/>
      <c r="D69" s="431"/>
      <c r="E69" s="410"/>
      <c r="F69" s="410"/>
      <c r="G69" s="410"/>
      <c r="I69" s="410"/>
    </row>
    <row r="70" spans="3:9" s="408" customFormat="1" ht="26.25" customHeight="1">
      <c r="C70" s="431"/>
      <c r="D70" s="431"/>
      <c r="E70" s="410"/>
      <c r="F70" s="410"/>
      <c r="G70" s="410"/>
      <c r="I70" s="410"/>
    </row>
    <row r="71" spans="3:9" s="408" customFormat="1" ht="26.25" customHeight="1">
      <c r="C71" s="431"/>
      <c r="D71" s="431"/>
      <c r="E71" s="410"/>
      <c r="F71" s="410"/>
      <c r="G71" s="410"/>
      <c r="I71" s="410"/>
    </row>
    <row r="72" spans="3:9" s="408" customFormat="1" ht="26.25" customHeight="1">
      <c r="C72" s="431"/>
      <c r="D72" s="431"/>
      <c r="E72" s="410"/>
      <c r="F72" s="410"/>
      <c r="G72" s="410"/>
      <c r="I72" s="410"/>
    </row>
    <row r="73" spans="3:9" s="408" customFormat="1" ht="26.25" customHeight="1">
      <c r="C73" s="431"/>
      <c r="D73" s="431"/>
      <c r="E73" s="410"/>
      <c r="F73" s="410"/>
      <c r="G73" s="410"/>
      <c r="I73" s="410"/>
    </row>
    <row r="74" spans="3:9" s="408" customFormat="1" ht="26.25" customHeight="1">
      <c r="C74" s="431"/>
      <c r="D74" s="431"/>
      <c r="E74" s="410"/>
      <c r="F74" s="410"/>
      <c r="G74" s="410"/>
      <c r="I74" s="410"/>
    </row>
    <row r="75" spans="3:9" s="408" customFormat="1" ht="26.25" customHeight="1">
      <c r="C75" s="431"/>
      <c r="D75" s="431"/>
      <c r="E75" s="410"/>
      <c r="F75" s="410"/>
      <c r="G75" s="410"/>
      <c r="I75" s="410"/>
    </row>
    <row r="76" spans="3:9" s="408" customFormat="1" ht="26.25" customHeight="1">
      <c r="C76" s="431"/>
      <c r="D76" s="431"/>
      <c r="E76" s="410"/>
      <c r="F76" s="410"/>
      <c r="G76" s="410"/>
      <c r="I76" s="410"/>
    </row>
    <row r="77" spans="3:9" s="408" customFormat="1" ht="26.25" customHeight="1">
      <c r="C77" s="431"/>
      <c r="D77" s="431"/>
      <c r="E77" s="410"/>
      <c r="F77" s="410"/>
      <c r="G77" s="410"/>
      <c r="I77" s="410"/>
    </row>
    <row r="78" spans="3:9" s="408" customFormat="1" ht="26.25" customHeight="1">
      <c r="C78" s="431"/>
      <c r="D78" s="431"/>
      <c r="E78" s="410"/>
      <c r="F78" s="410"/>
      <c r="G78" s="410"/>
      <c r="I78" s="410"/>
    </row>
    <row r="79" spans="3:9" s="408" customFormat="1" ht="26.25" customHeight="1">
      <c r="C79" s="431"/>
      <c r="D79" s="431"/>
      <c r="E79" s="410"/>
      <c r="F79" s="410"/>
      <c r="G79" s="410"/>
      <c r="I79" s="410"/>
    </row>
    <row r="80" spans="3:9" s="408" customFormat="1" ht="26.25" customHeight="1">
      <c r="C80" s="431"/>
      <c r="D80" s="431"/>
      <c r="E80" s="410"/>
      <c r="F80" s="410"/>
      <c r="G80" s="410"/>
      <c r="I80" s="410"/>
    </row>
    <row r="81" spans="3:9" s="408" customFormat="1" ht="26.25" customHeight="1">
      <c r="C81" s="431"/>
      <c r="D81" s="431"/>
      <c r="E81" s="410"/>
      <c r="F81" s="410"/>
      <c r="G81" s="410"/>
      <c r="I81" s="410"/>
    </row>
    <row r="82" spans="3:9" s="408" customFormat="1" ht="26.25" customHeight="1">
      <c r="C82" s="431"/>
      <c r="D82" s="431"/>
      <c r="E82" s="410"/>
      <c r="F82" s="410"/>
      <c r="G82" s="410"/>
      <c r="I82" s="410"/>
    </row>
    <row r="83" spans="3:9" s="408" customFormat="1" ht="26.25" customHeight="1">
      <c r="C83" s="431"/>
      <c r="D83" s="431"/>
      <c r="E83" s="410"/>
      <c r="F83" s="410"/>
      <c r="G83" s="410"/>
      <c r="I83" s="410"/>
    </row>
    <row r="84" spans="3:9" s="408" customFormat="1" ht="26.25" customHeight="1">
      <c r="C84" s="431"/>
      <c r="D84" s="431"/>
      <c r="E84" s="410"/>
      <c r="F84" s="410"/>
      <c r="G84" s="410"/>
      <c r="I84" s="410"/>
    </row>
    <row r="85" spans="3:9" s="408" customFormat="1" ht="26.25" customHeight="1">
      <c r="C85" s="431"/>
      <c r="D85" s="431"/>
      <c r="E85" s="410"/>
      <c r="F85" s="410"/>
      <c r="G85" s="410"/>
      <c r="I85" s="410"/>
    </row>
    <row r="86" spans="3:9" s="408" customFormat="1" ht="26.25" customHeight="1">
      <c r="C86" s="431"/>
      <c r="D86" s="431"/>
      <c r="E86" s="410"/>
      <c r="F86" s="410"/>
      <c r="G86" s="410"/>
      <c r="I86" s="410"/>
    </row>
    <row r="87" spans="3:9" s="408" customFormat="1" ht="26.25" customHeight="1">
      <c r="C87" s="431"/>
      <c r="D87" s="431"/>
      <c r="E87" s="410"/>
      <c r="F87" s="410"/>
      <c r="G87" s="410"/>
      <c r="I87" s="410"/>
    </row>
    <row r="88" spans="3:9" s="408" customFormat="1" ht="26.25" customHeight="1">
      <c r="C88" s="431"/>
      <c r="D88" s="431"/>
      <c r="E88" s="410"/>
      <c r="F88" s="410"/>
      <c r="G88" s="410"/>
      <c r="I88" s="410"/>
    </row>
    <row r="89" spans="3:9" s="408" customFormat="1" ht="26.25" customHeight="1">
      <c r="C89" s="431"/>
      <c r="D89" s="431"/>
      <c r="E89" s="410"/>
      <c r="F89" s="410"/>
      <c r="G89" s="410"/>
      <c r="I89" s="410"/>
    </row>
    <row r="90" spans="3:9" s="408" customFormat="1" ht="26.25" customHeight="1">
      <c r="C90" s="431"/>
      <c r="D90" s="431"/>
      <c r="E90" s="410"/>
      <c r="F90" s="410"/>
      <c r="G90" s="410"/>
      <c r="I90" s="410"/>
    </row>
    <row r="91" spans="3:9" s="408" customFormat="1" ht="26.25" customHeight="1">
      <c r="C91" s="431"/>
      <c r="D91" s="431"/>
      <c r="E91" s="410"/>
      <c r="F91" s="410"/>
      <c r="G91" s="410"/>
      <c r="I91" s="410"/>
    </row>
    <row r="92" spans="3:9" s="408" customFormat="1" ht="26.25" customHeight="1">
      <c r="C92" s="431"/>
      <c r="D92" s="431"/>
      <c r="E92" s="410"/>
      <c r="F92" s="410"/>
      <c r="G92" s="410"/>
      <c r="I92" s="410"/>
    </row>
    <row r="93" spans="3:9" s="408" customFormat="1" ht="26.25" customHeight="1">
      <c r="C93" s="431"/>
      <c r="D93" s="431"/>
      <c r="E93" s="410"/>
      <c r="F93" s="410"/>
      <c r="G93" s="410"/>
      <c r="I93" s="410"/>
    </row>
    <row r="94" spans="3:9" s="408" customFormat="1" ht="26.25" customHeight="1">
      <c r="C94" s="431"/>
      <c r="D94" s="431"/>
      <c r="E94" s="410"/>
      <c r="F94" s="410"/>
      <c r="G94" s="410"/>
      <c r="I94" s="410"/>
    </row>
    <row r="95" spans="3:9" s="408" customFormat="1" ht="26.25" customHeight="1">
      <c r="C95" s="431"/>
      <c r="D95" s="431"/>
      <c r="E95" s="410"/>
      <c r="F95" s="410"/>
      <c r="G95" s="410"/>
      <c r="I95" s="410"/>
    </row>
    <row r="96" spans="3:9" s="408" customFormat="1" ht="26.25" customHeight="1">
      <c r="C96" s="431"/>
      <c r="D96" s="431"/>
      <c r="E96" s="410"/>
      <c r="F96" s="410"/>
      <c r="G96" s="410"/>
      <c r="I96" s="410"/>
    </row>
    <row r="97" spans="3:9" s="408" customFormat="1" ht="26.25" customHeight="1">
      <c r="C97" s="431"/>
      <c r="D97" s="431"/>
      <c r="E97" s="410"/>
      <c r="F97" s="410"/>
      <c r="G97" s="410"/>
      <c r="I97" s="410"/>
    </row>
  </sheetData>
  <mergeCells count="29">
    <mergeCell ref="A1:B1"/>
    <mergeCell ref="E1:H1"/>
    <mergeCell ref="A2:B2"/>
    <mergeCell ref="E2:H2"/>
    <mergeCell ref="A3:B3"/>
    <mergeCell ref="E3:H3"/>
    <mergeCell ref="A4:B4"/>
    <mergeCell ref="E4:H4"/>
    <mergeCell ref="A6:H6"/>
    <mergeCell ref="A7:H7"/>
    <mergeCell ref="A8:H8"/>
    <mergeCell ref="I10:I11"/>
    <mergeCell ref="G14:H14"/>
    <mergeCell ref="A27:B27"/>
    <mergeCell ref="E30:H30"/>
    <mergeCell ref="E32:H32"/>
    <mergeCell ref="E31:H31"/>
    <mergeCell ref="A10:A11"/>
    <mergeCell ref="B10:B11"/>
    <mergeCell ref="C10:C11"/>
    <mergeCell ref="D10:D11"/>
    <mergeCell ref="E10:F10"/>
    <mergeCell ref="G10:H11"/>
    <mergeCell ref="A38:B38"/>
    <mergeCell ref="C38:E38"/>
    <mergeCell ref="F38:H38"/>
    <mergeCell ref="A39:B39"/>
    <mergeCell ref="C39:E39"/>
    <mergeCell ref="F39:H39"/>
  </mergeCells>
  <printOptions horizontalCentered="1"/>
  <pageMargins left="0.51181102362204722" right="0.23622047244094491" top="0.43307086614173229" bottom="0.23622047244094491" header="0.23622047244094491" footer="0.23622047244094491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262"/>
  <sheetViews>
    <sheetView topLeftCell="E171" zoomScale="85" zoomScaleNormal="85" workbookViewId="0">
      <selection activeCell="AA180" sqref="AA180"/>
    </sheetView>
  </sheetViews>
  <sheetFormatPr defaultRowHeight="14.25"/>
  <cols>
    <col min="1" max="1" width="5" customWidth="1"/>
    <col min="2" max="2" width="12.25" customWidth="1"/>
    <col min="3" max="3" width="19" customWidth="1"/>
    <col min="4" max="4" width="10.375" customWidth="1"/>
    <col min="5" max="5" width="6.75" bestFit="1" customWidth="1"/>
    <col min="6" max="6" width="4.625" customWidth="1"/>
    <col min="7" max="7" width="7.375" customWidth="1"/>
    <col min="8" max="8" width="7.625" customWidth="1"/>
    <col min="9" max="9" width="6.125" customWidth="1"/>
    <col min="10" max="12" width="8.625" bestFit="1" customWidth="1"/>
    <col min="13" max="13" width="7.25" bestFit="1" customWidth="1"/>
    <col min="14" max="17" width="7.375" bestFit="1" customWidth="1"/>
    <col min="18" max="19" width="7.125" bestFit="1" customWidth="1"/>
    <col min="20" max="20" width="5.5" customWidth="1"/>
    <col min="21" max="21" width="9.875" customWidth="1"/>
    <col min="22" max="22" width="10.5" customWidth="1"/>
    <col min="23" max="23" width="12.125" customWidth="1"/>
    <col min="24" max="24" width="0.125" customWidth="1"/>
    <col min="25" max="25" width="11.5" bestFit="1" customWidth="1"/>
    <col min="26" max="27" width="10.125" bestFit="1" customWidth="1"/>
  </cols>
  <sheetData>
    <row r="1" spans="1:27" ht="32.25" customHeight="1">
      <c r="A1" s="798" t="s">
        <v>0</v>
      </c>
      <c r="B1" s="798"/>
      <c r="C1" s="798"/>
      <c r="D1" s="798"/>
      <c r="E1" s="798"/>
      <c r="F1" s="16"/>
      <c r="G1" s="16"/>
      <c r="H1" s="16"/>
      <c r="I1" s="4"/>
      <c r="J1" s="4"/>
      <c r="K1" s="4"/>
      <c r="L1" s="877"/>
      <c r="M1" s="877"/>
      <c r="N1" s="2"/>
      <c r="O1" s="2"/>
      <c r="P1" s="2"/>
      <c r="Q1" s="2"/>
      <c r="R1" s="2"/>
      <c r="S1" s="2"/>
      <c r="T1" s="2"/>
      <c r="U1" s="827"/>
      <c r="V1" s="827"/>
      <c r="W1" s="4"/>
      <c r="X1" s="240"/>
      <c r="Y1" s="240"/>
      <c r="Z1" s="240"/>
      <c r="AA1" s="240"/>
    </row>
    <row r="2" spans="1:27" ht="24.6" customHeight="1">
      <c r="A2" s="865" t="s">
        <v>194</v>
      </c>
      <c r="B2" s="865"/>
      <c r="C2" s="865"/>
      <c r="D2" s="865"/>
      <c r="E2" s="865"/>
      <c r="F2" s="16"/>
      <c r="G2" s="16"/>
      <c r="H2" s="16"/>
      <c r="I2" s="4"/>
      <c r="J2" s="4"/>
      <c r="K2" s="4"/>
      <c r="L2" s="878"/>
      <c r="M2" s="878"/>
      <c r="N2" s="2"/>
      <c r="O2" s="2"/>
      <c r="P2" s="2"/>
      <c r="Q2" s="2"/>
      <c r="R2" s="2"/>
      <c r="S2" s="2"/>
      <c r="T2" s="2"/>
      <c r="U2" s="799"/>
      <c r="V2" s="799"/>
      <c r="W2" s="4"/>
      <c r="X2" s="240"/>
      <c r="Y2" s="240"/>
      <c r="Z2" s="240"/>
      <c r="AA2" s="240"/>
    </row>
    <row r="3" spans="1:27" ht="15.75">
      <c r="A3" s="798" t="s">
        <v>4</v>
      </c>
      <c r="B3" s="798"/>
      <c r="C3" s="798"/>
      <c r="D3" s="798"/>
      <c r="E3" s="798"/>
      <c r="F3" s="16"/>
      <c r="G3" s="16"/>
      <c r="H3" s="1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827"/>
      <c r="V3" s="827"/>
      <c r="W3" s="4"/>
      <c r="X3" s="240"/>
      <c r="Y3" s="240"/>
      <c r="Z3" s="240"/>
      <c r="AA3" s="240"/>
    </row>
    <row r="4" spans="1:27" ht="24.6" customHeight="1">
      <c r="A4" s="866" t="s">
        <v>6</v>
      </c>
      <c r="B4" s="866"/>
      <c r="C4" s="866"/>
      <c r="D4" s="866"/>
      <c r="E4" s="866"/>
      <c r="F4" s="16"/>
      <c r="G4" s="16"/>
      <c r="H4" s="16"/>
      <c r="I4" s="4"/>
      <c r="J4" s="4"/>
      <c r="K4" s="4"/>
      <c r="L4" s="4"/>
      <c r="M4" s="874"/>
      <c r="N4" s="874"/>
      <c r="O4" s="874"/>
      <c r="P4" s="874"/>
      <c r="Q4" s="874"/>
      <c r="R4" s="874"/>
      <c r="S4" s="874"/>
      <c r="T4" s="874"/>
      <c r="U4" s="874"/>
      <c r="V4" s="874"/>
      <c r="W4" s="874"/>
      <c r="X4" s="240"/>
      <c r="Y4" s="240"/>
      <c r="Z4" s="240"/>
      <c r="AA4" s="240"/>
    </row>
    <row r="5" spans="1:27" s="258" customFormat="1" ht="26.45" customHeight="1">
      <c r="A5" s="871" t="s">
        <v>341</v>
      </c>
      <c r="B5" s="867"/>
      <c r="C5" s="867"/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867"/>
      <c r="P5" s="867"/>
      <c r="Q5" s="867"/>
      <c r="R5" s="867"/>
      <c r="S5" s="867"/>
      <c r="T5" s="867"/>
      <c r="U5" s="867"/>
      <c r="V5" s="867"/>
      <c r="W5" s="867"/>
    </row>
    <row r="6" spans="1:27" s="258" customFormat="1" ht="28.9" customHeight="1">
      <c r="A6" s="868" t="s">
        <v>360</v>
      </c>
      <c r="B6" s="868"/>
      <c r="C6" s="868"/>
      <c r="D6" s="868"/>
      <c r="E6" s="868"/>
      <c r="F6" s="868"/>
      <c r="G6" s="868"/>
      <c r="H6" s="868"/>
      <c r="I6" s="868"/>
      <c r="J6" s="868"/>
      <c r="K6" s="868"/>
      <c r="L6" s="868"/>
      <c r="M6" s="868"/>
      <c r="N6" s="868"/>
      <c r="O6" s="868"/>
      <c r="P6" s="868"/>
      <c r="Q6" s="868"/>
      <c r="R6" s="868"/>
      <c r="S6" s="868"/>
      <c r="T6" s="868"/>
      <c r="U6" s="868"/>
      <c r="V6" s="868"/>
      <c r="W6" s="868"/>
    </row>
    <row r="7" spans="1:27" s="259" customFormat="1" ht="18.75">
      <c r="A7" s="787" t="s">
        <v>196</v>
      </c>
      <c r="B7" s="787"/>
      <c r="C7" s="787"/>
      <c r="D7" s="787"/>
      <c r="E7" s="787"/>
      <c r="F7" s="787"/>
      <c r="G7" s="787"/>
      <c r="H7" s="787"/>
      <c r="I7" s="787"/>
      <c r="J7" s="787"/>
      <c r="K7" s="787"/>
      <c r="L7" s="787"/>
      <c r="M7" s="787"/>
      <c r="N7" s="787"/>
      <c r="O7" s="787"/>
      <c r="P7" s="787"/>
      <c r="Q7" s="787"/>
      <c r="R7" s="787"/>
      <c r="S7" s="787"/>
      <c r="T7" s="787"/>
      <c r="U7" s="787"/>
      <c r="V7" s="787"/>
      <c r="W7" s="787"/>
    </row>
    <row r="8" spans="1:27" ht="15.75">
      <c r="A8" s="799" t="str">
        <f>'[3]BKECHITIET TO2'!A5:N5</f>
        <v>NGÀY​​​​ 16 ĐẾN 31 THÁNG 01 NĂM 2026</v>
      </c>
      <c r="B8" s="799"/>
      <c r="C8" s="799"/>
      <c r="D8" s="799"/>
      <c r="E8" s="799"/>
      <c r="F8" s="799"/>
      <c r="G8" s="799"/>
      <c r="H8" s="799"/>
      <c r="I8" s="799"/>
      <c r="J8" s="799"/>
      <c r="K8" s="799"/>
      <c r="L8" s="799"/>
      <c r="M8" s="799"/>
      <c r="N8" s="799"/>
      <c r="O8" s="799"/>
      <c r="P8" s="799"/>
      <c r="Q8" s="799"/>
      <c r="R8" s="799"/>
      <c r="S8" s="799"/>
      <c r="T8" s="799"/>
      <c r="U8" s="799"/>
      <c r="V8" s="799"/>
      <c r="W8" s="799"/>
      <c r="X8" s="240"/>
      <c r="Y8" s="240"/>
      <c r="Z8" s="240"/>
      <c r="AA8" s="240"/>
    </row>
    <row r="9" spans="1:27" ht="15.75">
      <c r="A9" s="622"/>
      <c r="B9" s="623"/>
      <c r="C9" s="623"/>
      <c r="D9" s="623"/>
      <c r="E9" s="826"/>
      <c r="F9" s="826"/>
      <c r="G9" s="826"/>
      <c r="H9" s="826"/>
      <c r="I9" s="826"/>
      <c r="J9" s="826"/>
      <c r="K9" s="826"/>
      <c r="L9" s="826"/>
      <c r="M9" s="826"/>
      <c r="N9" s="826"/>
      <c r="O9" s="826"/>
      <c r="P9" s="826"/>
      <c r="Q9" s="826"/>
      <c r="R9" s="826"/>
      <c r="S9" s="826"/>
      <c r="T9" s="826"/>
      <c r="U9" s="622"/>
      <c r="V9" s="622"/>
      <c r="W9" s="4"/>
      <c r="X9" s="240"/>
      <c r="Y9" s="240"/>
      <c r="Z9" s="240"/>
      <c r="AA9" s="240"/>
    </row>
    <row r="10" spans="1:27" s="257" customFormat="1" ht="71.25" customHeight="1">
      <c r="A10" s="47" t="s">
        <v>176</v>
      </c>
      <c r="B10" s="875" t="s">
        <v>197</v>
      </c>
      <c r="C10" s="875"/>
      <c r="D10" s="47" t="s">
        <v>198</v>
      </c>
      <c r="E10" s="12">
        <v>16</v>
      </c>
      <c r="F10" s="12">
        <f>E10+1</f>
        <v>17</v>
      </c>
      <c r="G10" s="12">
        <f t="shared" ref="G10:T10" si="0">F10+1</f>
        <v>18</v>
      </c>
      <c r="H10" s="12">
        <f t="shared" si="0"/>
        <v>19</v>
      </c>
      <c r="I10" s="12">
        <f>H10+1</f>
        <v>20</v>
      </c>
      <c r="J10" s="12">
        <f t="shared" si="0"/>
        <v>21</v>
      </c>
      <c r="K10" s="12">
        <f t="shared" si="0"/>
        <v>22</v>
      </c>
      <c r="L10" s="12">
        <f t="shared" si="0"/>
        <v>23</v>
      </c>
      <c r="M10" s="12">
        <f t="shared" si="0"/>
        <v>24</v>
      </c>
      <c r="N10" s="12">
        <f t="shared" si="0"/>
        <v>25</v>
      </c>
      <c r="O10" s="12">
        <f t="shared" si="0"/>
        <v>26</v>
      </c>
      <c r="P10" s="12">
        <f t="shared" si="0"/>
        <v>27</v>
      </c>
      <c r="Q10" s="12">
        <f t="shared" si="0"/>
        <v>28</v>
      </c>
      <c r="R10" s="12">
        <f t="shared" si="0"/>
        <v>29</v>
      </c>
      <c r="S10" s="12">
        <f t="shared" si="0"/>
        <v>30</v>
      </c>
      <c r="T10" s="12">
        <f t="shared" si="0"/>
        <v>31</v>
      </c>
      <c r="U10" s="12" t="s">
        <v>273</v>
      </c>
      <c r="V10" s="12" t="s">
        <v>223</v>
      </c>
      <c r="W10" s="12" t="s">
        <v>200</v>
      </c>
    </row>
    <row r="11" spans="1:27" ht="35.1" customHeight="1">
      <c r="A11" s="314">
        <v>1</v>
      </c>
      <c r="B11" s="260" t="s">
        <v>106</v>
      </c>
      <c r="C11" s="261" t="s">
        <v>107</v>
      </c>
      <c r="D11" s="624" t="s">
        <v>201</v>
      </c>
      <c r="E11" s="625">
        <v>4099</v>
      </c>
      <c r="F11" s="626"/>
      <c r="G11" s="625">
        <v>3843</v>
      </c>
      <c r="H11" s="625">
        <v>5379</v>
      </c>
      <c r="I11" s="627"/>
      <c r="J11" s="625">
        <v>4355</v>
      </c>
      <c r="K11" s="625">
        <v>3074</v>
      </c>
      <c r="L11" s="625">
        <v>4099</v>
      </c>
      <c r="M11" s="625">
        <v>4099</v>
      </c>
      <c r="N11" s="625">
        <v>4099</v>
      </c>
      <c r="O11" s="625">
        <v>4099</v>
      </c>
      <c r="P11" s="625">
        <v>4422</v>
      </c>
      <c r="Q11" s="625">
        <v>4099</v>
      </c>
      <c r="R11" s="625">
        <v>4355</v>
      </c>
      <c r="S11" s="628">
        <v>5123</v>
      </c>
      <c r="T11" s="628"/>
      <c r="U11" s="629">
        <f>ROUND(V11/1000,3)</f>
        <v>55.145000000000003</v>
      </c>
      <c r="V11" s="630">
        <f>SUM(E11:T11)</f>
        <v>55145</v>
      </c>
      <c r="W11" s="631"/>
      <c r="X11" s="262"/>
      <c r="Y11" s="263">
        <f>U11+U64+U100+U136</f>
        <v>124.752</v>
      </c>
      <c r="Z11" s="263">
        <f>ROUND(U11*0.1,2)</f>
        <v>5.51</v>
      </c>
      <c r="AA11" s="569">
        <f>Z11+U11</f>
        <v>60.655000000000001</v>
      </c>
    </row>
    <row r="12" spans="1:27" ht="35.1" customHeight="1">
      <c r="A12" s="314">
        <v>2</v>
      </c>
      <c r="B12" s="265" t="s">
        <v>108</v>
      </c>
      <c r="C12" s="266" t="s">
        <v>109</v>
      </c>
      <c r="D12" s="624" t="s">
        <v>201</v>
      </c>
      <c r="E12" s="625">
        <v>4099</v>
      </c>
      <c r="F12" s="626"/>
      <c r="G12" s="625">
        <v>3842</v>
      </c>
      <c r="H12" s="625">
        <v>5380</v>
      </c>
      <c r="I12" s="627"/>
      <c r="J12" s="625">
        <v>4355</v>
      </c>
      <c r="K12" s="625">
        <v>3074</v>
      </c>
      <c r="L12" s="625">
        <v>4099</v>
      </c>
      <c r="M12" s="625">
        <v>4099</v>
      </c>
      <c r="N12" s="625">
        <v>4099</v>
      </c>
      <c r="O12" s="625">
        <v>4099</v>
      </c>
      <c r="P12" s="625">
        <v>4422</v>
      </c>
      <c r="Q12" s="625">
        <v>4099</v>
      </c>
      <c r="R12" s="625">
        <v>4355</v>
      </c>
      <c r="S12" s="628">
        <v>5123</v>
      </c>
      <c r="T12" s="628"/>
      <c r="U12" s="629">
        <f t="shared" ref="U12:U19" si="1">ROUND(V12/1000,3)</f>
        <v>55.145000000000003</v>
      </c>
      <c r="V12" s="630">
        <f t="shared" ref="V12:V19" si="2">SUM(E12:T12)</f>
        <v>55145</v>
      </c>
      <c r="W12" s="631"/>
      <c r="X12" s="240"/>
      <c r="Y12" s="240"/>
      <c r="Z12" s="264"/>
      <c r="AA12" s="240"/>
    </row>
    <row r="13" spans="1:27" ht="35.1" customHeight="1">
      <c r="A13" s="314">
        <v>3</v>
      </c>
      <c r="B13" s="545" t="s">
        <v>110</v>
      </c>
      <c r="C13" s="632" t="s">
        <v>111</v>
      </c>
      <c r="D13" s="624" t="s">
        <v>201</v>
      </c>
      <c r="E13" s="625">
        <v>4099</v>
      </c>
      <c r="F13" s="626"/>
      <c r="G13" s="625">
        <v>3842</v>
      </c>
      <c r="H13" s="625">
        <v>5380</v>
      </c>
      <c r="I13" s="627"/>
      <c r="J13" s="625">
        <v>4355</v>
      </c>
      <c r="K13" s="625">
        <v>3074</v>
      </c>
      <c r="L13" s="625">
        <v>4099</v>
      </c>
      <c r="M13" s="625">
        <v>4099</v>
      </c>
      <c r="N13" s="625">
        <v>4099</v>
      </c>
      <c r="O13" s="625">
        <v>4099</v>
      </c>
      <c r="P13" s="625">
        <v>4422</v>
      </c>
      <c r="Q13" s="625">
        <v>4099</v>
      </c>
      <c r="R13" s="625">
        <v>4355</v>
      </c>
      <c r="S13" s="628">
        <v>5123</v>
      </c>
      <c r="T13" s="628"/>
      <c r="U13" s="629">
        <f t="shared" si="1"/>
        <v>55.145000000000003</v>
      </c>
      <c r="V13" s="630">
        <f t="shared" si="2"/>
        <v>55145</v>
      </c>
      <c r="W13" s="631"/>
      <c r="X13" s="240"/>
      <c r="Y13" s="240"/>
      <c r="Z13" s="264"/>
      <c r="AA13" s="245"/>
    </row>
    <row r="14" spans="1:27" ht="35.1" customHeight="1">
      <c r="A14" s="314">
        <v>4</v>
      </c>
      <c r="B14" s="260" t="s">
        <v>112</v>
      </c>
      <c r="C14" s="267" t="s">
        <v>113</v>
      </c>
      <c r="D14" s="624" t="s">
        <v>201</v>
      </c>
      <c r="E14" s="625">
        <v>4099</v>
      </c>
      <c r="F14" s="626"/>
      <c r="G14" s="625">
        <v>3842</v>
      </c>
      <c r="H14" s="625">
        <v>5380</v>
      </c>
      <c r="I14" s="627"/>
      <c r="J14" s="625">
        <v>4355</v>
      </c>
      <c r="K14" s="625">
        <v>3074</v>
      </c>
      <c r="L14" s="625">
        <v>4099</v>
      </c>
      <c r="M14" s="625">
        <v>4098</v>
      </c>
      <c r="N14" s="625">
        <v>4099</v>
      </c>
      <c r="O14" s="625">
        <v>4098</v>
      </c>
      <c r="P14" s="625">
        <v>4422</v>
      </c>
      <c r="Q14" s="625">
        <v>4099</v>
      </c>
      <c r="R14" s="625">
        <v>4355</v>
      </c>
      <c r="S14" s="628">
        <v>5123</v>
      </c>
      <c r="T14" s="628"/>
      <c r="U14" s="629">
        <f t="shared" si="1"/>
        <v>55.143000000000001</v>
      </c>
      <c r="V14" s="630">
        <f t="shared" si="2"/>
        <v>55143</v>
      </c>
      <c r="W14" s="631"/>
      <c r="X14" s="240"/>
      <c r="Y14" s="240"/>
      <c r="Z14" s="264"/>
      <c r="AA14" s="245"/>
    </row>
    <row r="15" spans="1:27" ht="35.1" customHeight="1">
      <c r="A15" s="314">
        <v>5</v>
      </c>
      <c r="B15" s="249" t="s">
        <v>114</v>
      </c>
      <c r="C15" s="433" t="s">
        <v>115</v>
      </c>
      <c r="D15" s="624" t="s">
        <v>201</v>
      </c>
      <c r="E15" s="625">
        <v>4099</v>
      </c>
      <c r="F15" s="626"/>
      <c r="G15" s="625">
        <v>3842</v>
      </c>
      <c r="H15" s="625">
        <v>5380</v>
      </c>
      <c r="I15" s="627"/>
      <c r="J15" s="625">
        <v>4354</v>
      </c>
      <c r="K15" s="625">
        <v>3074</v>
      </c>
      <c r="L15" s="625">
        <v>4099</v>
      </c>
      <c r="M15" s="625">
        <v>4098</v>
      </c>
      <c r="N15" s="625">
        <v>4099</v>
      </c>
      <c r="O15" s="625">
        <v>4098</v>
      </c>
      <c r="P15" s="625">
        <v>4423</v>
      </c>
      <c r="Q15" s="625">
        <v>4099</v>
      </c>
      <c r="R15" s="625">
        <v>4355</v>
      </c>
      <c r="S15" s="628">
        <v>5123</v>
      </c>
      <c r="T15" s="628"/>
      <c r="U15" s="629">
        <f t="shared" si="1"/>
        <v>55.143000000000001</v>
      </c>
      <c r="V15" s="630">
        <f t="shared" si="2"/>
        <v>55143</v>
      </c>
      <c r="W15" s="631"/>
      <c r="X15" s="240"/>
      <c r="Y15" s="240"/>
      <c r="Z15" s="264"/>
      <c r="AA15" s="240"/>
    </row>
    <row r="16" spans="1:27" ht="35.1" customHeight="1">
      <c r="A16" s="314">
        <v>6</v>
      </c>
      <c r="B16" s="265" t="s">
        <v>116</v>
      </c>
      <c r="C16" s="268" t="s">
        <v>117</v>
      </c>
      <c r="D16" s="624" t="s">
        <v>201</v>
      </c>
      <c r="E16" s="625">
        <v>4099</v>
      </c>
      <c r="F16" s="626"/>
      <c r="G16" s="625">
        <v>3842</v>
      </c>
      <c r="H16" s="625">
        <v>5379</v>
      </c>
      <c r="I16" s="627"/>
      <c r="J16" s="625">
        <v>4355</v>
      </c>
      <c r="K16" s="625">
        <v>3074</v>
      </c>
      <c r="L16" s="625">
        <v>4099</v>
      </c>
      <c r="M16" s="625">
        <v>4098</v>
      </c>
      <c r="N16" s="625">
        <v>4099</v>
      </c>
      <c r="O16" s="625">
        <v>4098</v>
      </c>
      <c r="P16" s="625">
        <v>4423</v>
      </c>
      <c r="Q16" s="625">
        <v>4099</v>
      </c>
      <c r="R16" s="625">
        <v>4354</v>
      </c>
      <c r="S16" s="628">
        <v>5124</v>
      </c>
      <c r="T16" s="628"/>
      <c r="U16" s="629">
        <f t="shared" si="1"/>
        <v>55.143000000000001</v>
      </c>
      <c r="V16" s="630">
        <f t="shared" si="2"/>
        <v>55143</v>
      </c>
      <c r="W16" s="631"/>
      <c r="X16" s="240"/>
      <c r="Y16" s="240"/>
      <c r="Z16" s="264"/>
      <c r="AA16" s="240"/>
    </row>
    <row r="17" spans="1:29" ht="35.1" customHeight="1">
      <c r="A17" s="314">
        <v>7</v>
      </c>
      <c r="B17" s="265" t="s">
        <v>118</v>
      </c>
      <c r="C17" s="268" t="s">
        <v>119</v>
      </c>
      <c r="D17" s="624" t="s">
        <v>201</v>
      </c>
      <c r="E17" s="625">
        <v>4098</v>
      </c>
      <c r="F17" s="626"/>
      <c r="G17" s="625">
        <v>3843</v>
      </c>
      <c r="H17" s="625">
        <v>5379</v>
      </c>
      <c r="I17" s="627"/>
      <c r="J17" s="625">
        <v>4355</v>
      </c>
      <c r="K17" s="625">
        <v>3074</v>
      </c>
      <c r="L17" s="625">
        <v>4098</v>
      </c>
      <c r="M17" s="625">
        <v>4099</v>
      </c>
      <c r="N17" s="625">
        <v>4098</v>
      </c>
      <c r="O17" s="625">
        <v>4099</v>
      </c>
      <c r="P17" s="625">
        <v>4423</v>
      </c>
      <c r="Q17" s="625">
        <v>4098</v>
      </c>
      <c r="R17" s="625">
        <v>4355</v>
      </c>
      <c r="S17" s="628">
        <v>5124</v>
      </c>
      <c r="T17" s="628"/>
      <c r="U17" s="629">
        <f t="shared" si="1"/>
        <v>55.143000000000001</v>
      </c>
      <c r="V17" s="630">
        <f t="shared" si="2"/>
        <v>55143</v>
      </c>
      <c r="W17" s="631"/>
      <c r="X17" s="240"/>
      <c r="Y17" s="240"/>
      <c r="Z17" s="264"/>
      <c r="AA17" s="240"/>
      <c r="AB17" s="240"/>
      <c r="AC17" s="240"/>
    </row>
    <row r="18" spans="1:29" ht="35.1" customHeight="1">
      <c r="A18" s="314">
        <v>8</v>
      </c>
      <c r="B18" s="249" t="s">
        <v>120</v>
      </c>
      <c r="C18" s="268" t="s">
        <v>121</v>
      </c>
      <c r="D18" s="624" t="s">
        <v>201</v>
      </c>
      <c r="E18" s="625">
        <v>4098</v>
      </c>
      <c r="F18" s="626"/>
      <c r="G18" s="625">
        <v>3843</v>
      </c>
      <c r="H18" s="625">
        <v>5379</v>
      </c>
      <c r="I18" s="627"/>
      <c r="J18" s="625">
        <v>4355</v>
      </c>
      <c r="K18" s="625">
        <v>3074</v>
      </c>
      <c r="L18" s="625">
        <v>4098</v>
      </c>
      <c r="M18" s="625">
        <v>4099</v>
      </c>
      <c r="N18" s="625">
        <v>4098</v>
      </c>
      <c r="O18" s="625">
        <v>4099</v>
      </c>
      <c r="P18" s="625">
        <v>4423</v>
      </c>
      <c r="Q18" s="625">
        <v>4098</v>
      </c>
      <c r="R18" s="625">
        <v>4355</v>
      </c>
      <c r="S18" s="628">
        <v>5124</v>
      </c>
      <c r="T18" s="628"/>
      <c r="U18" s="629">
        <f t="shared" si="1"/>
        <v>55.143000000000001</v>
      </c>
      <c r="V18" s="630">
        <f t="shared" si="2"/>
        <v>55143</v>
      </c>
      <c r="W18" s="631"/>
      <c r="X18" s="240"/>
      <c r="Y18" s="240"/>
      <c r="Z18" s="264"/>
      <c r="AA18" s="240"/>
      <c r="AB18" s="240"/>
      <c r="AC18" s="240"/>
    </row>
    <row r="19" spans="1:29" ht="35.1" customHeight="1">
      <c r="A19" s="314">
        <v>9</v>
      </c>
      <c r="B19" s="265" t="s">
        <v>122</v>
      </c>
      <c r="C19" s="340" t="s">
        <v>123</v>
      </c>
      <c r="D19" s="624" t="s">
        <v>201</v>
      </c>
      <c r="E19" s="625">
        <v>4098</v>
      </c>
      <c r="F19" s="626"/>
      <c r="G19" s="625">
        <v>3843</v>
      </c>
      <c r="H19" s="625">
        <v>5379</v>
      </c>
      <c r="I19" s="627"/>
      <c r="J19" s="625">
        <v>4355</v>
      </c>
      <c r="K19" s="625">
        <v>3074</v>
      </c>
      <c r="L19" s="625">
        <v>4098</v>
      </c>
      <c r="M19" s="625">
        <v>4099</v>
      </c>
      <c r="N19" s="625">
        <v>4098</v>
      </c>
      <c r="O19" s="625">
        <v>4099</v>
      </c>
      <c r="P19" s="625">
        <v>4423</v>
      </c>
      <c r="Q19" s="625">
        <v>4098</v>
      </c>
      <c r="R19" s="625">
        <v>4355</v>
      </c>
      <c r="S19" s="628">
        <v>5123</v>
      </c>
      <c r="T19" s="628"/>
      <c r="U19" s="629">
        <f t="shared" si="1"/>
        <v>55.142000000000003</v>
      </c>
      <c r="V19" s="630">
        <f t="shared" si="2"/>
        <v>55142</v>
      </c>
      <c r="W19" s="631"/>
      <c r="X19" s="240"/>
      <c r="Y19" s="240"/>
      <c r="Z19" s="264"/>
      <c r="AA19" s="240"/>
      <c r="AB19" s="240"/>
      <c r="AC19" s="240"/>
    </row>
    <row r="20" spans="1:29" s="269" customFormat="1" ht="35.1" customHeight="1">
      <c r="A20" s="633"/>
      <c r="B20" s="876" t="s">
        <v>203</v>
      </c>
      <c r="C20" s="876"/>
      <c r="D20" s="634"/>
      <c r="E20" s="635">
        <f>SUM(E11:E19)</f>
        <v>36888</v>
      </c>
      <c r="F20" s="635">
        <f t="shared" ref="F20:T20" si="3">SUM(F11:F19)</f>
        <v>0</v>
      </c>
      <c r="G20" s="635">
        <f t="shared" si="3"/>
        <v>34582</v>
      </c>
      <c r="H20" s="635">
        <f t="shared" si="3"/>
        <v>48415</v>
      </c>
      <c r="I20" s="635">
        <f>SUM(I11:I19)</f>
        <v>0</v>
      </c>
      <c r="J20" s="635">
        <f t="shared" si="3"/>
        <v>39194</v>
      </c>
      <c r="K20" s="635">
        <f t="shared" si="3"/>
        <v>27666</v>
      </c>
      <c r="L20" s="635">
        <f t="shared" si="3"/>
        <v>36888</v>
      </c>
      <c r="M20" s="635">
        <f t="shared" si="3"/>
        <v>36888</v>
      </c>
      <c r="N20" s="635">
        <f t="shared" si="3"/>
        <v>36888</v>
      </c>
      <c r="O20" s="635">
        <f t="shared" si="3"/>
        <v>36888</v>
      </c>
      <c r="P20" s="635">
        <f t="shared" si="3"/>
        <v>39803</v>
      </c>
      <c r="Q20" s="635">
        <f t="shared" si="3"/>
        <v>36888</v>
      </c>
      <c r="R20" s="635">
        <f t="shared" si="3"/>
        <v>39194</v>
      </c>
      <c r="S20" s="635">
        <f t="shared" si="3"/>
        <v>46110</v>
      </c>
      <c r="T20" s="635">
        <f t="shared" si="3"/>
        <v>0</v>
      </c>
      <c r="U20" s="636">
        <f>SUM(U11:U19)</f>
        <v>496.29200000000009</v>
      </c>
      <c r="V20" s="637">
        <f>SUM(V11:V19)</f>
        <v>496292</v>
      </c>
      <c r="W20" s="638"/>
      <c r="Y20" s="269">
        <v>143710</v>
      </c>
      <c r="Z20" s="270">
        <f>U20+U73</f>
        <v>934.34000000000015</v>
      </c>
      <c r="AA20" s="271"/>
    </row>
    <row r="21" spans="1:29" s="272" customFormat="1" ht="23.25" hidden="1" customHeight="1">
      <c r="A21" s="639"/>
      <c r="B21" s="640"/>
      <c r="C21" s="640"/>
      <c r="D21" s="640"/>
      <c r="E21" s="641">
        <f>VLOOKUP(E10,'[3]BKECHITIET TO1'!$A$11:$K$27,11)</f>
        <v>36888</v>
      </c>
      <c r="F21" s="641">
        <f>VLOOKUP(F10,'[3]BKECHITIET TO1'!$A$11:$K$27,11)</f>
        <v>0</v>
      </c>
      <c r="G21" s="641">
        <f>VLOOKUP(G10,'[3]BKECHITIET TO1'!$A$11:$K$27,11)</f>
        <v>34582</v>
      </c>
      <c r="H21" s="641">
        <f>VLOOKUP(H10,'[3]BKECHITIET TO1'!$A$11:$K$27,11)</f>
        <v>48415</v>
      </c>
      <c r="I21" s="641">
        <f>VLOOKUP(I10,'[3]BKECHITIET TO1'!$A$11:$K$27,11)</f>
        <v>0</v>
      </c>
      <c r="J21" s="641">
        <f>VLOOKUP(J10,'[3]BKECHITIET TO1'!$A$11:$K$27,11)</f>
        <v>39194</v>
      </c>
      <c r="K21" s="641">
        <f>VLOOKUP(K10,'[3]BKECHITIET TO1'!$A$11:$K$27,11)</f>
        <v>27666</v>
      </c>
      <c r="L21" s="641">
        <f>VLOOKUP(L10,'[3]BKECHITIET TO1'!$A$11:$K$27,11)</f>
        <v>36888</v>
      </c>
      <c r="M21" s="641">
        <f>VLOOKUP(M10,'[3]BKECHITIET TO1'!$A$11:$K$27,11)</f>
        <v>36888</v>
      </c>
      <c r="N21" s="641">
        <f>VLOOKUP(N10,'[3]BKECHITIET TO1'!$A$11:$K$27,11)</f>
        <v>36888</v>
      </c>
      <c r="O21" s="641">
        <f>VLOOKUP(O10,'[3]BKECHITIET TO1'!$A$11:$K$27,11)</f>
        <v>36888</v>
      </c>
      <c r="P21" s="641">
        <v>39803</v>
      </c>
      <c r="Q21" s="641">
        <f>VLOOKUP(Q10,'[3]BKECHITIET TO1'!$A$11:$K$27,11)</f>
        <v>36888</v>
      </c>
      <c r="R21" s="641">
        <f>VLOOKUP(R10,'[3]BKECHITIET TO1'!$A$11:$K$27,11)</f>
        <v>39194</v>
      </c>
      <c r="S21" s="641">
        <f>VLOOKUP(S10,'[3]BKECHITIET TO1'!$A$11:$K$27,11)</f>
        <v>46110</v>
      </c>
      <c r="T21" s="641">
        <f>VLOOKUP(T10,'[3]BKECHITIET TO1'!$A$11:$K$27,11)</f>
        <v>0</v>
      </c>
      <c r="U21" s="642">
        <f>SUM(E21:T21)</f>
        <v>496292</v>
      </c>
      <c r="V21" s="640"/>
      <c r="W21" s="639"/>
      <c r="Z21" s="273"/>
      <c r="AA21" s="274"/>
      <c r="AC21" s="275"/>
    </row>
    <row r="22" spans="1:29" s="272" customFormat="1" ht="15.75" hidden="1" customHeight="1">
      <c r="A22" s="639"/>
      <c r="B22" s="643"/>
      <c r="C22" s="643"/>
      <c r="D22" s="643"/>
      <c r="E22" s="644">
        <f>E21-E20</f>
        <v>0</v>
      </c>
      <c r="F22" s="644">
        <f t="shared" ref="F22:T22" si="4">F21-F20</f>
        <v>0</v>
      </c>
      <c r="G22" s="644">
        <f t="shared" si="4"/>
        <v>0</v>
      </c>
      <c r="H22" s="644">
        <f t="shared" si="4"/>
        <v>0</v>
      </c>
      <c r="I22" s="644">
        <f t="shared" si="4"/>
        <v>0</v>
      </c>
      <c r="J22" s="644">
        <f t="shared" si="4"/>
        <v>0</v>
      </c>
      <c r="K22" s="644">
        <f t="shared" si="4"/>
        <v>0</v>
      </c>
      <c r="L22" s="644">
        <f t="shared" si="4"/>
        <v>0</v>
      </c>
      <c r="M22" s="644">
        <f>M21-M20</f>
        <v>0</v>
      </c>
      <c r="N22" s="644">
        <f t="shared" si="4"/>
        <v>0</v>
      </c>
      <c r="O22" s="644">
        <f t="shared" si="4"/>
        <v>0</v>
      </c>
      <c r="P22" s="644">
        <f t="shared" si="4"/>
        <v>0</v>
      </c>
      <c r="Q22" s="644">
        <f t="shared" si="4"/>
        <v>0</v>
      </c>
      <c r="R22" s="644">
        <f t="shared" si="4"/>
        <v>0</v>
      </c>
      <c r="S22" s="644">
        <f t="shared" si="4"/>
        <v>0</v>
      </c>
      <c r="T22" s="644">
        <f t="shared" si="4"/>
        <v>0</v>
      </c>
      <c r="U22" s="644">
        <f>U21-V20</f>
        <v>0</v>
      </c>
      <c r="V22" s="643"/>
      <c r="W22" s="639"/>
      <c r="Z22" s="273"/>
      <c r="AA22" s="274"/>
      <c r="AC22" s="275"/>
    </row>
    <row r="23" spans="1:29" s="275" customFormat="1" ht="15.75" hidden="1" customHeight="1">
      <c r="A23" s="14"/>
      <c r="B23" s="14"/>
      <c r="C23" s="14"/>
      <c r="D23" s="14"/>
      <c r="E23" s="639">
        <f>COUNTIF(E11:E19,"X")+0.5*COUNTIF(E11:E19,"/")</f>
        <v>0</v>
      </c>
      <c r="F23" s="639">
        <f t="shared" ref="F23:T23" si="5">COUNTIF(F11:F19,"X")+0.5*COUNTIF(F11:F19,"/")</f>
        <v>0</v>
      </c>
      <c r="G23" s="639">
        <f t="shared" si="5"/>
        <v>0</v>
      </c>
      <c r="H23" s="639">
        <f t="shared" si="5"/>
        <v>0</v>
      </c>
      <c r="I23" s="639">
        <f t="shared" si="5"/>
        <v>0</v>
      </c>
      <c r="J23" s="639">
        <f t="shared" si="5"/>
        <v>0</v>
      </c>
      <c r="K23" s="639">
        <f t="shared" si="5"/>
        <v>0</v>
      </c>
      <c r="L23" s="639">
        <f t="shared" si="5"/>
        <v>0</v>
      </c>
      <c r="M23" s="639">
        <f t="shared" si="5"/>
        <v>0</v>
      </c>
      <c r="N23" s="639">
        <f t="shared" si="5"/>
        <v>0</v>
      </c>
      <c r="O23" s="639">
        <f t="shared" si="5"/>
        <v>0</v>
      </c>
      <c r="P23" s="639">
        <f t="shared" si="5"/>
        <v>0</v>
      </c>
      <c r="Q23" s="639">
        <f t="shared" si="5"/>
        <v>0</v>
      </c>
      <c r="R23" s="639">
        <f t="shared" si="5"/>
        <v>0</v>
      </c>
      <c r="S23" s="639"/>
      <c r="T23" s="639">
        <f t="shared" si="5"/>
        <v>0</v>
      </c>
      <c r="U23" s="645"/>
      <c r="V23" s="645"/>
      <c r="W23" s="14"/>
      <c r="Z23" s="273"/>
      <c r="AA23" s="276"/>
    </row>
    <row r="24" spans="1:29" s="275" customFormat="1" ht="15.75" hidden="1" customHeight="1">
      <c r="A24" s="14"/>
      <c r="B24" s="14"/>
      <c r="C24" s="14"/>
      <c r="D24" s="14"/>
      <c r="E24" s="639">
        <v>9</v>
      </c>
      <c r="F24" s="639">
        <v>0</v>
      </c>
      <c r="G24" s="639">
        <v>9</v>
      </c>
      <c r="H24" s="639">
        <v>9</v>
      </c>
      <c r="I24" s="645">
        <v>0</v>
      </c>
      <c r="J24" s="645">
        <v>9</v>
      </c>
      <c r="K24" s="645">
        <v>9</v>
      </c>
      <c r="L24" s="645">
        <v>9</v>
      </c>
      <c r="M24" s="645">
        <v>9</v>
      </c>
      <c r="N24" s="645">
        <v>9</v>
      </c>
      <c r="O24" s="645">
        <v>9</v>
      </c>
      <c r="P24" s="645">
        <v>9</v>
      </c>
      <c r="Q24" s="645">
        <v>9</v>
      </c>
      <c r="R24" s="645">
        <v>9</v>
      </c>
      <c r="S24" s="645">
        <v>9</v>
      </c>
      <c r="T24" s="645">
        <v>9</v>
      </c>
      <c r="U24" s="645"/>
      <c r="V24" s="645"/>
      <c r="W24" s="14"/>
      <c r="Z24" s="273"/>
      <c r="AA24" s="276"/>
    </row>
    <row r="25" spans="1:29" s="277" customFormat="1" ht="12" hidden="1" customHeight="1">
      <c r="A25" s="646"/>
      <c r="B25" s="646"/>
      <c r="C25" s="646"/>
      <c r="D25" s="646"/>
      <c r="E25" s="647">
        <f>ROUND(E21/E24,1)</f>
        <v>4098.7</v>
      </c>
      <c r="F25" s="647" t="e">
        <f t="shared" ref="F25:T25" si="6">ROUND(F21/F24,1)</f>
        <v>#DIV/0!</v>
      </c>
      <c r="G25" s="647">
        <f t="shared" si="6"/>
        <v>3842.4</v>
      </c>
      <c r="H25" s="647">
        <f t="shared" si="6"/>
        <v>5379.4</v>
      </c>
      <c r="I25" s="647" t="e">
        <f t="shared" si="6"/>
        <v>#DIV/0!</v>
      </c>
      <c r="J25" s="647">
        <f t="shared" si="6"/>
        <v>4354.8999999999996</v>
      </c>
      <c r="K25" s="647">
        <f t="shared" si="6"/>
        <v>3074</v>
      </c>
      <c r="L25" s="647">
        <f t="shared" si="6"/>
        <v>4098.7</v>
      </c>
      <c r="M25" s="647">
        <f t="shared" si="6"/>
        <v>4098.7</v>
      </c>
      <c r="N25" s="647">
        <f t="shared" si="6"/>
        <v>4098.7</v>
      </c>
      <c r="O25" s="647">
        <f t="shared" si="6"/>
        <v>4098.7</v>
      </c>
      <c r="P25" s="647">
        <f t="shared" si="6"/>
        <v>4422.6000000000004</v>
      </c>
      <c r="Q25" s="647">
        <f t="shared" si="6"/>
        <v>4098.7</v>
      </c>
      <c r="R25" s="647">
        <f t="shared" si="6"/>
        <v>4354.8999999999996</v>
      </c>
      <c r="S25" s="647">
        <f t="shared" si="6"/>
        <v>5123.3</v>
      </c>
      <c r="T25" s="647">
        <f t="shared" si="6"/>
        <v>0</v>
      </c>
      <c r="U25" s="646"/>
      <c r="V25" s="646"/>
      <c r="W25" s="646"/>
    </row>
    <row r="26" spans="1:29" s="269" customFormat="1" ht="15.75" hidden="1" customHeight="1">
      <c r="A26" s="648"/>
      <c r="B26" s="648"/>
      <c r="C26" s="648"/>
      <c r="D26" s="648"/>
      <c r="E26" s="649"/>
      <c r="F26" s="649" t="e">
        <f>F25/2</f>
        <v>#DIV/0!</v>
      </c>
      <c r="G26" s="649">
        <f>G25/2</f>
        <v>1921.2</v>
      </c>
      <c r="H26" s="649">
        <f>H25/2</f>
        <v>2689.7</v>
      </c>
      <c r="I26" s="646" t="e">
        <f>I25/2</f>
        <v>#DIV/0!</v>
      </c>
      <c r="J26" s="646"/>
      <c r="K26" s="646">
        <f>K25/2</f>
        <v>1537</v>
      </c>
      <c r="L26" s="646"/>
      <c r="M26" s="646"/>
      <c r="N26" s="646">
        <f>N25/2</f>
        <v>2049.35</v>
      </c>
      <c r="O26" s="646">
        <f>O25/2</f>
        <v>2049.35</v>
      </c>
      <c r="P26" s="646"/>
      <c r="Q26" s="646">
        <f>Q25/2</f>
        <v>2049.35</v>
      </c>
      <c r="R26" s="646">
        <f>R25/2</f>
        <v>2177.4499999999998</v>
      </c>
      <c r="S26" s="646"/>
      <c r="T26" s="646">
        <f>T25/2</f>
        <v>0</v>
      </c>
      <c r="U26" s="646"/>
      <c r="V26" s="646"/>
      <c r="W26" s="648"/>
    </row>
    <row r="27" spans="1:29" s="269" customFormat="1" ht="15.75">
      <c r="A27" s="648"/>
      <c r="B27" s="648"/>
      <c r="C27" s="648"/>
      <c r="D27" s="648"/>
      <c r="E27" s="649"/>
      <c r="F27" s="649"/>
      <c r="G27" s="649"/>
      <c r="H27" s="649"/>
      <c r="I27" s="646"/>
      <c r="J27" s="646"/>
      <c r="K27" s="646"/>
      <c r="L27" s="646"/>
      <c r="M27" s="646"/>
      <c r="N27" s="646"/>
      <c r="O27" s="646"/>
      <c r="P27" s="646"/>
      <c r="Q27" s="646"/>
      <c r="R27" s="646"/>
      <c r="S27" s="646"/>
      <c r="T27" s="646"/>
      <c r="U27" s="646"/>
      <c r="V27" s="646"/>
      <c r="W27" s="648"/>
      <c r="Z27" s="269">
        <f>10%*(U11+U64)</f>
        <v>10.8172</v>
      </c>
    </row>
    <row r="28" spans="1:29" s="269" customFormat="1" ht="15.75">
      <c r="A28" s="648"/>
      <c r="B28" s="648"/>
      <c r="C28" s="648"/>
      <c r="D28" s="648"/>
      <c r="E28" s="649"/>
      <c r="F28" s="649"/>
      <c r="G28" s="649"/>
      <c r="H28" s="649"/>
      <c r="I28" s="646"/>
      <c r="J28" s="646"/>
      <c r="K28" s="646"/>
      <c r="L28" s="646"/>
      <c r="M28" s="646"/>
      <c r="N28" s="646"/>
      <c r="O28" s="646"/>
      <c r="P28" s="646"/>
      <c r="Q28" s="646"/>
      <c r="R28" s="646"/>
      <c r="S28" s="646"/>
      <c r="T28" s="646"/>
      <c r="U28" s="646"/>
      <c r="V28" s="646"/>
      <c r="W28" s="648"/>
    </row>
    <row r="29" spans="1:29" s="269" customFormat="1" ht="15.75">
      <c r="A29" s="648"/>
      <c r="B29" s="648"/>
      <c r="C29" s="648"/>
      <c r="D29" s="648"/>
      <c r="E29" s="649"/>
      <c r="F29" s="649"/>
      <c r="G29" s="649"/>
      <c r="H29" s="649"/>
      <c r="I29" s="646"/>
      <c r="J29" s="646"/>
      <c r="K29" s="646"/>
      <c r="L29" s="646"/>
      <c r="M29" s="646"/>
      <c r="N29" s="646"/>
      <c r="O29" s="646"/>
      <c r="P29" s="646"/>
      <c r="Q29" s="646"/>
      <c r="R29" s="646"/>
      <c r="S29" s="646"/>
      <c r="T29" s="646"/>
      <c r="U29" s="646"/>
      <c r="V29" s="646"/>
      <c r="W29" s="648"/>
    </row>
    <row r="30" spans="1:29" s="269" customFormat="1" ht="15.75">
      <c r="A30" s="648"/>
      <c r="B30" s="648"/>
      <c r="C30" s="648"/>
      <c r="D30" s="648"/>
      <c r="E30" s="649"/>
      <c r="F30" s="649"/>
      <c r="G30" s="649"/>
      <c r="H30" s="649"/>
      <c r="I30" s="646"/>
      <c r="J30" s="646"/>
      <c r="K30" s="646"/>
      <c r="L30" s="646"/>
      <c r="M30" s="646"/>
      <c r="N30" s="646"/>
      <c r="O30" s="646"/>
      <c r="P30" s="646"/>
      <c r="Q30" s="646"/>
      <c r="R30" s="646"/>
      <c r="S30" s="646"/>
      <c r="T30" s="646"/>
      <c r="U30" s="646"/>
      <c r="V30" s="646"/>
      <c r="W30" s="648"/>
    </row>
    <row r="31" spans="1:29" s="269" customFormat="1" ht="15.75">
      <c r="A31" s="648"/>
      <c r="B31" s="648"/>
      <c r="C31" s="648"/>
      <c r="D31" s="648"/>
      <c r="E31" s="649"/>
      <c r="F31" s="649"/>
      <c r="G31" s="649"/>
      <c r="H31" s="649"/>
      <c r="I31" s="646"/>
      <c r="J31" s="646"/>
      <c r="K31" s="646"/>
      <c r="L31" s="646"/>
      <c r="M31" s="646"/>
      <c r="N31" s="646"/>
      <c r="O31" s="646"/>
      <c r="P31" s="646"/>
      <c r="Q31" s="646"/>
      <c r="R31" s="646"/>
      <c r="S31" s="646"/>
      <c r="T31" s="646"/>
      <c r="U31" s="646"/>
      <c r="V31" s="646"/>
      <c r="W31" s="648"/>
    </row>
    <row r="32" spans="1:29" s="269" customFormat="1" ht="15.75">
      <c r="A32" s="648"/>
      <c r="B32" s="648"/>
      <c r="C32" s="648"/>
      <c r="D32" s="648"/>
      <c r="E32" s="649"/>
      <c r="F32" s="649"/>
      <c r="G32" s="649"/>
      <c r="H32" s="649"/>
      <c r="I32" s="646"/>
      <c r="J32" s="646"/>
      <c r="K32" s="646"/>
      <c r="L32" s="646"/>
      <c r="M32" s="646"/>
      <c r="N32" s="646"/>
      <c r="O32" s="646"/>
      <c r="P32" s="646"/>
      <c r="Q32" s="646"/>
      <c r="R32" s="646"/>
      <c r="S32" s="646"/>
      <c r="T32" s="646"/>
      <c r="U32" s="646"/>
      <c r="V32" s="646"/>
      <c r="W32" s="648"/>
    </row>
    <row r="33" spans="1:23" s="269" customFormat="1" ht="15.75">
      <c r="A33" s="648"/>
      <c r="B33" s="648"/>
      <c r="C33" s="648"/>
      <c r="D33" s="648"/>
      <c r="E33" s="649"/>
      <c r="F33" s="649"/>
      <c r="G33" s="649"/>
      <c r="H33" s="649"/>
      <c r="I33" s="646"/>
      <c r="J33" s="646"/>
      <c r="K33" s="646"/>
      <c r="L33" s="646"/>
      <c r="M33" s="646"/>
      <c r="N33" s="646"/>
      <c r="O33" s="646"/>
      <c r="P33" s="646"/>
      <c r="Q33" s="646"/>
      <c r="R33" s="646"/>
      <c r="S33" s="646"/>
      <c r="T33" s="646"/>
      <c r="U33" s="646"/>
      <c r="V33" s="646"/>
      <c r="W33" s="648"/>
    </row>
    <row r="34" spans="1:23" s="269" customFormat="1" ht="15.75">
      <c r="A34" s="648"/>
      <c r="B34" s="648"/>
      <c r="C34" s="648"/>
      <c r="D34" s="648"/>
      <c r="E34" s="649"/>
      <c r="F34" s="649"/>
      <c r="G34" s="649"/>
      <c r="H34" s="649"/>
      <c r="I34" s="646"/>
      <c r="J34" s="646"/>
      <c r="K34" s="646"/>
      <c r="L34" s="646"/>
      <c r="M34" s="646"/>
      <c r="N34" s="646"/>
      <c r="O34" s="646"/>
      <c r="P34" s="646"/>
      <c r="Q34" s="646"/>
      <c r="R34" s="646"/>
      <c r="S34" s="646"/>
      <c r="T34" s="646"/>
      <c r="U34" s="646"/>
      <c r="V34" s="646"/>
      <c r="W34" s="648"/>
    </row>
    <row r="35" spans="1:23" s="269" customFormat="1" ht="15.75">
      <c r="A35" s="648"/>
      <c r="B35" s="648"/>
      <c r="C35" s="648"/>
      <c r="D35" s="648"/>
      <c r="E35" s="649"/>
      <c r="F35" s="649"/>
      <c r="G35" s="649"/>
      <c r="H35" s="649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8"/>
    </row>
    <row r="36" spans="1:23" s="269" customFormat="1" ht="15.75">
      <c r="A36" s="648"/>
      <c r="B36" s="648"/>
      <c r="C36" s="648"/>
      <c r="D36" s="648"/>
      <c r="E36" s="649"/>
      <c r="F36" s="649"/>
      <c r="G36" s="649"/>
      <c r="H36" s="649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8"/>
    </row>
    <row r="37" spans="1:23" s="269" customFormat="1" ht="15.75">
      <c r="A37" s="648"/>
      <c r="B37" s="648"/>
      <c r="C37" s="648"/>
      <c r="D37" s="648"/>
      <c r="E37" s="649"/>
      <c r="F37" s="649"/>
      <c r="G37" s="649"/>
      <c r="H37" s="649"/>
      <c r="I37" s="646"/>
      <c r="J37" s="646"/>
      <c r="K37" s="646"/>
      <c r="L37" s="646"/>
      <c r="M37" s="646"/>
      <c r="N37" s="646"/>
      <c r="O37" s="646"/>
      <c r="P37" s="646"/>
      <c r="Q37" s="646"/>
      <c r="R37" s="646"/>
      <c r="S37" s="646"/>
      <c r="T37" s="646"/>
      <c r="U37" s="646"/>
      <c r="V37" s="646"/>
      <c r="W37" s="648"/>
    </row>
    <row r="38" spans="1:23" s="275" customFormat="1" ht="15.75" hidden="1" customHeight="1">
      <c r="A38" s="14"/>
      <c r="B38" s="14"/>
      <c r="C38" s="14">
        <v>26129</v>
      </c>
      <c r="D38" s="14"/>
      <c r="E38" s="639"/>
      <c r="F38" s="639"/>
      <c r="G38" s="639"/>
      <c r="H38" s="639"/>
      <c r="I38" s="645"/>
      <c r="J38" s="645"/>
      <c r="K38" s="645"/>
      <c r="L38" s="645"/>
      <c r="M38" s="645"/>
      <c r="N38" s="645"/>
      <c r="O38" s="645"/>
      <c r="P38" s="645"/>
      <c r="Q38" s="645"/>
      <c r="R38" s="645"/>
      <c r="S38" s="645"/>
      <c r="T38" s="645"/>
      <c r="U38" s="645"/>
      <c r="V38" s="645"/>
      <c r="W38" s="14"/>
    </row>
    <row r="39" spans="1:23" s="275" customFormat="1" ht="15.75" hidden="1" customHeight="1">
      <c r="A39" s="14"/>
      <c r="B39" s="14"/>
      <c r="C39" s="14">
        <v>24592</v>
      </c>
      <c r="D39" s="14"/>
      <c r="E39" s="639"/>
      <c r="F39" s="639"/>
      <c r="G39" s="639"/>
      <c r="H39" s="639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14"/>
    </row>
    <row r="40" spans="1:23" s="275" customFormat="1" ht="15.75" hidden="1" customHeight="1">
      <c r="A40" s="14"/>
      <c r="B40" s="14"/>
      <c r="C40" s="14">
        <v>15370</v>
      </c>
      <c r="D40" s="14"/>
      <c r="E40" s="639"/>
      <c r="F40" s="639"/>
      <c r="G40" s="639"/>
      <c r="H40" s="639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14"/>
    </row>
    <row r="41" spans="1:23" s="275" customFormat="1" ht="15.75" hidden="1" customHeight="1">
      <c r="A41" s="14"/>
      <c r="B41" s="14"/>
      <c r="C41" s="14"/>
      <c r="D41" s="14"/>
      <c r="E41" s="639"/>
      <c r="F41" s="639"/>
      <c r="G41" s="639"/>
      <c r="H41" s="639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5"/>
      <c r="V41" s="645"/>
      <c r="W41" s="14"/>
    </row>
    <row r="42" spans="1:23" s="275" customFormat="1" ht="15.75" hidden="1" customHeight="1">
      <c r="A42" s="14"/>
      <c r="B42" s="14"/>
      <c r="C42" s="14"/>
      <c r="D42" s="14"/>
      <c r="E42" s="639"/>
      <c r="F42" s="639"/>
      <c r="G42" s="639"/>
      <c r="H42" s="639"/>
      <c r="I42" s="645"/>
      <c r="J42" s="645"/>
      <c r="K42" s="645"/>
      <c r="L42" s="645"/>
      <c r="M42" s="645"/>
      <c r="N42" s="645"/>
      <c r="O42" s="645"/>
      <c r="P42" s="645"/>
      <c r="Q42" s="645"/>
      <c r="R42" s="645"/>
      <c r="S42" s="645"/>
      <c r="T42" s="645"/>
      <c r="U42" s="645"/>
      <c r="V42" s="645"/>
      <c r="W42" s="14"/>
    </row>
    <row r="43" spans="1:23" s="275" customFormat="1" ht="15.75" hidden="1" customHeight="1">
      <c r="A43" s="14"/>
      <c r="B43" s="14"/>
      <c r="C43" s="14"/>
      <c r="D43" s="14"/>
      <c r="E43" s="639"/>
      <c r="F43" s="639"/>
      <c r="G43" s="639"/>
      <c r="H43" s="639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14"/>
    </row>
    <row r="44" spans="1:23" s="275" customFormat="1" ht="15.75" hidden="1" customHeight="1">
      <c r="A44" s="14"/>
      <c r="B44" s="14"/>
      <c r="C44" s="14"/>
      <c r="D44" s="14"/>
      <c r="E44" s="639"/>
      <c r="F44" s="639"/>
      <c r="G44" s="639"/>
      <c r="H44" s="639"/>
      <c r="I44" s="645"/>
      <c r="J44" s="645"/>
      <c r="K44" s="645"/>
      <c r="L44" s="645"/>
      <c r="M44" s="645"/>
      <c r="N44" s="645"/>
      <c r="O44" s="645"/>
      <c r="P44" s="645"/>
      <c r="Q44" s="645"/>
      <c r="R44" s="645"/>
      <c r="S44" s="645"/>
      <c r="T44" s="645"/>
      <c r="U44" s="645"/>
      <c r="V44" s="645"/>
      <c r="W44" s="14"/>
    </row>
    <row r="45" spans="1:23" s="275" customFormat="1" ht="15.75" hidden="1" customHeight="1">
      <c r="A45" s="14"/>
      <c r="B45" s="14"/>
      <c r="C45" s="14"/>
      <c r="D45" s="14"/>
      <c r="E45" s="639"/>
      <c r="F45" s="639"/>
      <c r="G45" s="639"/>
      <c r="H45" s="639"/>
      <c r="I45" s="645"/>
      <c r="J45" s="645"/>
      <c r="K45" s="645"/>
      <c r="L45" s="645"/>
      <c r="M45" s="645"/>
      <c r="N45" s="645"/>
      <c r="O45" s="645"/>
      <c r="P45" s="645"/>
      <c r="Q45" s="645"/>
      <c r="R45" s="645"/>
      <c r="S45" s="645"/>
      <c r="T45" s="645"/>
      <c r="U45" s="645"/>
      <c r="V45" s="645"/>
      <c r="W45" s="14"/>
    </row>
    <row r="46" spans="1:23" s="275" customFormat="1" ht="15.75" hidden="1" customHeight="1">
      <c r="A46" s="14"/>
      <c r="B46" s="14"/>
      <c r="C46" s="14"/>
      <c r="D46" s="14"/>
      <c r="E46" s="639"/>
      <c r="F46" s="639"/>
      <c r="G46" s="639"/>
      <c r="H46" s="639"/>
      <c r="I46" s="645"/>
      <c r="J46" s="645"/>
      <c r="K46" s="645"/>
      <c r="L46" s="645"/>
      <c r="M46" s="645"/>
      <c r="N46" s="645"/>
      <c r="O46" s="645"/>
      <c r="P46" s="645"/>
      <c r="Q46" s="645"/>
      <c r="R46" s="645"/>
      <c r="S46" s="645"/>
      <c r="T46" s="645"/>
      <c r="U46" s="645"/>
      <c r="V46" s="645"/>
      <c r="W46" s="14"/>
    </row>
    <row r="47" spans="1:23" s="275" customFormat="1" ht="15.75" hidden="1" customHeight="1">
      <c r="A47" s="14"/>
      <c r="B47" s="14"/>
      <c r="C47" s="14"/>
      <c r="D47" s="14"/>
      <c r="E47" s="639"/>
      <c r="F47" s="639"/>
      <c r="G47" s="639"/>
      <c r="H47" s="639"/>
      <c r="I47" s="645"/>
      <c r="J47" s="645"/>
      <c r="K47" s="645"/>
      <c r="L47" s="645"/>
      <c r="M47" s="645"/>
      <c r="N47" s="645"/>
      <c r="O47" s="645"/>
      <c r="P47" s="645"/>
      <c r="Q47" s="645"/>
      <c r="R47" s="645"/>
      <c r="S47" s="645"/>
      <c r="T47" s="645"/>
      <c r="U47" s="645"/>
      <c r="V47" s="645"/>
      <c r="W47" s="14"/>
    </row>
    <row r="48" spans="1:23" s="275" customFormat="1" ht="15.75" hidden="1" customHeight="1">
      <c r="A48" s="14"/>
      <c r="B48" s="14"/>
      <c r="C48" s="14"/>
      <c r="D48" s="14"/>
      <c r="E48" s="639"/>
      <c r="F48" s="639"/>
      <c r="G48" s="639"/>
      <c r="H48" s="639"/>
      <c r="I48" s="645"/>
      <c r="J48" s="645"/>
      <c r="K48" s="645"/>
      <c r="L48" s="645"/>
      <c r="M48" s="645"/>
      <c r="N48" s="645"/>
      <c r="O48" s="645"/>
      <c r="P48" s="645"/>
      <c r="Q48" s="645"/>
      <c r="R48" s="645"/>
      <c r="S48" s="645"/>
      <c r="T48" s="645"/>
      <c r="U48" s="645"/>
      <c r="V48" s="645"/>
      <c r="W48" s="14"/>
    </row>
    <row r="49" spans="1:27" s="275" customFormat="1" ht="15.75" hidden="1" customHeight="1">
      <c r="A49" s="14"/>
      <c r="B49" s="14"/>
      <c r="C49" s="14"/>
      <c r="D49" s="14"/>
      <c r="E49" s="639"/>
      <c r="F49" s="639"/>
      <c r="G49" s="639"/>
      <c r="H49" s="639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14"/>
    </row>
    <row r="50" spans="1:27" s="275" customFormat="1" ht="15.75" hidden="1" customHeight="1">
      <c r="A50" s="14"/>
      <c r="B50" s="14"/>
      <c r="C50" s="14"/>
      <c r="D50" s="14"/>
      <c r="E50" s="639"/>
      <c r="F50" s="639"/>
      <c r="G50" s="639"/>
      <c r="H50" s="639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14"/>
    </row>
    <row r="51" spans="1:27" s="275" customFormat="1" ht="15.75" hidden="1" customHeight="1">
      <c r="A51" s="14"/>
      <c r="B51" s="14"/>
      <c r="C51" s="14"/>
      <c r="D51" s="14"/>
      <c r="E51" s="639"/>
      <c r="F51" s="639"/>
      <c r="G51" s="639"/>
      <c r="H51" s="639"/>
      <c r="I51" s="645"/>
      <c r="J51" s="645"/>
      <c r="K51" s="645"/>
      <c r="L51" s="645"/>
      <c r="M51" s="645"/>
      <c r="N51" s="645"/>
      <c r="O51" s="645"/>
      <c r="P51" s="645"/>
      <c r="Q51" s="645"/>
      <c r="R51" s="645"/>
      <c r="S51" s="645"/>
      <c r="T51" s="645"/>
      <c r="U51" s="645"/>
      <c r="V51" s="645"/>
      <c r="W51" s="14"/>
    </row>
    <row r="52" spans="1:27" ht="15.75">
      <c r="A52" s="798" t="s">
        <v>0</v>
      </c>
      <c r="B52" s="798"/>
      <c r="C52" s="798"/>
      <c r="D52" s="798"/>
      <c r="E52" s="798"/>
      <c r="F52" s="16"/>
      <c r="G52" s="16"/>
      <c r="H52" s="16"/>
      <c r="I52" s="4"/>
      <c r="J52" s="4"/>
      <c r="K52" s="4"/>
      <c r="L52" s="2"/>
      <c r="M52" s="2"/>
      <c r="N52" s="2"/>
      <c r="O52" s="2"/>
      <c r="P52" s="2"/>
      <c r="Q52" s="2"/>
      <c r="R52" s="2"/>
      <c r="S52" s="2"/>
      <c r="T52" s="2"/>
      <c r="U52" s="827"/>
      <c r="V52" s="827"/>
      <c r="W52" s="4"/>
      <c r="X52" s="240"/>
      <c r="Y52" s="240"/>
      <c r="Z52" s="240"/>
      <c r="AA52" s="240"/>
    </row>
    <row r="53" spans="1:27" ht="24.6" customHeight="1">
      <c r="A53" s="865" t="str">
        <f>A2</f>
        <v>CÔNG TY TNHH CAO SU VRG MEKONG</v>
      </c>
      <c r="B53" s="865"/>
      <c r="C53" s="865"/>
      <c r="D53" s="865"/>
      <c r="E53" s="865"/>
      <c r="F53" s="16"/>
      <c r="G53" s="16"/>
      <c r="H53" s="16"/>
      <c r="I53" s="4"/>
      <c r="J53" s="4"/>
      <c r="K53" s="4"/>
      <c r="L53" s="2"/>
      <c r="M53" s="2"/>
      <c r="N53" s="2"/>
      <c r="O53" s="2"/>
      <c r="P53" s="2"/>
      <c r="Q53" s="2"/>
      <c r="R53" s="2"/>
      <c r="S53" s="2"/>
      <c r="T53" s="2"/>
      <c r="U53" s="799"/>
      <c r="V53" s="799"/>
      <c r="W53" s="4"/>
      <c r="X53" s="240"/>
      <c r="Y53" s="240"/>
      <c r="Z53" s="240"/>
      <c r="AA53" s="240"/>
    </row>
    <row r="54" spans="1:27" ht="15.75">
      <c r="A54" s="798" t="s">
        <v>4</v>
      </c>
      <c r="B54" s="798"/>
      <c r="C54" s="798"/>
      <c r="D54" s="798"/>
      <c r="E54" s="798"/>
      <c r="F54" s="16"/>
      <c r="G54" s="16"/>
      <c r="H54" s="1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827"/>
      <c r="V54" s="827"/>
      <c r="W54" s="4"/>
      <c r="X54" s="240"/>
      <c r="Y54" s="240"/>
      <c r="Z54" s="240"/>
      <c r="AA54" s="240"/>
    </row>
    <row r="55" spans="1:27" ht="24.6" customHeight="1">
      <c r="A55" s="866" t="s">
        <v>6</v>
      </c>
      <c r="B55" s="866"/>
      <c r="C55" s="866"/>
      <c r="D55" s="866"/>
      <c r="E55" s="866"/>
      <c r="F55" s="16"/>
      <c r="G55" s="16"/>
      <c r="H55" s="1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795"/>
      <c r="V55" s="795"/>
      <c r="W55" s="4"/>
      <c r="X55" s="240"/>
      <c r="Y55" s="240"/>
      <c r="Z55" s="240"/>
      <c r="AA55" s="240"/>
    </row>
    <row r="56" spans="1:27" ht="18.75">
      <c r="A56" s="650"/>
      <c r="B56" s="650"/>
      <c r="C56" s="650"/>
      <c r="D56" s="650"/>
      <c r="E56" s="16"/>
      <c r="F56" s="16"/>
      <c r="G56" s="16"/>
      <c r="H56" s="16"/>
      <c r="I56" s="4"/>
      <c r="J56" s="4"/>
      <c r="K56" s="4"/>
      <c r="L56" s="650"/>
      <c r="M56" s="650"/>
      <c r="N56" s="650"/>
      <c r="O56" s="650"/>
      <c r="P56" s="650"/>
      <c r="Q56" s="650"/>
      <c r="R56" s="650"/>
      <c r="S56" s="650"/>
      <c r="T56" s="650"/>
      <c r="U56" s="650"/>
      <c r="V56" s="650"/>
      <c r="W56" s="4"/>
      <c r="X56" s="240"/>
      <c r="Y56" s="240"/>
      <c r="Z56" s="240"/>
      <c r="AA56" s="240"/>
    </row>
    <row r="57" spans="1:27" ht="10.5" customHeight="1">
      <c r="A57" s="651"/>
      <c r="B57" s="651"/>
      <c r="C57" s="651"/>
      <c r="D57" s="651"/>
      <c r="E57" s="16"/>
      <c r="F57" s="16"/>
      <c r="G57" s="16"/>
      <c r="H57" s="16"/>
      <c r="I57" s="4"/>
      <c r="J57" s="4"/>
      <c r="K57" s="4"/>
      <c r="L57" s="650"/>
      <c r="M57" s="650"/>
      <c r="N57" s="650"/>
      <c r="O57" s="650"/>
      <c r="P57" s="650"/>
      <c r="Q57" s="650"/>
      <c r="R57" s="650"/>
      <c r="S57" s="650"/>
      <c r="T57" s="650"/>
      <c r="U57" s="651"/>
      <c r="V57" s="651"/>
      <c r="W57" s="4"/>
      <c r="X57" s="240"/>
      <c r="Y57" s="240"/>
      <c r="Z57" s="240"/>
      <c r="AA57" s="240"/>
    </row>
    <row r="58" spans="1:27" s="258" customFormat="1" ht="36" customHeight="1">
      <c r="A58" s="871" t="s">
        <v>342</v>
      </c>
      <c r="B58" s="867"/>
      <c r="C58" s="867"/>
      <c r="D58" s="867"/>
      <c r="E58" s="867"/>
      <c r="F58" s="867"/>
      <c r="G58" s="867"/>
      <c r="H58" s="867"/>
      <c r="I58" s="867"/>
      <c r="J58" s="867"/>
      <c r="K58" s="867"/>
      <c r="L58" s="867"/>
      <c r="M58" s="867"/>
      <c r="N58" s="867"/>
      <c r="O58" s="867"/>
      <c r="P58" s="867"/>
      <c r="Q58" s="867"/>
      <c r="R58" s="867"/>
      <c r="S58" s="867"/>
      <c r="T58" s="867"/>
      <c r="U58" s="867"/>
      <c r="V58" s="867"/>
      <c r="W58" s="867"/>
    </row>
    <row r="59" spans="1:27" s="258" customFormat="1" ht="28.9" customHeight="1">
      <c r="A59" s="868" t="str">
        <f>A6</f>
        <v xml:space="preserve">ថ្ងៃ ១៦-៣១ ខែ ០១ ឆ្នាំ ២០២៦ </v>
      </c>
      <c r="B59" s="868"/>
      <c r="C59" s="868"/>
      <c r="D59" s="868"/>
      <c r="E59" s="868"/>
      <c r="F59" s="868"/>
      <c r="G59" s="868"/>
      <c r="H59" s="868"/>
      <c r="I59" s="868"/>
      <c r="J59" s="868"/>
      <c r="K59" s="868"/>
      <c r="L59" s="868"/>
      <c r="M59" s="868"/>
      <c r="N59" s="868"/>
      <c r="O59" s="868"/>
      <c r="P59" s="868"/>
      <c r="Q59" s="868"/>
      <c r="R59" s="868"/>
      <c r="S59" s="868"/>
      <c r="T59" s="868"/>
      <c r="U59" s="868"/>
      <c r="V59" s="868"/>
      <c r="W59" s="868"/>
    </row>
    <row r="60" spans="1:27" s="259" customFormat="1" ht="18.75">
      <c r="A60" s="787" t="s">
        <v>204</v>
      </c>
      <c r="B60" s="787"/>
      <c r="C60" s="787"/>
      <c r="D60" s="787"/>
      <c r="E60" s="787"/>
      <c r="F60" s="787"/>
      <c r="G60" s="787"/>
      <c r="H60" s="787"/>
      <c r="I60" s="787"/>
      <c r="J60" s="787"/>
      <c r="K60" s="787"/>
      <c r="L60" s="787"/>
      <c r="M60" s="787"/>
      <c r="N60" s="787"/>
      <c r="O60" s="787"/>
      <c r="P60" s="787"/>
      <c r="Q60" s="787"/>
      <c r="R60" s="787"/>
      <c r="S60" s="787"/>
      <c r="T60" s="787"/>
      <c r="U60" s="787"/>
      <c r="V60" s="787"/>
      <c r="W60" s="787"/>
    </row>
    <row r="61" spans="1:27" ht="15.75">
      <c r="A61" s="799" t="str">
        <f>A8</f>
        <v>NGÀY​​​​ 16 ĐẾN 31 THÁNG 01 NĂM 2026</v>
      </c>
      <c r="B61" s="799"/>
      <c r="C61" s="799"/>
      <c r="D61" s="799"/>
      <c r="E61" s="799"/>
      <c r="F61" s="799"/>
      <c r="G61" s="799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  <c r="T61" s="799"/>
      <c r="U61" s="799"/>
      <c r="V61" s="799"/>
      <c r="W61" s="799"/>
      <c r="X61" s="240"/>
      <c r="Y61" s="240"/>
      <c r="Z61" s="240"/>
      <c r="AA61" s="240"/>
    </row>
    <row r="62" spans="1:27" ht="15.75">
      <c r="A62" s="622"/>
      <c r="B62" s="623"/>
      <c r="C62" s="623"/>
      <c r="D62" s="623"/>
      <c r="E62" s="826"/>
      <c r="F62" s="826"/>
      <c r="G62" s="826"/>
      <c r="H62" s="826"/>
      <c r="I62" s="826"/>
      <c r="J62" s="826"/>
      <c r="K62" s="826"/>
      <c r="L62" s="826"/>
      <c r="M62" s="826"/>
      <c r="N62" s="826"/>
      <c r="O62" s="826"/>
      <c r="P62" s="826"/>
      <c r="Q62" s="826"/>
      <c r="R62" s="826"/>
      <c r="S62" s="826"/>
      <c r="T62" s="826"/>
      <c r="U62" s="622"/>
      <c r="V62" s="622"/>
      <c r="W62" s="4"/>
      <c r="X62" s="240"/>
      <c r="Y62" s="240"/>
      <c r="Z62" s="240"/>
      <c r="AA62" s="240"/>
    </row>
    <row r="63" spans="1:27" s="257" customFormat="1" ht="60" customHeight="1">
      <c r="A63" s="10" t="s">
        <v>176</v>
      </c>
      <c r="B63" s="864" t="s">
        <v>197</v>
      </c>
      <c r="C63" s="864"/>
      <c r="D63" s="10" t="s">
        <v>198</v>
      </c>
      <c r="E63" s="591">
        <f>E10</f>
        <v>16</v>
      </c>
      <c r="F63" s="591">
        <f t="shared" ref="F63:T63" si="7">E63+1</f>
        <v>17</v>
      </c>
      <c r="G63" s="591">
        <f t="shared" si="7"/>
        <v>18</v>
      </c>
      <c r="H63" s="591">
        <f t="shared" si="7"/>
        <v>19</v>
      </c>
      <c r="I63" s="591">
        <f t="shared" si="7"/>
        <v>20</v>
      </c>
      <c r="J63" s="591">
        <f t="shared" si="7"/>
        <v>21</v>
      </c>
      <c r="K63" s="591">
        <f t="shared" si="7"/>
        <v>22</v>
      </c>
      <c r="L63" s="591">
        <f t="shared" si="7"/>
        <v>23</v>
      </c>
      <c r="M63" s="591">
        <f t="shared" si="7"/>
        <v>24</v>
      </c>
      <c r="N63" s="591">
        <f t="shared" si="7"/>
        <v>25</v>
      </c>
      <c r="O63" s="591">
        <f t="shared" si="7"/>
        <v>26</v>
      </c>
      <c r="P63" s="591">
        <f t="shared" si="7"/>
        <v>27</v>
      </c>
      <c r="Q63" s="591">
        <f t="shared" si="7"/>
        <v>28</v>
      </c>
      <c r="R63" s="591">
        <f t="shared" si="7"/>
        <v>29</v>
      </c>
      <c r="S63" s="591">
        <f t="shared" si="7"/>
        <v>30</v>
      </c>
      <c r="T63" s="591">
        <f t="shared" si="7"/>
        <v>31</v>
      </c>
      <c r="U63" s="652" t="s">
        <v>274</v>
      </c>
      <c r="V63" s="652" t="s">
        <v>199</v>
      </c>
      <c r="W63" s="591" t="s">
        <v>205</v>
      </c>
    </row>
    <row r="64" spans="1:27" ht="33.950000000000003" customHeight="1">
      <c r="A64" s="653">
        <v>1</v>
      </c>
      <c r="B64" s="249" t="s">
        <v>159</v>
      </c>
      <c r="C64" s="251" t="s">
        <v>160</v>
      </c>
      <c r="D64" s="654" t="s">
        <v>206</v>
      </c>
      <c r="E64" s="625">
        <v>4323</v>
      </c>
      <c r="F64" s="625">
        <v>2562</v>
      </c>
      <c r="G64" s="625">
        <v>3746</v>
      </c>
      <c r="H64" s="625">
        <v>4323</v>
      </c>
      <c r="I64" s="627"/>
      <c r="J64" s="627"/>
      <c r="K64" s="625">
        <v>4611</v>
      </c>
      <c r="L64" s="625">
        <v>4035</v>
      </c>
      <c r="M64" s="625">
        <v>4323</v>
      </c>
      <c r="N64" s="625">
        <v>3842</v>
      </c>
      <c r="O64" s="625">
        <v>4611</v>
      </c>
      <c r="P64" s="625">
        <v>4099</v>
      </c>
      <c r="Q64" s="625">
        <v>3843</v>
      </c>
      <c r="R64" s="625">
        <v>4098</v>
      </c>
      <c r="S64" s="625">
        <v>4611</v>
      </c>
      <c r="T64" s="627"/>
      <c r="U64" s="655">
        <f>ROUND(V64/1000,3)</f>
        <v>53.027000000000001</v>
      </c>
      <c r="V64" s="630">
        <f t="shared" ref="V64:V71" si="8">SUM(E64:T64)</f>
        <v>53027</v>
      </c>
      <c r="W64" s="656"/>
      <c r="X64" s="262"/>
      <c r="Y64" s="263" t="e">
        <f>U179+#REF!</f>
        <v>#REF!</v>
      </c>
      <c r="Z64" s="263">
        <f>ROUND(U64*0.1,2)</f>
        <v>5.3</v>
      </c>
      <c r="AA64" s="569">
        <f>Z64+U64</f>
        <v>58.326999999999998</v>
      </c>
    </row>
    <row r="65" spans="1:27" ht="33.950000000000003" customHeight="1">
      <c r="A65" s="653">
        <v>2</v>
      </c>
      <c r="B65" s="249" t="s">
        <v>161</v>
      </c>
      <c r="C65" s="250" t="s">
        <v>162</v>
      </c>
      <c r="D65" s="654" t="s">
        <v>206</v>
      </c>
      <c r="E65" s="657" t="s">
        <v>202</v>
      </c>
      <c r="F65" s="625">
        <v>2562</v>
      </c>
      <c r="G65" s="625">
        <v>3746</v>
      </c>
      <c r="H65" s="625">
        <v>4323</v>
      </c>
      <c r="I65" s="627"/>
      <c r="J65" s="627"/>
      <c r="K65" s="625">
        <v>4611</v>
      </c>
      <c r="L65" s="625">
        <v>4035</v>
      </c>
      <c r="M65" s="625">
        <v>4323</v>
      </c>
      <c r="N65" s="625">
        <v>3842</v>
      </c>
      <c r="O65" s="658" t="s">
        <v>202</v>
      </c>
      <c r="P65" s="625">
        <v>4099</v>
      </c>
      <c r="Q65" s="625">
        <v>3843</v>
      </c>
      <c r="R65" s="625">
        <v>4098</v>
      </c>
      <c r="S65" s="625">
        <v>4611</v>
      </c>
      <c r="T65" s="627"/>
      <c r="U65" s="655">
        <f t="shared" ref="U65:U72" si="9">ROUND(V65/1000,3)</f>
        <v>44.093000000000004</v>
      </c>
      <c r="V65" s="630">
        <f t="shared" si="8"/>
        <v>44093</v>
      </c>
      <c r="W65" s="656"/>
      <c r="X65" s="240"/>
      <c r="Y65" s="240"/>
      <c r="Z65" s="263"/>
      <c r="AA65" s="264"/>
    </row>
    <row r="66" spans="1:27" ht="33.950000000000003" customHeight="1">
      <c r="A66" s="653">
        <v>3</v>
      </c>
      <c r="B66" s="252" t="s">
        <v>163</v>
      </c>
      <c r="C66" s="251" t="s">
        <v>164</v>
      </c>
      <c r="D66" s="654" t="s">
        <v>206</v>
      </c>
      <c r="E66" s="625">
        <v>4323</v>
      </c>
      <c r="F66" s="625">
        <v>2562</v>
      </c>
      <c r="G66" s="625">
        <v>3746</v>
      </c>
      <c r="H66" s="657" t="s">
        <v>202</v>
      </c>
      <c r="I66" s="627"/>
      <c r="J66" s="627"/>
      <c r="K66" s="625">
        <v>4611</v>
      </c>
      <c r="L66" s="625">
        <v>4035</v>
      </c>
      <c r="M66" s="625">
        <v>4323</v>
      </c>
      <c r="N66" s="625">
        <v>3842</v>
      </c>
      <c r="O66" s="625">
        <v>4611</v>
      </c>
      <c r="P66" s="625">
        <v>4099</v>
      </c>
      <c r="Q66" s="625">
        <v>3842</v>
      </c>
      <c r="R66" s="625">
        <v>4099</v>
      </c>
      <c r="S66" s="625">
        <v>4611</v>
      </c>
      <c r="T66" s="627"/>
      <c r="U66" s="655">
        <f t="shared" si="9"/>
        <v>48.704000000000001</v>
      </c>
      <c r="V66" s="630">
        <f t="shared" si="8"/>
        <v>48704</v>
      </c>
      <c r="W66" s="656"/>
      <c r="X66" s="240"/>
      <c r="Y66" s="240"/>
      <c r="Z66" s="264"/>
      <c r="AA66" s="264"/>
    </row>
    <row r="67" spans="1:27" ht="33.950000000000003" customHeight="1">
      <c r="A67" s="653">
        <v>4</v>
      </c>
      <c r="B67" s="252" t="s">
        <v>217</v>
      </c>
      <c r="C67" s="659" t="s">
        <v>218</v>
      </c>
      <c r="D67" s="654" t="s">
        <v>206</v>
      </c>
      <c r="E67" s="625">
        <v>4323</v>
      </c>
      <c r="F67" s="625">
        <v>2562</v>
      </c>
      <c r="G67" s="657" t="s">
        <v>202</v>
      </c>
      <c r="H67" s="625">
        <v>4323</v>
      </c>
      <c r="I67" s="627"/>
      <c r="J67" s="627"/>
      <c r="K67" s="625">
        <v>4611</v>
      </c>
      <c r="L67" s="625">
        <v>4035</v>
      </c>
      <c r="M67" s="658" t="s">
        <v>202</v>
      </c>
      <c r="N67" s="625">
        <v>3843</v>
      </c>
      <c r="O67" s="625">
        <v>4611</v>
      </c>
      <c r="P67" s="625">
        <v>4099</v>
      </c>
      <c r="Q67" s="625">
        <v>3842</v>
      </c>
      <c r="R67" s="625">
        <v>4099</v>
      </c>
      <c r="S67" s="625">
        <v>4611</v>
      </c>
      <c r="T67" s="627"/>
      <c r="U67" s="655">
        <f t="shared" si="9"/>
        <v>44.959000000000003</v>
      </c>
      <c r="V67" s="630">
        <f t="shared" si="8"/>
        <v>44959</v>
      </c>
      <c r="W67" s="656"/>
      <c r="X67" s="240"/>
      <c r="Y67" s="240"/>
      <c r="Z67" s="264"/>
      <c r="AA67" s="264"/>
    </row>
    <row r="68" spans="1:27" ht="33.950000000000003" customHeight="1">
      <c r="A68" s="653">
        <v>5</v>
      </c>
      <c r="B68" s="247" t="s">
        <v>165</v>
      </c>
      <c r="C68" s="248" t="s">
        <v>191</v>
      </c>
      <c r="D68" s="654" t="s">
        <v>206</v>
      </c>
      <c r="E68" s="625">
        <v>4323</v>
      </c>
      <c r="F68" s="625">
        <v>2562</v>
      </c>
      <c r="G68" s="625">
        <v>3746</v>
      </c>
      <c r="H68" s="625">
        <v>4323</v>
      </c>
      <c r="I68" s="627"/>
      <c r="J68" s="627"/>
      <c r="K68" s="658" t="s">
        <v>202</v>
      </c>
      <c r="L68" s="625">
        <v>4035</v>
      </c>
      <c r="M68" s="625">
        <v>4322</v>
      </c>
      <c r="N68" s="625">
        <v>3843</v>
      </c>
      <c r="O68" s="625">
        <v>4611</v>
      </c>
      <c r="P68" s="625">
        <v>4099</v>
      </c>
      <c r="Q68" s="625">
        <v>3842</v>
      </c>
      <c r="R68" s="625">
        <v>4099</v>
      </c>
      <c r="S68" s="625">
        <v>4611</v>
      </c>
      <c r="T68" s="627"/>
      <c r="U68" s="655">
        <f t="shared" si="9"/>
        <v>48.415999999999997</v>
      </c>
      <c r="V68" s="630">
        <f t="shared" si="8"/>
        <v>48416</v>
      </c>
      <c r="W68" s="656"/>
      <c r="X68" s="240"/>
      <c r="Y68" s="240"/>
      <c r="Z68" s="264"/>
      <c r="AA68" s="264"/>
    </row>
    <row r="69" spans="1:27" ht="33.950000000000003" customHeight="1">
      <c r="A69" s="653">
        <v>6</v>
      </c>
      <c r="B69" s="247" t="s">
        <v>166</v>
      </c>
      <c r="C69" s="248" t="s">
        <v>167</v>
      </c>
      <c r="D69" s="654" t="s">
        <v>206</v>
      </c>
      <c r="E69" s="625">
        <v>4323</v>
      </c>
      <c r="F69" s="625">
        <v>2561</v>
      </c>
      <c r="G69" s="625">
        <v>3747</v>
      </c>
      <c r="H69" s="625">
        <v>4323</v>
      </c>
      <c r="I69" s="627"/>
      <c r="J69" s="627"/>
      <c r="K69" s="658" t="s">
        <v>202</v>
      </c>
      <c r="L69" s="625">
        <v>4034</v>
      </c>
      <c r="M69" s="625">
        <v>4323</v>
      </c>
      <c r="N69" s="625">
        <v>3843</v>
      </c>
      <c r="O69" s="625">
        <v>4611</v>
      </c>
      <c r="P69" s="625">
        <v>4099</v>
      </c>
      <c r="Q69" s="625">
        <v>3842</v>
      </c>
      <c r="R69" s="625">
        <v>4099</v>
      </c>
      <c r="S69" s="625">
        <v>4611</v>
      </c>
      <c r="T69" s="627"/>
      <c r="U69" s="655">
        <f t="shared" si="9"/>
        <v>48.415999999999997</v>
      </c>
      <c r="V69" s="630">
        <f t="shared" si="8"/>
        <v>48416</v>
      </c>
      <c r="W69" s="656"/>
      <c r="X69" s="240"/>
      <c r="Y69" s="240"/>
      <c r="Z69" s="264"/>
      <c r="AA69" s="264"/>
    </row>
    <row r="70" spans="1:27" ht="33.950000000000003" customHeight="1">
      <c r="A70" s="653">
        <v>7</v>
      </c>
      <c r="B70" s="253" t="s">
        <v>168</v>
      </c>
      <c r="C70" s="254" t="s">
        <v>169</v>
      </c>
      <c r="D70" s="654" t="s">
        <v>206</v>
      </c>
      <c r="E70" s="625">
        <v>4323</v>
      </c>
      <c r="F70" s="625">
        <v>2561</v>
      </c>
      <c r="G70" s="625">
        <v>3747</v>
      </c>
      <c r="H70" s="625">
        <v>4323</v>
      </c>
      <c r="I70" s="627"/>
      <c r="J70" s="627"/>
      <c r="K70" s="625">
        <v>4611</v>
      </c>
      <c r="L70" s="625">
        <v>4034</v>
      </c>
      <c r="M70" s="625">
        <v>4323</v>
      </c>
      <c r="N70" s="625">
        <v>3843</v>
      </c>
      <c r="O70" s="625">
        <v>4611</v>
      </c>
      <c r="P70" s="625">
        <v>4098</v>
      </c>
      <c r="Q70" s="625">
        <v>3843</v>
      </c>
      <c r="R70" s="625">
        <v>4099</v>
      </c>
      <c r="S70" s="625">
        <v>4611</v>
      </c>
      <c r="T70" s="627"/>
      <c r="U70" s="655">
        <f t="shared" si="9"/>
        <v>53.027000000000001</v>
      </c>
      <c r="V70" s="630">
        <f t="shared" si="8"/>
        <v>53027</v>
      </c>
      <c r="W70" s="656"/>
      <c r="X70" s="240"/>
      <c r="Y70" s="240"/>
      <c r="Z70" s="264"/>
      <c r="AA70" s="264"/>
    </row>
    <row r="71" spans="1:27" ht="33.950000000000003" customHeight="1">
      <c r="A71" s="653">
        <v>8</v>
      </c>
      <c r="B71" s="463" t="s">
        <v>72</v>
      </c>
      <c r="C71" s="464" t="s">
        <v>73</v>
      </c>
      <c r="D71" s="654" t="s">
        <v>206</v>
      </c>
      <c r="E71" s="625">
        <v>4323</v>
      </c>
      <c r="F71" s="625">
        <v>2561</v>
      </c>
      <c r="G71" s="625">
        <v>3747</v>
      </c>
      <c r="H71" s="625">
        <v>4323</v>
      </c>
      <c r="I71" s="627"/>
      <c r="J71" s="627"/>
      <c r="K71" s="625">
        <v>4611</v>
      </c>
      <c r="L71" s="625">
        <v>4034</v>
      </c>
      <c r="M71" s="625">
        <v>4323</v>
      </c>
      <c r="N71" s="625">
        <v>3843</v>
      </c>
      <c r="O71" s="625">
        <v>4611</v>
      </c>
      <c r="P71" s="625">
        <v>4098</v>
      </c>
      <c r="Q71" s="625">
        <v>3843</v>
      </c>
      <c r="R71" s="625">
        <v>4099</v>
      </c>
      <c r="S71" s="625">
        <v>4611</v>
      </c>
      <c r="T71" s="627"/>
      <c r="U71" s="655">
        <f t="shared" si="9"/>
        <v>53.027000000000001</v>
      </c>
      <c r="V71" s="630">
        <f t="shared" si="8"/>
        <v>53027</v>
      </c>
      <c r="W71" s="656"/>
      <c r="X71" s="240"/>
      <c r="Y71" s="240"/>
      <c r="Z71" s="264"/>
      <c r="AA71" s="264"/>
    </row>
    <row r="72" spans="1:27" ht="33.950000000000003" customHeight="1">
      <c r="A72" s="653">
        <v>9</v>
      </c>
      <c r="B72" s="247" t="s">
        <v>170</v>
      </c>
      <c r="C72" s="248" t="s">
        <v>171</v>
      </c>
      <c r="D72" s="654" t="s">
        <v>206</v>
      </c>
      <c r="E72" s="625">
        <v>4322</v>
      </c>
      <c r="F72" s="625">
        <v>2562</v>
      </c>
      <c r="G72" s="625">
        <v>3747</v>
      </c>
      <c r="H72" s="625">
        <v>4322</v>
      </c>
      <c r="I72" s="626"/>
      <c r="J72" s="626"/>
      <c r="K72" s="658" t="s">
        <v>202</v>
      </c>
      <c r="L72" s="658" t="s">
        <v>202</v>
      </c>
      <c r="M72" s="625">
        <v>4323</v>
      </c>
      <c r="N72" s="625">
        <v>3842</v>
      </c>
      <c r="O72" s="625">
        <v>4611</v>
      </c>
      <c r="P72" s="625">
        <v>4098</v>
      </c>
      <c r="Q72" s="625">
        <v>3843</v>
      </c>
      <c r="R72" s="625">
        <v>4098</v>
      </c>
      <c r="S72" s="625">
        <v>4611</v>
      </c>
      <c r="T72" s="627"/>
      <c r="U72" s="655">
        <f t="shared" si="9"/>
        <v>44.378999999999998</v>
      </c>
      <c r="V72" s="630">
        <f>SUM(E72:T72)</f>
        <v>44379</v>
      </c>
      <c r="W72" s="656"/>
      <c r="X72" s="240"/>
      <c r="Y72" s="240"/>
      <c r="Z72" s="264"/>
      <c r="AA72" s="264"/>
    </row>
    <row r="73" spans="1:27" s="280" customFormat="1" ht="33.950000000000003" customHeight="1">
      <c r="A73" s="660"/>
      <c r="B73" s="873" t="s">
        <v>54</v>
      </c>
      <c r="C73" s="873"/>
      <c r="D73" s="660"/>
      <c r="E73" s="661">
        <f>SUM(E64:E72)</f>
        <v>34583</v>
      </c>
      <c r="F73" s="661">
        <f t="shared" ref="F73:V73" si="10">SUM(F64:F72)</f>
        <v>23055</v>
      </c>
      <c r="G73" s="661">
        <f>SUM(G64:G72)</f>
        <v>29972</v>
      </c>
      <c r="H73" s="661">
        <f t="shared" si="10"/>
        <v>34583</v>
      </c>
      <c r="I73" s="661">
        <f t="shared" si="10"/>
        <v>0</v>
      </c>
      <c r="J73" s="661">
        <f t="shared" si="10"/>
        <v>0</v>
      </c>
      <c r="K73" s="661">
        <f t="shared" si="10"/>
        <v>27666</v>
      </c>
      <c r="L73" s="661">
        <f t="shared" si="10"/>
        <v>32277</v>
      </c>
      <c r="M73" s="661">
        <f t="shared" si="10"/>
        <v>34583</v>
      </c>
      <c r="N73" s="661">
        <f t="shared" si="10"/>
        <v>34583</v>
      </c>
      <c r="O73" s="661">
        <f t="shared" si="10"/>
        <v>36888</v>
      </c>
      <c r="P73" s="661">
        <f t="shared" si="10"/>
        <v>36888</v>
      </c>
      <c r="Q73" s="661">
        <f t="shared" si="10"/>
        <v>34583</v>
      </c>
      <c r="R73" s="661">
        <f t="shared" si="10"/>
        <v>36888</v>
      </c>
      <c r="S73" s="661">
        <f t="shared" si="10"/>
        <v>41499</v>
      </c>
      <c r="T73" s="661">
        <f t="shared" si="10"/>
        <v>0</v>
      </c>
      <c r="U73" s="662">
        <f>SUM(U64:U72)</f>
        <v>438.048</v>
      </c>
      <c r="V73" s="661">
        <f t="shared" si="10"/>
        <v>438048</v>
      </c>
      <c r="W73" s="663"/>
      <c r="Z73" s="281"/>
      <c r="AA73" s="281"/>
    </row>
    <row r="74" spans="1:27" s="280" customFormat="1" ht="25.5" hidden="1" customHeight="1">
      <c r="A74" s="15"/>
      <c r="B74" s="23"/>
      <c r="C74" s="23"/>
      <c r="D74" s="23"/>
      <c r="E74" s="664">
        <f>VLOOKUP(E63,'[3]BKECHITIET TO2'!$A$11:$K$26,11)</f>
        <v>34583</v>
      </c>
      <c r="F74" s="664">
        <f>VLOOKUP(F63,'[3]BKECHITIET TO2'!$A$11:$K$26,11)</f>
        <v>23055</v>
      </c>
      <c r="G74" s="664">
        <f>VLOOKUP(G63,'[3]BKECHITIET TO2'!$A$11:$K$26,11)</f>
        <v>29972</v>
      </c>
      <c r="H74" s="664">
        <f>VLOOKUP(H63,'[3]BKECHITIET TO2'!$A$11:$K$26,11)</f>
        <v>34583</v>
      </c>
      <c r="I74" s="664">
        <f>VLOOKUP(I63,'[3]BKECHITIET TO2'!$A$11:$K$26,11)</f>
        <v>0</v>
      </c>
      <c r="J74" s="664">
        <f>VLOOKUP(J63,'[3]BKECHITIET TO2'!$A$11:$K$26,11)</f>
        <v>0</v>
      </c>
      <c r="K74" s="664">
        <f>VLOOKUP(K63,'[3]BKECHITIET TO2'!$A$11:$K$26,11)</f>
        <v>27666</v>
      </c>
      <c r="L74" s="664">
        <f>VLOOKUP(L63,'[3]BKECHITIET TO2'!$A$11:$K$26,11)</f>
        <v>32277</v>
      </c>
      <c r="M74" s="664">
        <f>VLOOKUP(M63,'[3]BKECHITIET TO2'!$A$11:$K$26,11)</f>
        <v>34583</v>
      </c>
      <c r="N74" s="664">
        <f>VLOOKUP(N63,'[3]BKECHITIET TO2'!$A$11:$K$26,11)</f>
        <v>34583</v>
      </c>
      <c r="O74" s="664">
        <f>VLOOKUP(O63,'[3]BKECHITIET TO2'!$A$11:$K$26,11)</f>
        <v>36888</v>
      </c>
      <c r="P74" s="664">
        <f>VLOOKUP(P63,'[3]BKECHITIET TO2'!$A$11:$K$26,11)</f>
        <v>36888</v>
      </c>
      <c r="Q74" s="664">
        <f>VLOOKUP(Q63,'[3]BKECHITIET TO2'!$A$11:$K$26,11)</f>
        <v>34583</v>
      </c>
      <c r="R74" s="664">
        <f>VLOOKUP(R63,'[3]BKECHITIET TO2'!$A$11:$K$26,11)</f>
        <v>36888</v>
      </c>
      <c r="S74" s="664">
        <f>VLOOKUP(S63,'[3]BKECHITIET TO2'!$A$11:$K$26,11)</f>
        <v>41499</v>
      </c>
      <c r="T74" s="664"/>
      <c r="U74" s="665">
        <f>ROUND(SUM(E74:T74)/1000,3)</f>
        <v>438.048</v>
      </c>
      <c r="V74" s="665">
        <f>ROUND(SUM(E74:T74)/1000,3)</f>
        <v>438.048</v>
      </c>
      <c r="W74" s="15"/>
    </row>
    <row r="75" spans="1:27" s="280" customFormat="1" ht="15.75" hidden="1" customHeight="1">
      <c r="A75" s="15"/>
      <c r="B75" s="24"/>
      <c r="C75" s="24"/>
      <c r="D75" s="24"/>
      <c r="E75" s="666">
        <f>ROUND(E74/E77,1)</f>
        <v>4322.8999999999996</v>
      </c>
      <c r="F75" s="666">
        <f>ROUND(F74/F77,1)</f>
        <v>2561.6999999999998</v>
      </c>
      <c r="G75" s="666">
        <f>ROUND(G74/G77,1)</f>
        <v>3746.5</v>
      </c>
      <c r="H75" s="666">
        <f t="shared" ref="H75:S75" si="11">ROUND(H74/H77,1)</f>
        <v>4322.8999999999996</v>
      </c>
      <c r="I75" s="666" t="e">
        <f t="shared" si="11"/>
        <v>#DIV/0!</v>
      </c>
      <c r="J75" s="666" t="e">
        <f t="shared" si="11"/>
        <v>#DIV/0!</v>
      </c>
      <c r="K75" s="666">
        <f t="shared" si="11"/>
        <v>4611</v>
      </c>
      <c r="L75" s="666">
        <f t="shared" si="11"/>
        <v>4034.6</v>
      </c>
      <c r="M75" s="666">
        <f t="shared" si="11"/>
        <v>4322.8999999999996</v>
      </c>
      <c r="N75" s="666">
        <f t="shared" si="11"/>
        <v>3842.6</v>
      </c>
      <c r="O75" s="666">
        <f t="shared" si="11"/>
        <v>4611</v>
      </c>
      <c r="P75" s="666">
        <f t="shared" si="11"/>
        <v>4098.7</v>
      </c>
      <c r="Q75" s="666">
        <f t="shared" si="11"/>
        <v>3842.6</v>
      </c>
      <c r="R75" s="666">
        <f t="shared" si="11"/>
        <v>4098.7</v>
      </c>
      <c r="S75" s="666">
        <f t="shared" si="11"/>
        <v>4611</v>
      </c>
      <c r="T75" s="666">
        <f>ROUND(T74/T77,1)</f>
        <v>0</v>
      </c>
      <c r="U75" s="667"/>
      <c r="V75" s="668"/>
      <c r="W75" s="15"/>
      <c r="Z75" s="283"/>
    </row>
    <row r="76" spans="1:27" s="280" customFormat="1" ht="15.75" hidden="1" customHeight="1">
      <c r="A76" s="15"/>
      <c r="B76" s="15"/>
      <c r="C76" s="15"/>
      <c r="D76" s="15"/>
      <c r="E76" s="639">
        <f>COUNTIF(E64:E72,"X")+0.5*COUNTIF(E64:E72,"/")</f>
        <v>0</v>
      </c>
      <c r="F76" s="639">
        <f t="shared" ref="F76:T76" si="12">COUNTIF(F64:F72,"X")+0.5*COUNTIF(F64:F72,"/")</f>
        <v>0</v>
      </c>
      <c r="G76" s="639">
        <f t="shared" si="12"/>
        <v>0</v>
      </c>
      <c r="H76" s="639">
        <f t="shared" si="12"/>
        <v>0</v>
      </c>
      <c r="I76" s="639">
        <f t="shared" si="12"/>
        <v>0</v>
      </c>
      <c r="J76" s="639">
        <f t="shared" si="12"/>
        <v>0</v>
      </c>
      <c r="K76" s="639">
        <f t="shared" si="12"/>
        <v>0</v>
      </c>
      <c r="L76" s="639">
        <f t="shared" si="12"/>
        <v>0</v>
      </c>
      <c r="M76" s="639">
        <f t="shared" si="12"/>
        <v>0</v>
      </c>
      <c r="N76" s="639">
        <f t="shared" si="12"/>
        <v>0</v>
      </c>
      <c r="O76" s="639">
        <f t="shared" si="12"/>
        <v>0</v>
      </c>
      <c r="P76" s="639">
        <f t="shared" si="12"/>
        <v>0</v>
      </c>
      <c r="Q76" s="639">
        <f t="shared" si="12"/>
        <v>0</v>
      </c>
      <c r="R76" s="639">
        <f t="shared" si="12"/>
        <v>0</v>
      </c>
      <c r="S76" s="639">
        <f t="shared" si="12"/>
        <v>0</v>
      </c>
      <c r="T76" s="639">
        <f t="shared" si="12"/>
        <v>0</v>
      </c>
      <c r="U76" s="669"/>
      <c r="V76" s="670"/>
      <c r="W76" s="15"/>
    </row>
    <row r="77" spans="1:27" s="280" customFormat="1" ht="15.75" hidden="1" customHeight="1">
      <c r="A77" s="15"/>
      <c r="B77" s="15"/>
      <c r="C77" s="15"/>
      <c r="D77" s="15"/>
      <c r="E77" s="25">
        <v>8</v>
      </c>
      <c r="F77" s="25">
        <v>9</v>
      </c>
      <c r="G77" s="25">
        <v>8</v>
      </c>
      <c r="H77" s="25">
        <v>8</v>
      </c>
      <c r="I77" s="670">
        <v>0</v>
      </c>
      <c r="J77" s="670">
        <v>0</v>
      </c>
      <c r="K77" s="670">
        <v>6</v>
      </c>
      <c r="L77" s="670">
        <v>8</v>
      </c>
      <c r="M77" s="670">
        <v>8</v>
      </c>
      <c r="N77" s="670">
        <v>9</v>
      </c>
      <c r="O77" s="670">
        <v>8</v>
      </c>
      <c r="P77" s="670">
        <v>9</v>
      </c>
      <c r="Q77" s="670">
        <v>9</v>
      </c>
      <c r="R77" s="639">
        <v>9</v>
      </c>
      <c r="S77" s="639">
        <v>9</v>
      </c>
      <c r="T77" s="639">
        <v>9</v>
      </c>
      <c r="U77" s="669">
        <f>U73-U74</f>
        <v>0</v>
      </c>
      <c r="V77" s="670"/>
      <c r="W77" s="15"/>
    </row>
    <row r="78" spans="1:27" s="280" customFormat="1" ht="15.75" hidden="1" customHeight="1">
      <c r="A78" s="15"/>
      <c r="B78" s="15"/>
      <c r="C78" s="15"/>
      <c r="D78" s="15"/>
      <c r="E78" s="671">
        <f>E73-E74</f>
        <v>0</v>
      </c>
      <c r="F78" s="671">
        <f t="shared" ref="F78:U78" si="13">F73-F74</f>
        <v>0</v>
      </c>
      <c r="G78" s="671">
        <f t="shared" si="13"/>
        <v>0</v>
      </c>
      <c r="H78" s="672">
        <f t="shared" si="13"/>
        <v>0</v>
      </c>
      <c r="I78" s="671">
        <f t="shared" si="13"/>
        <v>0</v>
      </c>
      <c r="J78" s="672">
        <f t="shared" si="13"/>
        <v>0</v>
      </c>
      <c r="K78" s="672">
        <f t="shared" si="13"/>
        <v>0</v>
      </c>
      <c r="L78" s="672">
        <f t="shared" si="13"/>
        <v>0</v>
      </c>
      <c r="M78" s="671">
        <f>M73-M74</f>
        <v>0</v>
      </c>
      <c r="N78" s="671">
        <f>N73-N74</f>
        <v>0</v>
      </c>
      <c r="O78" s="671">
        <f t="shared" si="13"/>
        <v>0</v>
      </c>
      <c r="P78" s="671">
        <f t="shared" si="13"/>
        <v>0</v>
      </c>
      <c r="Q78" s="671">
        <f t="shared" si="13"/>
        <v>0</v>
      </c>
      <c r="R78" s="671">
        <f t="shared" si="13"/>
        <v>0</v>
      </c>
      <c r="S78" s="671">
        <f t="shared" si="13"/>
        <v>0</v>
      </c>
      <c r="T78" s="673">
        <f t="shared" si="13"/>
        <v>0</v>
      </c>
      <c r="U78" s="672">
        <f t="shared" si="13"/>
        <v>0</v>
      </c>
      <c r="V78" s="670"/>
      <c r="W78" s="15"/>
    </row>
    <row r="79" spans="1:27" s="280" customFormat="1" ht="15.75">
      <c r="A79" s="15"/>
      <c r="B79" s="15"/>
      <c r="C79" s="15"/>
      <c r="D79" s="15"/>
      <c r="E79" s="671"/>
      <c r="F79" s="671"/>
      <c r="G79" s="671"/>
      <c r="H79" s="672"/>
      <c r="I79" s="671"/>
      <c r="J79" s="672"/>
      <c r="K79" s="672"/>
      <c r="L79" s="672"/>
      <c r="M79" s="671"/>
      <c r="N79" s="671"/>
      <c r="O79" s="671"/>
      <c r="P79" s="671"/>
      <c r="Q79" s="671"/>
      <c r="R79" s="671"/>
      <c r="S79" s="671"/>
      <c r="T79" s="673"/>
      <c r="U79" s="672"/>
      <c r="V79" s="670"/>
      <c r="W79" s="15"/>
    </row>
    <row r="80" spans="1:27" s="280" customFormat="1" ht="15.75">
      <c r="A80" s="15"/>
      <c r="B80" s="15"/>
      <c r="C80" s="15"/>
      <c r="D80" s="15"/>
      <c r="E80" s="671"/>
      <c r="F80" s="671"/>
      <c r="G80" s="671"/>
      <c r="H80" s="672"/>
      <c r="I80" s="671"/>
      <c r="J80" s="672"/>
      <c r="K80" s="672"/>
      <c r="L80" s="672"/>
      <c r="M80" s="671"/>
      <c r="N80" s="671"/>
      <c r="O80" s="671"/>
      <c r="P80" s="671"/>
      <c r="Q80" s="671"/>
      <c r="R80" s="671"/>
      <c r="S80" s="671"/>
      <c r="T80" s="673"/>
      <c r="U80" s="672"/>
      <c r="V80" s="670"/>
      <c r="W80" s="15"/>
    </row>
    <row r="81" spans="1:23" s="280" customFormat="1" ht="15.75">
      <c r="A81" s="15"/>
      <c r="B81" s="15"/>
      <c r="C81" s="15"/>
      <c r="D81" s="15"/>
      <c r="E81" s="671"/>
      <c r="F81" s="671"/>
      <c r="G81" s="671"/>
      <c r="H81" s="672"/>
      <c r="I81" s="671"/>
      <c r="J81" s="672"/>
      <c r="K81" s="672"/>
      <c r="L81" s="672"/>
      <c r="M81" s="671"/>
      <c r="N81" s="671"/>
      <c r="O81" s="671"/>
      <c r="P81" s="671"/>
      <c r="Q81" s="671"/>
      <c r="R81" s="671"/>
      <c r="S81" s="671"/>
      <c r="T81" s="673"/>
      <c r="U81" s="672"/>
      <c r="V81" s="670"/>
      <c r="W81" s="15"/>
    </row>
    <row r="82" spans="1:23" s="280" customFormat="1" ht="15.75">
      <c r="A82" s="15"/>
      <c r="B82" s="15"/>
      <c r="C82" s="15"/>
      <c r="D82" s="15"/>
      <c r="E82" s="671"/>
      <c r="F82" s="671"/>
      <c r="G82" s="671"/>
      <c r="H82" s="672"/>
      <c r="I82" s="671"/>
      <c r="J82" s="672"/>
      <c r="K82" s="672"/>
      <c r="L82" s="672"/>
      <c r="M82" s="671"/>
      <c r="N82" s="671"/>
      <c r="O82" s="671"/>
      <c r="P82" s="671"/>
      <c r="Q82" s="671"/>
      <c r="R82" s="671"/>
      <c r="S82" s="671"/>
      <c r="T82" s="673"/>
      <c r="U82" s="672"/>
      <c r="V82" s="670"/>
      <c r="W82" s="15"/>
    </row>
    <row r="83" spans="1:23" s="280" customFormat="1" ht="15.75">
      <c r="A83" s="15"/>
      <c r="B83" s="15"/>
      <c r="C83" s="15"/>
      <c r="D83" s="15"/>
      <c r="E83" s="671"/>
      <c r="F83" s="671"/>
      <c r="G83" s="671"/>
      <c r="H83" s="672"/>
      <c r="I83" s="671"/>
      <c r="J83" s="672"/>
      <c r="K83" s="672"/>
      <c r="L83" s="672"/>
      <c r="M83" s="671"/>
      <c r="N83" s="671"/>
      <c r="O83" s="671"/>
      <c r="P83" s="671"/>
      <c r="Q83" s="671"/>
      <c r="R83" s="671"/>
      <c r="S83" s="671"/>
      <c r="T83" s="673"/>
      <c r="U83" s="672"/>
      <c r="V83" s="670"/>
      <c r="W83" s="15"/>
    </row>
    <row r="84" spans="1:23" s="280" customFormat="1" ht="15.75">
      <c r="A84" s="798" t="s">
        <v>0</v>
      </c>
      <c r="B84" s="798"/>
      <c r="C84" s="798"/>
      <c r="D84" s="798"/>
      <c r="E84" s="798"/>
      <c r="F84" s="16"/>
      <c r="G84" s="16"/>
      <c r="H84" s="16"/>
      <c r="I84" s="4"/>
      <c r="J84" s="4"/>
      <c r="K84" s="4"/>
      <c r="L84" s="2"/>
      <c r="M84" s="2"/>
      <c r="N84" s="2"/>
      <c r="O84" s="2"/>
      <c r="P84" s="2"/>
      <c r="Q84" s="2"/>
      <c r="R84" s="2"/>
      <c r="S84" s="2"/>
      <c r="T84" s="2"/>
      <c r="U84" s="674"/>
      <c r="V84" s="674"/>
      <c r="W84" s="4"/>
    </row>
    <row r="85" spans="1:23" s="280" customFormat="1" ht="15.75">
      <c r="A85" s="865" t="s">
        <v>194</v>
      </c>
      <c r="B85" s="865"/>
      <c r="C85" s="865"/>
      <c r="D85" s="865"/>
      <c r="E85" s="865"/>
      <c r="F85" s="16"/>
      <c r="G85" s="16"/>
      <c r="H85" s="16"/>
      <c r="I85" s="4"/>
      <c r="J85" s="4"/>
      <c r="K85" s="4"/>
      <c r="L85" s="2"/>
      <c r="M85" s="2"/>
      <c r="N85" s="2"/>
      <c r="O85" s="2"/>
      <c r="P85" s="2"/>
      <c r="Q85" s="2"/>
      <c r="R85" s="2"/>
      <c r="S85" s="2"/>
      <c r="T85" s="2"/>
      <c r="U85" s="799"/>
      <c r="V85" s="799"/>
      <c r="W85" s="4"/>
    </row>
    <row r="86" spans="1:23" s="280" customFormat="1" ht="15.75">
      <c r="A86" s="798" t="s">
        <v>4</v>
      </c>
      <c r="B86" s="798"/>
      <c r="C86" s="798"/>
      <c r="D86" s="798"/>
      <c r="E86" s="798"/>
      <c r="F86" s="16"/>
      <c r="G86" s="16"/>
      <c r="H86" s="16"/>
      <c r="I86" s="4"/>
      <c r="J86" s="4"/>
      <c r="K86" s="4"/>
      <c r="L86" s="4"/>
      <c r="M86" s="4"/>
      <c r="N86" s="4"/>
      <c r="O86" s="4"/>
      <c r="P86" s="4"/>
      <c r="Q86" s="4"/>
      <c r="R86" s="675"/>
      <c r="S86" s="675"/>
      <c r="T86" s="4"/>
      <c r="U86" s="827"/>
      <c r="V86" s="827"/>
      <c r="W86" s="4"/>
    </row>
    <row r="87" spans="1:23" s="280" customFormat="1" ht="15.75">
      <c r="A87" s="866" t="s">
        <v>6</v>
      </c>
      <c r="B87" s="866"/>
      <c r="C87" s="866"/>
      <c r="D87" s="866"/>
      <c r="E87" s="866"/>
      <c r="F87" s="16"/>
      <c r="G87" s="16"/>
      <c r="H87" s="1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795"/>
      <c r="V87" s="795"/>
      <c r="W87" s="4"/>
    </row>
    <row r="88" spans="1:23" s="280" customFormat="1" ht="20.25">
      <c r="A88" s="871" t="s">
        <v>343</v>
      </c>
      <c r="B88" s="867"/>
      <c r="C88" s="867"/>
      <c r="D88" s="867"/>
      <c r="E88" s="867"/>
      <c r="F88" s="867"/>
      <c r="G88" s="867"/>
      <c r="H88" s="867"/>
      <c r="I88" s="867"/>
      <c r="J88" s="867"/>
      <c r="K88" s="867"/>
      <c r="L88" s="867"/>
      <c r="M88" s="867"/>
      <c r="N88" s="867"/>
      <c r="O88" s="867"/>
      <c r="P88" s="867"/>
      <c r="Q88" s="867"/>
      <c r="R88" s="867"/>
      <c r="S88" s="867"/>
      <c r="T88" s="867"/>
      <c r="U88" s="867"/>
      <c r="V88" s="867"/>
      <c r="W88" s="867"/>
    </row>
    <row r="89" spans="1:23" s="280" customFormat="1" ht="23.25">
      <c r="A89" s="872" t="str">
        <f>A59</f>
        <v xml:space="preserve">ថ្ងៃ ១៦-៣១ ខែ ០១ ឆ្នាំ ២០២៦ </v>
      </c>
      <c r="B89" s="872"/>
      <c r="C89" s="872"/>
      <c r="D89" s="872"/>
      <c r="E89" s="872"/>
      <c r="F89" s="872"/>
      <c r="G89" s="872"/>
      <c r="H89" s="872"/>
      <c r="I89" s="872"/>
      <c r="J89" s="872"/>
      <c r="K89" s="872"/>
      <c r="L89" s="872"/>
      <c r="M89" s="872"/>
      <c r="N89" s="872"/>
      <c r="O89" s="872"/>
      <c r="P89" s="872"/>
      <c r="Q89" s="872"/>
      <c r="R89" s="872"/>
      <c r="S89" s="872"/>
      <c r="T89" s="872"/>
      <c r="U89" s="872"/>
      <c r="V89" s="872"/>
      <c r="W89" s="872"/>
    </row>
    <row r="90" spans="1:23" s="280" customFormat="1" ht="18.75">
      <c r="A90" s="787" t="s">
        <v>344</v>
      </c>
      <c r="B90" s="787"/>
      <c r="C90" s="787"/>
      <c r="D90" s="787"/>
      <c r="E90" s="787"/>
      <c r="F90" s="787"/>
      <c r="G90" s="787"/>
      <c r="H90" s="787"/>
      <c r="I90" s="787"/>
      <c r="J90" s="787"/>
      <c r="K90" s="787"/>
      <c r="L90" s="787"/>
      <c r="M90" s="787"/>
      <c r="N90" s="787"/>
      <c r="O90" s="787"/>
      <c r="P90" s="787"/>
      <c r="Q90" s="787"/>
      <c r="R90" s="787"/>
      <c r="S90" s="787"/>
      <c r="T90" s="787"/>
      <c r="U90" s="787"/>
      <c r="V90" s="787"/>
      <c r="W90" s="787"/>
    </row>
    <row r="91" spans="1:23" s="280" customFormat="1" ht="15.75">
      <c r="A91" s="799" t="str">
        <f>A61</f>
        <v>NGÀY​​​​ 16 ĐẾN 31 THÁNG 01 NĂM 2026</v>
      </c>
      <c r="B91" s="799"/>
      <c r="C91" s="799"/>
      <c r="D91" s="799"/>
      <c r="E91" s="799"/>
      <c r="F91" s="799"/>
      <c r="G91" s="799"/>
      <c r="H91" s="799"/>
      <c r="I91" s="799"/>
      <c r="J91" s="799"/>
      <c r="K91" s="799"/>
      <c r="L91" s="799"/>
      <c r="M91" s="799"/>
      <c r="N91" s="799"/>
      <c r="O91" s="799"/>
      <c r="P91" s="799"/>
      <c r="Q91" s="799"/>
      <c r="R91" s="799"/>
      <c r="S91" s="799"/>
      <c r="T91" s="799"/>
      <c r="U91" s="799"/>
      <c r="V91" s="799"/>
      <c r="W91" s="799"/>
    </row>
    <row r="92" spans="1:23" s="280" customFormat="1" ht="16.5" thickBot="1">
      <c r="A92" s="622"/>
      <c r="B92" s="623"/>
      <c r="C92" s="623"/>
      <c r="D92" s="623"/>
      <c r="E92" s="826"/>
      <c r="F92" s="826"/>
      <c r="G92" s="826"/>
      <c r="H92" s="826"/>
      <c r="I92" s="826"/>
      <c r="J92" s="826"/>
      <c r="K92" s="826"/>
      <c r="L92" s="826"/>
      <c r="M92" s="826"/>
      <c r="N92" s="826"/>
      <c r="O92" s="826"/>
      <c r="P92" s="826"/>
      <c r="Q92" s="826"/>
      <c r="R92" s="826"/>
      <c r="S92" s="826"/>
      <c r="T92" s="826"/>
      <c r="U92" s="622"/>
      <c r="V92" s="622"/>
      <c r="W92" s="4"/>
    </row>
    <row r="93" spans="1:23" s="280" customFormat="1" ht="39" thickTop="1">
      <c r="A93" s="676" t="s">
        <v>176</v>
      </c>
      <c r="B93" s="869" t="s">
        <v>197</v>
      </c>
      <c r="C93" s="869"/>
      <c r="D93" s="677" t="s">
        <v>198</v>
      </c>
      <c r="E93" s="678">
        <f t="shared" ref="E93:S93" si="14">E63</f>
        <v>16</v>
      </c>
      <c r="F93" s="678">
        <f t="shared" si="14"/>
        <v>17</v>
      </c>
      <c r="G93" s="678">
        <f t="shared" si="14"/>
        <v>18</v>
      </c>
      <c r="H93" s="678">
        <f t="shared" si="14"/>
        <v>19</v>
      </c>
      <c r="I93" s="678">
        <f t="shared" si="14"/>
        <v>20</v>
      </c>
      <c r="J93" s="678">
        <f t="shared" si="14"/>
        <v>21</v>
      </c>
      <c r="K93" s="678">
        <f t="shared" si="14"/>
        <v>22</v>
      </c>
      <c r="L93" s="678">
        <f t="shared" si="14"/>
        <v>23</v>
      </c>
      <c r="M93" s="678">
        <f t="shared" si="14"/>
        <v>24</v>
      </c>
      <c r="N93" s="678">
        <f t="shared" si="14"/>
        <v>25</v>
      </c>
      <c r="O93" s="678">
        <f t="shared" si="14"/>
        <v>26</v>
      </c>
      <c r="P93" s="678">
        <f t="shared" si="14"/>
        <v>27</v>
      </c>
      <c r="Q93" s="678">
        <f t="shared" si="14"/>
        <v>28</v>
      </c>
      <c r="R93" s="678">
        <f t="shared" si="14"/>
        <v>29</v>
      </c>
      <c r="S93" s="678">
        <f t="shared" si="14"/>
        <v>30</v>
      </c>
      <c r="T93" s="678">
        <f>T63</f>
        <v>31</v>
      </c>
      <c r="U93" s="679" t="s">
        <v>275</v>
      </c>
      <c r="V93" s="679" t="s">
        <v>207</v>
      </c>
      <c r="W93" s="680" t="s">
        <v>208</v>
      </c>
    </row>
    <row r="94" spans="1:23" s="280" customFormat="1" ht="33" customHeight="1">
      <c r="A94" s="681">
        <v>1</v>
      </c>
      <c r="B94" s="453" t="s">
        <v>68</v>
      </c>
      <c r="C94" s="551" t="s">
        <v>69</v>
      </c>
      <c r="D94" s="654" t="s">
        <v>206</v>
      </c>
      <c r="E94" s="628"/>
      <c r="F94" s="628"/>
      <c r="G94" s="628"/>
      <c r="H94" s="628"/>
      <c r="I94" s="628">
        <v>3255</v>
      </c>
      <c r="J94" s="628">
        <v>2594</v>
      </c>
      <c r="K94" s="627"/>
      <c r="L94" s="628">
        <v>3074</v>
      </c>
      <c r="M94" s="626"/>
      <c r="N94" s="626"/>
      <c r="O94" s="628"/>
      <c r="P94" s="628"/>
      <c r="Q94" s="628"/>
      <c r="R94" s="628"/>
      <c r="S94" s="628"/>
      <c r="T94" s="628"/>
      <c r="U94" s="682">
        <f>ROUND(V94/1000,3)</f>
        <v>8.923</v>
      </c>
      <c r="V94" s="683">
        <f t="shared" ref="V94:V104" si="15">SUM(E94:T94)</f>
        <v>8923</v>
      </c>
      <c r="W94" s="684"/>
    </row>
    <row r="95" spans="1:23" s="280" customFormat="1" ht="18.75">
      <c r="A95" s="681">
        <f>+A94+1</f>
        <v>2</v>
      </c>
      <c r="B95" s="552" t="s">
        <v>70</v>
      </c>
      <c r="C95" s="455" t="s">
        <v>71</v>
      </c>
      <c r="D95" s="654" t="s">
        <v>206</v>
      </c>
      <c r="E95" s="628"/>
      <c r="F95" s="628"/>
      <c r="G95" s="628"/>
      <c r="H95" s="628"/>
      <c r="I95" s="628">
        <v>3255</v>
      </c>
      <c r="J95" s="628">
        <v>2594</v>
      </c>
      <c r="K95" s="628">
        <v>3623</v>
      </c>
      <c r="L95" s="628">
        <v>3074</v>
      </c>
      <c r="M95" s="626"/>
      <c r="N95" s="626"/>
      <c r="O95" s="628"/>
      <c r="P95" s="628"/>
      <c r="Q95" s="628"/>
      <c r="R95" s="628"/>
      <c r="S95" s="628"/>
      <c r="T95" s="628"/>
      <c r="U95" s="682">
        <f t="shared" ref="U95:U104" si="16">ROUND(V95/1000,3)</f>
        <v>12.545999999999999</v>
      </c>
      <c r="V95" s="683">
        <f t="shared" si="15"/>
        <v>12546</v>
      </c>
      <c r="W95" s="684"/>
    </row>
    <row r="96" spans="1:23" s="280" customFormat="1" ht="18.75">
      <c r="A96" s="681">
        <f>+A95+1</f>
        <v>3</v>
      </c>
      <c r="B96" s="552" t="s">
        <v>78</v>
      </c>
      <c r="C96" s="555" t="s">
        <v>79</v>
      </c>
      <c r="D96" s="654" t="s">
        <v>206</v>
      </c>
      <c r="E96" s="628"/>
      <c r="F96" s="628"/>
      <c r="G96" s="628"/>
      <c r="H96" s="628"/>
      <c r="I96" s="628">
        <v>3255</v>
      </c>
      <c r="J96" s="628">
        <v>2594</v>
      </c>
      <c r="K96" s="628">
        <v>3623</v>
      </c>
      <c r="L96" s="628">
        <v>3074</v>
      </c>
      <c r="M96" s="626"/>
      <c r="N96" s="626"/>
      <c r="O96" s="628"/>
      <c r="P96" s="628"/>
      <c r="Q96" s="628"/>
      <c r="R96" s="628"/>
      <c r="S96" s="628"/>
      <c r="T96" s="628"/>
      <c r="U96" s="682">
        <f t="shared" si="16"/>
        <v>12.545999999999999</v>
      </c>
      <c r="V96" s="683">
        <f t="shared" si="15"/>
        <v>12546</v>
      </c>
      <c r="W96" s="684"/>
    </row>
    <row r="97" spans="1:27" s="280" customFormat="1" ht="18.75">
      <c r="A97" s="681">
        <f>+A96+1</f>
        <v>4</v>
      </c>
      <c r="B97" s="552" t="s">
        <v>80</v>
      </c>
      <c r="C97" s="555" t="s">
        <v>81</v>
      </c>
      <c r="D97" s="654" t="s">
        <v>206</v>
      </c>
      <c r="E97" s="628"/>
      <c r="F97" s="628"/>
      <c r="G97" s="628"/>
      <c r="H97" s="628"/>
      <c r="I97" s="627"/>
      <c r="J97" s="627"/>
      <c r="K97" s="628">
        <v>3623</v>
      </c>
      <c r="L97" s="627"/>
      <c r="M97" s="626"/>
      <c r="N97" s="626"/>
      <c r="O97" s="628"/>
      <c r="P97" s="628"/>
      <c r="Q97" s="628"/>
      <c r="R97" s="628"/>
      <c r="S97" s="628"/>
      <c r="T97" s="628"/>
      <c r="U97" s="682">
        <f t="shared" si="16"/>
        <v>3.6230000000000002</v>
      </c>
      <c r="V97" s="683">
        <f t="shared" si="15"/>
        <v>3623</v>
      </c>
      <c r="W97" s="684"/>
    </row>
    <row r="98" spans="1:27" s="280" customFormat="1" ht="18.75">
      <c r="A98" s="681">
        <f>+A97+1</f>
        <v>5</v>
      </c>
      <c r="B98" s="558" t="s">
        <v>88</v>
      </c>
      <c r="C98" s="559" t="s">
        <v>89</v>
      </c>
      <c r="D98" s="654" t="s">
        <v>206</v>
      </c>
      <c r="E98" s="628"/>
      <c r="F98" s="628"/>
      <c r="G98" s="628"/>
      <c r="H98" s="628"/>
      <c r="I98" s="628">
        <v>3255</v>
      </c>
      <c r="J98" s="628">
        <v>2594</v>
      </c>
      <c r="K98" s="628">
        <v>3623</v>
      </c>
      <c r="L98" s="628">
        <v>3074</v>
      </c>
      <c r="M98" s="626"/>
      <c r="N98" s="626"/>
      <c r="O98" s="628"/>
      <c r="P98" s="628"/>
      <c r="Q98" s="628"/>
      <c r="R98" s="628"/>
      <c r="S98" s="628"/>
      <c r="T98" s="628"/>
      <c r="U98" s="682">
        <f t="shared" si="16"/>
        <v>12.545999999999999</v>
      </c>
      <c r="V98" s="683">
        <f t="shared" si="15"/>
        <v>12546</v>
      </c>
      <c r="W98" s="684"/>
    </row>
    <row r="99" spans="1:27" s="280" customFormat="1" ht="54.75" customHeight="1">
      <c r="A99" s="681">
        <f t="shared" ref="A99:A104" si="17">A98+1</f>
        <v>6</v>
      </c>
      <c r="B99" s="560" t="s">
        <v>94</v>
      </c>
      <c r="C99" s="562" t="s">
        <v>95</v>
      </c>
      <c r="D99" s="654" t="s">
        <v>206</v>
      </c>
      <c r="E99" s="628"/>
      <c r="F99" s="628"/>
      <c r="G99" s="628"/>
      <c r="H99" s="628"/>
      <c r="I99" s="628">
        <v>3255</v>
      </c>
      <c r="J99" s="628">
        <v>2593</v>
      </c>
      <c r="K99" s="628">
        <v>3623</v>
      </c>
      <c r="L99" s="628">
        <v>3074</v>
      </c>
      <c r="M99" s="626"/>
      <c r="N99" s="626"/>
      <c r="O99" s="628"/>
      <c r="P99" s="628"/>
      <c r="Q99" s="628"/>
      <c r="R99" s="628"/>
      <c r="S99" s="628"/>
      <c r="T99" s="628"/>
      <c r="U99" s="682">
        <f t="shared" si="16"/>
        <v>12.545</v>
      </c>
      <c r="V99" s="683">
        <f t="shared" si="15"/>
        <v>12545</v>
      </c>
      <c r="W99" s="684"/>
    </row>
    <row r="100" spans="1:27" s="280" customFormat="1" ht="18.75">
      <c r="A100" s="681">
        <f t="shared" si="17"/>
        <v>7</v>
      </c>
      <c r="B100" s="560" t="s">
        <v>96</v>
      </c>
      <c r="C100" s="562" t="s">
        <v>97</v>
      </c>
      <c r="D100" s="654" t="s">
        <v>206</v>
      </c>
      <c r="E100" s="628"/>
      <c r="F100" s="628"/>
      <c r="G100" s="628"/>
      <c r="H100" s="628"/>
      <c r="I100" s="628">
        <v>3255</v>
      </c>
      <c r="J100" s="628">
        <v>2593</v>
      </c>
      <c r="K100" s="628">
        <v>3623</v>
      </c>
      <c r="L100" s="628">
        <v>3074</v>
      </c>
      <c r="M100" s="626"/>
      <c r="N100" s="626"/>
      <c r="O100" s="628"/>
      <c r="P100" s="628"/>
      <c r="Q100" s="628"/>
      <c r="R100" s="628"/>
      <c r="S100" s="628"/>
      <c r="T100" s="628"/>
      <c r="U100" s="682">
        <f t="shared" si="16"/>
        <v>12.545</v>
      </c>
      <c r="V100" s="683">
        <f t="shared" si="15"/>
        <v>12545</v>
      </c>
      <c r="W100" s="684"/>
      <c r="Z100" s="263">
        <f>ROUND(U100*0.1,2)</f>
        <v>1.25</v>
      </c>
      <c r="AA100" s="569">
        <f>Z100+U100</f>
        <v>13.795</v>
      </c>
    </row>
    <row r="101" spans="1:27" s="280" customFormat="1" ht="18.75">
      <c r="A101" s="681">
        <f t="shared" si="17"/>
        <v>8</v>
      </c>
      <c r="B101" s="560" t="s">
        <v>98</v>
      </c>
      <c r="C101" s="458" t="s">
        <v>99</v>
      </c>
      <c r="D101" s="654" t="s">
        <v>206</v>
      </c>
      <c r="E101" s="628"/>
      <c r="F101" s="628"/>
      <c r="G101" s="628"/>
      <c r="H101" s="628"/>
      <c r="I101" s="628">
        <v>3255</v>
      </c>
      <c r="J101" s="627"/>
      <c r="K101" s="627"/>
      <c r="L101" s="628">
        <v>3074</v>
      </c>
      <c r="M101" s="626"/>
      <c r="N101" s="626"/>
      <c r="O101" s="628"/>
      <c r="P101" s="628"/>
      <c r="Q101" s="628"/>
      <c r="R101" s="628"/>
      <c r="S101" s="628"/>
      <c r="T101" s="628"/>
      <c r="U101" s="682">
        <f t="shared" si="16"/>
        <v>6.3289999999999997</v>
      </c>
      <c r="V101" s="683">
        <f t="shared" si="15"/>
        <v>6329</v>
      </c>
      <c r="W101" s="684"/>
    </row>
    <row r="102" spans="1:27" s="280" customFormat="1" ht="18.75">
      <c r="A102" s="681">
        <f t="shared" si="17"/>
        <v>9</v>
      </c>
      <c r="B102" s="564" t="s">
        <v>278</v>
      </c>
      <c r="C102" s="563" t="s">
        <v>279</v>
      </c>
      <c r="D102" s="654" t="s">
        <v>206</v>
      </c>
      <c r="E102" s="628"/>
      <c r="F102" s="628"/>
      <c r="G102" s="628"/>
      <c r="H102" s="628"/>
      <c r="I102" s="628">
        <v>3254</v>
      </c>
      <c r="J102" s="628">
        <v>2594</v>
      </c>
      <c r="K102" s="628">
        <v>3622</v>
      </c>
      <c r="L102" s="628">
        <v>3074</v>
      </c>
      <c r="M102" s="626"/>
      <c r="N102" s="626"/>
      <c r="O102" s="628"/>
      <c r="P102" s="628"/>
      <c r="Q102" s="628"/>
      <c r="R102" s="628"/>
      <c r="S102" s="628"/>
      <c r="T102" s="628"/>
      <c r="U102" s="682">
        <f t="shared" si="16"/>
        <v>12.544</v>
      </c>
      <c r="V102" s="683">
        <f t="shared" si="15"/>
        <v>12544</v>
      </c>
      <c r="W102" s="684"/>
    </row>
    <row r="103" spans="1:27" s="280" customFormat="1" ht="18.75">
      <c r="A103" s="681">
        <f t="shared" si="17"/>
        <v>10</v>
      </c>
      <c r="B103" s="558" t="s">
        <v>280</v>
      </c>
      <c r="C103" s="563" t="s">
        <v>281</v>
      </c>
      <c r="D103" s="654" t="s">
        <v>206</v>
      </c>
      <c r="E103" s="628"/>
      <c r="F103" s="628"/>
      <c r="G103" s="628"/>
      <c r="H103" s="628"/>
      <c r="I103" s="628">
        <v>1627</v>
      </c>
      <c r="J103" s="627"/>
      <c r="K103" s="627"/>
      <c r="L103" s="627"/>
      <c r="M103" s="626"/>
      <c r="N103" s="626"/>
      <c r="O103" s="628"/>
      <c r="P103" s="628"/>
      <c r="Q103" s="628"/>
      <c r="R103" s="628"/>
      <c r="S103" s="628"/>
      <c r="T103" s="628"/>
      <c r="U103" s="682">
        <f t="shared" si="16"/>
        <v>1.627</v>
      </c>
      <c r="V103" s="683">
        <f t="shared" si="15"/>
        <v>1627</v>
      </c>
      <c r="W103" s="684"/>
    </row>
    <row r="104" spans="1:27" s="280" customFormat="1" ht="18.75">
      <c r="A104" s="681">
        <f t="shared" si="17"/>
        <v>11</v>
      </c>
      <c r="B104" s="453" t="s">
        <v>135</v>
      </c>
      <c r="C104" s="454" t="s">
        <v>136</v>
      </c>
      <c r="D104" s="654" t="s">
        <v>206</v>
      </c>
      <c r="E104" s="628"/>
      <c r="F104" s="628"/>
      <c r="G104" s="628"/>
      <c r="H104" s="628"/>
      <c r="I104" s="627"/>
      <c r="J104" s="628">
        <v>2594</v>
      </c>
      <c r="K104" s="627"/>
      <c r="L104" s="628">
        <v>3074</v>
      </c>
      <c r="M104" s="626"/>
      <c r="N104" s="626"/>
      <c r="O104" s="628"/>
      <c r="P104" s="628"/>
      <c r="Q104" s="628"/>
      <c r="R104" s="628"/>
      <c r="S104" s="628"/>
      <c r="T104" s="628"/>
      <c r="U104" s="682">
        <f t="shared" si="16"/>
        <v>5.6680000000000001</v>
      </c>
      <c r="V104" s="683">
        <f t="shared" si="15"/>
        <v>5668</v>
      </c>
      <c r="W104" s="684"/>
    </row>
    <row r="105" spans="1:27" s="280" customFormat="1" ht="18.75" thickBot="1">
      <c r="A105" s="685"/>
      <c r="B105" s="879" t="s">
        <v>54</v>
      </c>
      <c r="C105" s="880"/>
      <c r="D105" s="686"/>
      <c r="E105" s="687">
        <f t="shared" ref="E105:V105" si="18">SUM(E94:E104)</f>
        <v>0</v>
      </c>
      <c r="F105" s="687">
        <f t="shared" si="18"/>
        <v>0</v>
      </c>
      <c r="G105" s="687">
        <f t="shared" si="18"/>
        <v>0</v>
      </c>
      <c r="H105" s="687">
        <f t="shared" si="18"/>
        <v>0</v>
      </c>
      <c r="I105" s="687">
        <f t="shared" si="18"/>
        <v>27666</v>
      </c>
      <c r="J105" s="687">
        <f t="shared" si="18"/>
        <v>20750</v>
      </c>
      <c r="K105" s="687">
        <f t="shared" si="18"/>
        <v>25360</v>
      </c>
      <c r="L105" s="687">
        <f t="shared" si="18"/>
        <v>27666</v>
      </c>
      <c r="M105" s="687">
        <f t="shared" si="18"/>
        <v>0</v>
      </c>
      <c r="N105" s="687">
        <f t="shared" si="18"/>
        <v>0</v>
      </c>
      <c r="O105" s="687">
        <f t="shared" si="18"/>
        <v>0</v>
      </c>
      <c r="P105" s="687">
        <f t="shared" si="18"/>
        <v>0</v>
      </c>
      <c r="Q105" s="687">
        <f t="shared" si="18"/>
        <v>0</v>
      </c>
      <c r="R105" s="687">
        <f t="shared" si="18"/>
        <v>0</v>
      </c>
      <c r="S105" s="687"/>
      <c r="T105" s="687">
        <f t="shared" si="18"/>
        <v>0</v>
      </c>
      <c r="U105" s="688">
        <f t="shared" si="18"/>
        <v>101.44199999999999</v>
      </c>
      <c r="V105" s="689">
        <f t="shared" si="18"/>
        <v>101442</v>
      </c>
      <c r="W105" s="690"/>
    </row>
    <row r="106" spans="1:27" s="280" customFormat="1" ht="18.75" thickTop="1">
      <c r="A106" s="691"/>
      <c r="B106" s="692"/>
      <c r="C106" s="692"/>
      <c r="D106" s="693"/>
      <c r="E106" s="694">
        <f>VLOOKUP(E93,'[3]BKECHITIET TO1 (tp)'!$A$11:$K$25,11)</f>
        <v>0</v>
      </c>
      <c r="F106" s="694">
        <f>VLOOKUP(F93,'[3]BKECHITIET TO1 (tp)'!$A$11:$K$25,11)</f>
        <v>0</v>
      </c>
      <c r="G106" s="694">
        <f>VLOOKUP(G93,'[3]BKECHITIET TO1 (tp)'!$A$11:$K$25,11)</f>
        <v>0</v>
      </c>
      <c r="H106" s="694">
        <f>VLOOKUP(H93,'[3]BKECHITIET TO1 (tp)'!$A$11:$K$25,11)</f>
        <v>0</v>
      </c>
      <c r="I106" s="694">
        <f>VLOOKUP(I93,'[3]BKECHITIET TO1 (tp)'!$A$11:$K$25,11)</f>
        <v>0</v>
      </c>
      <c r="J106" s="694">
        <f>VLOOKUP(J93,'[3]BKECHITIET TO1 (tp)'!$A$11:$K$25,11)</f>
        <v>0</v>
      </c>
      <c r="K106" s="694">
        <f>VLOOKUP(K93,'[3]BKECHITIET TO1 (tp)'!$A$11:$K$25,11)</f>
        <v>0</v>
      </c>
      <c r="L106" s="694">
        <f>VLOOKUP(L93,'[3]BKECHITIET TO1 (tp)'!$A$11:$K$25,11)</f>
        <v>0</v>
      </c>
      <c r="M106" s="694">
        <f>VLOOKUP(M93,'[3]BKECHITIET TO1 (tp)'!$A$11:$K$25,11)</f>
        <v>0</v>
      </c>
      <c r="N106" s="694">
        <f>VLOOKUP(N93,'[3]BKECHITIET TO1 (tp)'!$A$11:$K$25,11)</f>
        <v>0</v>
      </c>
      <c r="O106" s="694">
        <f>VLOOKUP(O93,'[3]BKECHITIET TO1 (tp)'!$A$11:$K$25,11)</f>
        <v>0</v>
      </c>
      <c r="P106" s="694">
        <f>VLOOKUP(P93,'[3]BKECHITIET TO1 (tp)'!$A$11:$K$25,11)</f>
        <v>0</v>
      </c>
      <c r="Q106" s="694">
        <f>VLOOKUP(Q93,'[3]BKECHITIET TO1 (tp)'!$A$11:$K$25,11)</f>
        <v>0</v>
      </c>
      <c r="R106" s="694">
        <f>VLOOKUP(R93,'[3]BKECHITIET TO1 (tp)'!$A$11:$K$25,11)</f>
        <v>0</v>
      </c>
      <c r="S106" s="694"/>
      <c r="T106" s="694">
        <f>VLOOKUP(T93,'[3]BKECHITIET TO1 (tp)'!$A$11:$K$25,11)</f>
        <v>0</v>
      </c>
      <c r="U106" s="695">
        <f>SUM(E106:T106)</f>
        <v>0</v>
      </c>
      <c r="V106" s="696"/>
      <c r="W106" s="697"/>
    </row>
    <row r="107" spans="1:27" s="280" customFormat="1" ht="18">
      <c r="A107" s="691"/>
      <c r="B107" s="692"/>
      <c r="C107" s="692"/>
      <c r="D107" s="693"/>
      <c r="E107" s="698">
        <v>17</v>
      </c>
      <c r="F107" s="698">
        <v>19</v>
      </c>
      <c r="G107" s="698">
        <v>17</v>
      </c>
      <c r="H107" s="698">
        <v>20</v>
      </c>
      <c r="I107" s="698">
        <v>8.5</v>
      </c>
      <c r="J107" s="698">
        <v>8</v>
      </c>
      <c r="K107" s="698">
        <v>7</v>
      </c>
      <c r="L107" s="698">
        <v>9</v>
      </c>
      <c r="M107" s="698">
        <v>0</v>
      </c>
      <c r="N107" s="698">
        <v>0</v>
      </c>
      <c r="O107" s="698">
        <v>22</v>
      </c>
      <c r="P107" s="698">
        <v>18</v>
      </c>
      <c r="Q107" s="698">
        <v>22</v>
      </c>
      <c r="R107" s="698">
        <v>16</v>
      </c>
      <c r="S107" s="698"/>
      <c r="T107" s="698">
        <v>16</v>
      </c>
      <c r="U107" s="699" t="e">
        <f>#REF!-#REF!</f>
        <v>#REF!</v>
      </c>
      <c r="V107" s="696"/>
      <c r="W107" s="697"/>
    </row>
    <row r="108" spans="1:27" s="280" customFormat="1" ht="18">
      <c r="A108" s="691"/>
      <c r="B108" s="692"/>
      <c r="C108" s="692"/>
      <c r="D108" s="693"/>
      <c r="E108" s="698">
        <f>COUNTIF(E83:E104,"X")+0.5*COUNTIF(E83:E104,"/")</f>
        <v>0</v>
      </c>
      <c r="F108" s="698">
        <f>COUNTIF(F83:F104,"X")+0.5*COUNTIF(F83:F104,"/")</f>
        <v>0</v>
      </c>
      <c r="G108" s="698">
        <f>COUNTIF(G83:G104,"X")+0.5*COUNTIF(G83:G104,"/")</f>
        <v>0</v>
      </c>
      <c r="H108" s="698">
        <f>COUNTIF(H83:H104,"X")+0.5*COUNTIF(H83:H104,"/")</f>
        <v>0</v>
      </c>
      <c r="I108" s="698">
        <f>COUNTIF(I83:I104,"Xcv")+0.5*COUNTIF(I83:I104,"/")</f>
        <v>0</v>
      </c>
      <c r="J108" s="698">
        <f t="shared" ref="J108:T108" si="19">COUNTIF(J83:J104,"Xcv")+0.5*COUNTIF(J83:J104,"/")</f>
        <v>0</v>
      </c>
      <c r="K108" s="698">
        <f t="shared" si="19"/>
        <v>0</v>
      </c>
      <c r="L108" s="698">
        <f t="shared" si="19"/>
        <v>0</v>
      </c>
      <c r="M108" s="698">
        <f t="shared" si="19"/>
        <v>0</v>
      </c>
      <c r="N108" s="698">
        <f t="shared" si="19"/>
        <v>0</v>
      </c>
      <c r="O108" s="698">
        <f t="shared" si="19"/>
        <v>0</v>
      </c>
      <c r="P108" s="698">
        <f t="shared" si="19"/>
        <v>0</v>
      </c>
      <c r="Q108" s="698">
        <f t="shared" si="19"/>
        <v>0</v>
      </c>
      <c r="R108" s="698">
        <f t="shared" si="19"/>
        <v>0</v>
      </c>
      <c r="S108" s="698"/>
      <c r="T108" s="698">
        <f t="shared" si="19"/>
        <v>0</v>
      </c>
      <c r="U108" s="698"/>
      <c r="V108" s="696"/>
      <c r="W108" s="697"/>
    </row>
    <row r="109" spans="1:27" s="280" customFormat="1" ht="18">
      <c r="A109" s="691"/>
      <c r="B109" s="692"/>
      <c r="C109" s="692"/>
      <c r="D109" s="693"/>
      <c r="E109" s="700">
        <f>ROUND(E106/E107,2)</f>
        <v>0</v>
      </c>
      <c r="F109" s="700">
        <f>ROUND(F106/F107,2)</f>
        <v>0</v>
      </c>
      <c r="G109" s="700">
        <f>ROUND(G106/G107,2)</f>
        <v>0</v>
      </c>
      <c r="H109" s="700">
        <f t="shared" ref="H109:U109" si="20">ROUND(H106/H107,2)</f>
        <v>0</v>
      </c>
      <c r="I109" s="700">
        <f t="shared" si="20"/>
        <v>0</v>
      </c>
      <c r="J109" s="700">
        <f t="shared" si="20"/>
        <v>0</v>
      </c>
      <c r="K109" s="700">
        <f t="shared" si="20"/>
        <v>0</v>
      </c>
      <c r="L109" s="700">
        <f t="shared" si="20"/>
        <v>0</v>
      </c>
      <c r="M109" s="700" t="e">
        <f t="shared" si="20"/>
        <v>#DIV/0!</v>
      </c>
      <c r="N109" s="700" t="e">
        <f t="shared" si="20"/>
        <v>#DIV/0!</v>
      </c>
      <c r="O109" s="700">
        <f t="shared" si="20"/>
        <v>0</v>
      </c>
      <c r="P109" s="700">
        <f t="shared" si="20"/>
        <v>0</v>
      </c>
      <c r="Q109" s="700">
        <f t="shared" si="20"/>
        <v>0</v>
      </c>
      <c r="R109" s="700">
        <f t="shared" si="20"/>
        <v>0</v>
      </c>
      <c r="S109" s="700"/>
      <c r="T109" s="701">
        <f t="shared" si="20"/>
        <v>0</v>
      </c>
      <c r="U109" s="700" t="e">
        <f t="shared" si="20"/>
        <v>#REF!</v>
      </c>
      <c r="V109" s="696"/>
      <c r="W109" s="697"/>
    </row>
    <row r="110" spans="1:27" s="280" customFormat="1" ht="18">
      <c r="A110" s="691"/>
      <c r="B110" s="692"/>
      <c r="C110" s="692"/>
      <c r="D110" s="693"/>
      <c r="E110" s="702">
        <f>E105-E106</f>
        <v>0</v>
      </c>
      <c r="F110" s="702">
        <f t="shared" ref="F110:T110" si="21">F105-F106</f>
        <v>0</v>
      </c>
      <c r="G110" s="702">
        <f t="shared" si="21"/>
        <v>0</v>
      </c>
      <c r="H110" s="702">
        <f t="shared" si="21"/>
        <v>0</v>
      </c>
      <c r="I110" s="702">
        <f t="shared" si="21"/>
        <v>27666</v>
      </c>
      <c r="J110" s="702">
        <f t="shared" si="21"/>
        <v>20750</v>
      </c>
      <c r="K110" s="702">
        <f t="shared" si="21"/>
        <v>25360</v>
      </c>
      <c r="L110" s="702">
        <f t="shared" si="21"/>
        <v>27666</v>
      </c>
      <c r="M110" s="702">
        <f t="shared" si="21"/>
        <v>0</v>
      </c>
      <c r="N110" s="702">
        <f t="shared" si="21"/>
        <v>0</v>
      </c>
      <c r="O110" s="702">
        <f t="shared" si="21"/>
        <v>0</v>
      </c>
      <c r="P110" s="702">
        <f t="shared" si="21"/>
        <v>0</v>
      </c>
      <c r="Q110" s="702">
        <f t="shared" si="21"/>
        <v>0</v>
      </c>
      <c r="R110" s="702">
        <f t="shared" si="21"/>
        <v>0</v>
      </c>
      <c r="S110" s="702"/>
      <c r="T110" s="702">
        <f t="shared" si="21"/>
        <v>0</v>
      </c>
      <c r="U110" s="701"/>
      <c r="V110" s="696"/>
      <c r="W110" s="697"/>
    </row>
    <row r="111" spans="1:27" s="257" customFormat="1" ht="18">
      <c r="A111" s="691"/>
      <c r="B111" s="692"/>
      <c r="C111" s="692"/>
      <c r="D111" s="693"/>
      <c r="E111" s="702"/>
      <c r="F111" s="702"/>
      <c r="G111" s="702"/>
      <c r="H111" s="702"/>
      <c r="I111" s="702">
        <f>I109/2</f>
        <v>0</v>
      </c>
      <c r="J111" s="702"/>
      <c r="K111" s="702"/>
      <c r="L111" s="702"/>
      <c r="M111" s="702"/>
      <c r="N111" s="702"/>
      <c r="O111" s="702"/>
      <c r="P111" s="702"/>
      <c r="Q111" s="702"/>
      <c r="R111" s="702"/>
      <c r="S111" s="702"/>
      <c r="T111" s="702"/>
      <c r="U111" s="701"/>
      <c r="V111" s="696"/>
      <c r="W111" s="697"/>
    </row>
    <row r="112" spans="1:27" s="257" customFormat="1" ht="30" hidden="1" customHeight="1" thickTop="1">
      <c r="A112" s="691"/>
      <c r="B112" s="692"/>
      <c r="C112" s="692"/>
      <c r="D112" s="693"/>
      <c r="E112" s="702"/>
      <c r="F112" s="702"/>
      <c r="G112" s="702"/>
      <c r="H112" s="702"/>
      <c r="I112" s="702"/>
      <c r="J112" s="702"/>
      <c r="K112" s="702"/>
      <c r="L112" s="702"/>
      <c r="M112" s="702"/>
      <c r="N112" s="702"/>
      <c r="O112" s="702"/>
      <c r="P112" s="702"/>
      <c r="Q112" s="702"/>
      <c r="R112" s="702"/>
      <c r="S112" s="702"/>
      <c r="T112" s="702"/>
      <c r="U112" s="701"/>
      <c r="V112" s="696"/>
      <c r="W112" s="697"/>
    </row>
    <row r="113" spans="1:23" s="257" customFormat="1" ht="30" hidden="1" customHeight="1" thickTop="1">
      <c r="A113" s="691"/>
      <c r="B113" s="692"/>
      <c r="C113" s="692"/>
      <c r="D113" s="693"/>
      <c r="E113" s="702"/>
      <c r="F113" s="702"/>
      <c r="G113" s="702"/>
      <c r="H113" s="702"/>
      <c r="I113" s="702"/>
      <c r="J113" s="702"/>
      <c r="K113" s="702"/>
      <c r="L113" s="702"/>
      <c r="M113" s="702"/>
      <c r="N113" s="702"/>
      <c r="O113" s="702"/>
      <c r="P113" s="702"/>
      <c r="Q113" s="702"/>
      <c r="R113" s="702"/>
      <c r="S113" s="702"/>
      <c r="T113" s="702"/>
      <c r="U113" s="701"/>
      <c r="V113" s="696"/>
      <c r="W113" s="697"/>
    </row>
    <row r="114" spans="1:23" s="257" customFormat="1" ht="30" hidden="1" customHeight="1" thickTop="1">
      <c r="A114" s="691"/>
      <c r="B114" s="692"/>
      <c r="C114" s="692"/>
      <c r="D114" s="693"/>
      <c r="E114" s="702"/>
      <c r="F114" s="702"/>
      <c r="G114" s="702"/>
      <c r="H114" s="702"/>
      <c r="I114" s="702"/>
      <c r="J114" s="702"/>
      <c r="K114" s="702"/>
      <c r="L114" s="702"/>
      <c r="M114" s="702"/>
      <c r="N114" s="702"/>
      <c r="O114" s="702"/>
      <c r="P114" s="702"/>
      <c r="Q114" s="702"/>
      <c r="R114" s="702"/>
      <c r="S114" s="702"/>
      <c r="T114" s="702"/>
      <c r="U114" s="701"/>
      <c r="V114" s="696"/>
      <c r="W114" s="697"/>
    </row>
    <row r="115" spans="1:23" s="257" customFormat="1" ht="30" hidden="1" customHeight="1" thickTop="1">
      <c r="A115" s="691"/>
      <c r="B115" s="692"/>
      <c r="C115" s="692"/>
      <c r="D115" s="693"/>
      <c r="E115" s="702"/>
      <c r="F115" s="702"/>
      <c r="G115" s="702"/>
      <c r="H115" s="702"/>
      <c r="I115" s="702"/>
      <c r="J115" s="702"/>
      <c r="K115" s="702"/>
      <c r="L115" s="702"/>
      <c r="M115" s="702"/>
      <c r="N115" s="702"/>
      <c r="O115" s="702"/>
      <c r="P115" s="702"/>
      <c r="Q115" s="702"/>
      <c r="R115" s="702"/>
      <c r="S115" s="702"/>
      <c r="T115" s="702"/>
      <c r="U115" s="701"/>
      <c r="V115" s="696"/>
      <c r="W115" s="697"/>
    </row>
    <row r="116" spans="1:23" s="257" customFormat="1" ht="30" hidden="1" customHeight="1" thickTop="1">
      <c r="A116" s="691"/>
      <c r="B116" s="692"/>
      <c r="C116" s="692"/>
      <c r="D116" s="693"/>
      <c r="E116" s="702"/>
      <c r="F116" s="702"/>
      <c r="G116" s="702"/>
      <c r="H116" s="702"/>
      <c r="I116" s="702"/>
      <c r="J116" s="702"/>
      <c r="K116" s="702"/>
      <c r="L116" s="702"/>
      <c r="M116" s="702"/>
      <c r="N116" s="702"/>
      <c r="O116" s="702"/>
      <c r="P116" s="702"/>
      <c r="Q116" s="702"/>
      <c r="R116" s="702"/>
      <c r="S116" s="702"/>
      <c r="T116" s="702"/>
      <c r="U116" s="701"/>
      <c r="V116" s="696"/>
      <c r="W116" s="697"/>
    </row>
    <row r="117" spans="1:23" s="257" customFormat="1" ht="30" hidden="1" customHeight="1" thickTop="1">
      <c r="A117" s="691"/>
      <c r="B117" s="692"/>
      <c r="C117" s="692"/>
      <c r="D117" s="693"/>
      <c r="E117" s="702"/>
      <c r="F117" s="702"/>
      <c r="G117" s="702"/>
      <c r="H117" s="702"/>
      <c r="I117" s="702"/>
      <c r="J117" s="702"/>
      <c r="K117" s="702"/>
      <c r="L117" s="702"/>
      <c r="M117" s="702"/>
      <c r="N117" s="702"/>
      <c r="O117" s="702"/>
      <c r="P117" s="702"/>
      <c r="Q117" s="702"/>
      <c r="R117" s="702"/>
      <c r="S117" s="702"/>
      <c r="T117" s="702"/>
      <c r="U117" s="701"/>
      <c r="V117" s="696"/>
      <c r="W117" s="697"/>
    </row>
    <row r="118" spans="1:23" s="257" customFormat="1" ht="18">
      <c r="A118" s="691"/>
      <c r="B118" s="692"/>
      <c r="C118" s="692"/>
      <c r="D118" s="693"/>
      <c r="E118" s="702"/>
      <c r="F118" s="702"/>
      <c r="G118" s="702"/>
      <c r="H118" s="702"/>
      <c r="I118" s="702"/>
      <c r="J118" s="702"/>
      <c r="K118" s="702"/>
      <c r="L118" s="702"/>
      <c r="M118" s="702"/>
      <c r="N118" s="702"/>
      <c r="O118" s="702"/>
      <c r="P118" s="702"/>
      <c r="Q118" s="702"/>
      <c r="R118" s="702"/>
      <c r="S118" s="702"/>
      <c r="T118" s="702"/>
      <c r="U118" s="701"/>
      <c r="V118" s="696"/>
      <c r="W118" s="697"/>
    </row>
    <row r="119" spans="1:23" s="257" customFormat="1" ht="18">
      <c r="A119" s="691"/>
      <c r="B119" s="692"/>
      <c r="C119" s="692"/>
      <c r="D119" s="693"/>
      <c r="E119" s="702"/>
      <c r="F119" s="702"/>
      <c r="G119" s="702"/>
      <c r="H119" s="702"/>
      <c r="I119" s="702"/>
      <c r="J119" s="702"/>
      <c r="K119" s="702"/>
      <c r="L119" s="702"/>
      <c r="M119" s="702"/>
      <c r="N119" s="702"/>
      <c r="O119" s="702"/>
      <c r="P119" s="702"/>
      <c r="Q119" s="702"/>
      <c r="R119" s="702"/>
      <c r="S119" s="702"/>
      <c r="T119" s="702"/>
      <c r="U119" s="701"/>
      <c r="V119" s="696"/>
      <c r="W119" s="697"/>
    </row>
    <row r="120" spans="1:23" s="257" customFormat="1" ht="15.75">
      <c r="A120" s="798" t="s">
        <v>0</v>
      </c>
      <c r="B120" s="798"/>
      <c r="C120" s="798"/>
      <c r="D120" s="798"/>
      <c r="E120" s="798"/>
      <c r="F120" s="16"/>
      <c r="G120" s="16"/>
      <c r="H120" s="16"/>
      <c r="I120" s="4"/>
      <c r="J120" s="4"/>
      <c r="K120" s="4"/>
      <c r="L120" s="2"/>
      <c r="M120" s="2"/>
      <c r="N120" s="2"/>
      <c r="O120" s="2"/>
      <c r="P120" s="2"/>
      <c r="Q120" s="2"/>
      <c r="R120" s="2"/>
      <c r="S120" s="2"/>
      <c r="T120" s="2"/>
      <c r="U120" s="827"/>
      <c r="V120" s="827"/>
      <c r="W120" s="4"/>
    </row>
    <row r="121" spans="1:23" s="257" customFormat="1" ht="15.75">
      <c r="A121" s="865" t="s">
        <v>194</v>
      </c>
      <c r="B121" s="865"/>
      <c r="C121" s="865"/>
      <c r="D121" s="865"/>
      <c r="E121" s="865"/>
      <c r="F121" s="16"/>
      <c r="G121" s="16"/>
      <c r="H121" s="16"/>
      <c r="I121" s="4"/>
      <c r="J121" s="4"/>
      <c r="K121" s="4"/>
      <c r="L121" s="2"/>
      <c r="M121" s="2"/>
      <c r="N121" s="2"/>
      <c r="O121" s="2"/>
      <c r="P121" s="2"/>
      <c r="Q121" s="2"/>
      <c r="R121" s="2"/>
      <c r="S121" s="2"/>
      <c r="T121" s="2"/>
      <c r="U121" s="799"/>
      <c r="V121" s="799"/>
      <c r="W121" s="4"/>
    </row>
    <row r="122" spans="1:23" s="257" customFormat="1" ht="15.75">
      <c r="A122" s="798" t="s">
        <v>4</v>
      </c>
      <c r="B122" s="798"/>
      <c r="C122" s="798"/>
      <c r="D122" s="798"/>
      <c r="E122" s="798"/>
      <c r="F122" s="16"/>
      <c r="G122" s="16"/>
      <c r="H122" s="1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827"/>
      <c r="V122" s="827"/>
      <c r="W122" s="4"/>
    </row>
    <row r="123" spans="1:23" s="257" customFormat="1" ht="15.75">
      <c r="A123" s="866" t="s">
        <v>6</v>
      </c>
      <c r="B123" s="866"/>
      <c r="C123" s="866"/>
      <c r="D123" s="866"/>
      <c r="E123" s="866"/>
      <c r="F123" s="16"/>
      <c r="G123" s="16"/>
      <c r="H123" s="1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795"/>
      <c r="V123" s="795"/>
      <c r="W123" s="4"/>
    </row>
    <row r="124" spans="1:23" s="257" customFormat="1" ht="20.25">
      <c r="A124" s="871" t="s">
        <v>345</v>
      </c>
      <c r="B124" s="867"/>
      <c r="C124" s="867"/>
      <c r="D124" s="867"/>
      <c r="E124" s="867"/>
      <c r="F124" s="867"/>
      <c r="G124" s="867"/>
      <c r="H124" s="867"/>
      <c r="I124" s="867"/>
      <c r="J124" s="867"/>
      <c r="K124" s="867"/>
      <c r="L124" s="867"/>
      <c r="M124" s="867"/>
      <c r="N124" s="867"/>
      <c r="O124" s="867"/>
      <c r="P124" s="867"/>
      <c r="Q124" s="867"/>
      <c r="R124" s="867"/>
      <c r="S124" s="867"/>
      <c r="T124" s="867"/>
      <c r="U124" s="867"/>
      <c r="V124" s="867"/>
      <c r="W124" s="867"/>
    </row>
    <row r="125" spans="1:23" s="257" customFormat="1" ht="20.25">
      <c r="A125" s="871" t="str">
        <f>A89</f>
        <v xml:space="preserve">ថ្ងៃ ១៦-៣១ ខែ ០១ ឆ្នាំ ២០២៦ </v>
      </c>
      <c r="B125" s="867"/>
      <c r="C125" s="867"/>
      <c r="D125" s="867"/>
      <c r="E125" s="867"/>
      <c r="F125" s="867"/>
      <c r="G125" s="867"/>
      <c r="H125" s="867"/>
      <c r="I125" s="867"/>
      <c r="J125" s="867"/>
      <c r="K125" s="867"/>
      <c r="L125" s="867"/>
      <c r="M125" s="867"/>
      <c r="N125" s="867"/>
      <c r="O125" s="867"/>
      <c r="P125" s="867"/>
      <c r="Q125" s="867"/>
      <c r="R125" s="867"/>
      <c r="S125" s="867"/>
      <c r="T125" s="867"/>
      <c r="U125" s="867"/>
      <c r="V125" s="867"/>
      <c r="W125" s="867"/>
    </row>
    <row r="126" spans="1:23" s="257" customFormat="1" ht="18.75">
      <c r="A126" s="787" t="s">
        <v>346</v>
      </c>
      <c r="B126" s="787"/>
      <c r="C126" s="787"/>
      <c r="D126" s="787"/>
      <c r="E126" s="787"/>
      <c r="F126" s="787"/>
      <c r="G126" s="787"/>
      <c r="H126" s="787"/>
      <c r="I126" s="787"/>
      <c r="J126" s="787"/>
      <c r="K126" s="787"/>
      <c r="L126" s="787"/>
      <c r="M126" s="787"/>
      <c r="N126" s="787"/>
      <c r="O126" s="787"/>
      <c r="P126" s="787"/>
      <c r="Q126" s="787"/>
      <c r="R126" s="787"/>
      <c r="S126" s="787"/>
      <c r="T126" s="787"/>
      <c r="U126" s="787"/>
      <c r="V126" s="787"/>
      <c r="W126" s="787"/>
    </row>
    <row r="127" spans="1:23" s="257" customFormat="1" ht="15.75">
      <c r="A127" s="799" t="str">
        <f>A91</f>
        <v>NGÀY​​​​ 16 ĐẾN 31 THÁNG 01 NĂM 2026</v>
      </c>
      <c r="B127" s="799"/>
      <c r="C127" s="799"/>
      <c r="D127" s="799"/>
      <c r="E127" s="799"/>
      <c r="F127" s="799"/>
      <c r="G127" s="799"/>
      <c r="H127" s="799"/>
      <c r="I127" s="799"/>
      <c r="J127" s="799"/>
      <c r="K127" s="799"/>
      <c r="L127" s="799"/>
      <c r="M127" s="799"/>
      <c r="N127" s="799"/>
      <c r="O127" s="799"/>
      <c r="P127" s="799"/>
      <c r="Q127" s="799"/>
      <c r="R127" s="799"/>
      <c r="S127" s="799"/>
      <c r="T127" s="799"/>
      <c r="U127" s="799"/>
      <c r="V127" s="799"/>
      <c r="W127" s="799"/>
    </row>
    <row r="128" spans="1:23" s="257" customFormat="1" ht="15.75">
      <c r="A128" s="622"/>
      <c r="B128" s="623"/>
      <c r="C128" s="623"/>
      <c r="D128" s="623"/>
      <c r="E128" s="826"/>
      <c r="F128" s="826"/>
      <c r="G128" s="826"/>
      <c r="H128" s="826"/>
      <c r="I128" s="826"/>
      <c r="J128" s="826"/>
      <c r="K128" s="826"/>
      <c r="L128" s="826"/>
      <c r="M128" s="826"/>
      <c r="N128" s="826"/>
      <c r="O128" s="826"/>
      <c r="P128" s="826"/>
      <c r="Q128" s="826"/>
      <c r="R128" s="826"/>
      <c r="S128" s="826"/>
      <c r="T128" s="826"/>
      <c r="U128" s="622"/>
      <c r="V128" s="622"/>
      <c r="W128" s="4"/>
    </row>
    <row r="129" spans="1:27" s="257" customFormat="1" ht="36">
      <c r="A129" s="10" t="s">
        <v>176</v>
      </c>
      <c r="B129" s="864" t="s">
        <v>197</v>
      </c>
      <c r="C129" s="864"/>
      <c r="D129" s="10" t="s">
        <v>198</v>
      </c>
      <c r="E129" s="591">
        <f>E93</f>
        <v>16</v>
      </c>
      <c r="F129" s="591">
        <f t="shared" ref="F129:R129" si="22">E129+1</f>
        <v>17</v>
      </c>
      <c r="G129" s="591">
        <f t="shared" si="22"/>
        <v>18</v>
      </c>
      <c r="H129" s="591">
        <f t="shared" si="22"/>
        <v>19</v>
      </c>
      <c r="I129" s="591">
        <f t="shared" si="22"/>
        <v>20</v>
      </c>
      <c r="J129" s="591">
        <f t="shared" si="22"/>
        <v>21</v>
      </c>
      <c r="K129" s="591">
        <f t="shared" si="22"/>
        <v>22</v>
      </c>
      <c r="L129" s="591">
        <f t="shared" si="22"/>
        <v>23</v>
      </c>
      <c r="M129" s="591">
        <f t="shared" si="22"/>
        <v>24</v>
      </c>
      <c r="N129" s="591">
        <f t="shared" si="22"/>
        <v>25</v>
      </c>
      <c r="O129" s="591">
        <f t="shared" si="22"/>
        <v>26</v>
      </c>
      <c r="P129" s="591">
        <f t="shared" si="22"/>
        <v>27</v>
      </c>
      <c r="Q129" s="591">
        <f t="shared" si="22"/>
        <v>28</v>
      </c>
      <c r="R129" s="591">
        <f t="shared" si="22"/>
        <v>29</v>
      </c>
      <c r="S129" s="591"/>
      <c r="T129" s="591">
        <f>R129+1</f>
        <v>30</v>
      </c>
      <c r="U129" s="652" t="s">
        <v>274</v>
      </c>
      <c r="V129" s="652" t="s">
        <v>199</v>
      </c>
      <c r="W129" s="12" t="s">
        <v>205</v>
      </c>
    </row>
    <row r="130" spans="1:27" s="257" customFormat="1" ht="34.5" customHeight="1">
      <c r="A130" s="314">
        <v>1</v>
      </c>
      <c r="B130" s="453" t="s">
        <v>131</v>
      </c>
      <c r="C130" s="565" t="s">
        <v>132</v>
      </c>
      <c r="D130" s="703" t="s">
        <v>201</v>
      </c>
      <c r="E130" s="628"/>
      <c r="F130" s="628"/>
      <c r="G130" s="628"/>
      <c r="H130" s="628"/>
      <c r="I130" s="626"/>
      <c r="J130" s="628">
        <v>3074</v>
      </c>
      <c r="K130" s="628">
        <v>3747</v>
      </c>
      <c r="L130" s="628">
        <v>4034</v>
      </c>
      <c r="M130" s="626"/>
      <c r="N130" s="628"/>
      <c r="O130" s="628"/>
      <c r="P130" s="628"/>
      <c r="Q130" s="628"/>
      <c r="R130" s="628"/>
      <c r="S130" s="628"/>
      <c r="T130" s="628"/>
      <c r="U130" s="294">
        <f>ROUND(V130/1000,3)</f>
        <v>10.855</v>
      </c>
      <c r="V130" s="295">
        <f t="shared" ref="V130:V142" si="23">SUM(E130:T130)</f>
        <v>10855</v>
      </c>
      <c r="W130" s="704"/>
    </row>
    <row r="131" spans="1:27" s="257" customFormat="1" ht="34.5" customHeight="1">
      <c r="A131" s="314">
        <f>+A130+1</f>
        <v>2</v>
      </c>
      <c r="B131" s="453" t="s">
        <v>137</v>
      </c>
      <c r="C131" s="454" t="s">
        <v>138</v>
      </c>
      <c r="D131" s="703" t="s">
        <v>201</v>
      </c>
      <c r="E131" s="628"/>
      <c r="F131" s="628"/>
      <c r="G131" s="628"/>
      <c r="H131" s="628"/>
      <c r="I131" s="626"/>
      <c r="J131" s="628">
        <v>3074</v>
      </c>
      <c r="K131" s="626"/>
      <c r="L131" s="626"/>
      <c r="M131" s="626"/>
      <c r="N131" s="628"/>
      <c r="O131" s="628"/>
      <c r="P131" s="628"/>
      <c r="Q131" s="628"/>
      <c r="R131" s="628"/>
      <c r="S131" s="628"/>
      <c r="T131" s="628"/>
      <c r="U131" s="294">
        <f t="shared" ref="U131:U142" si="24">ROUND(V131/1000,3)</f>
        <v>3.0739999999999998</v>
      </c>
      <c r="V131" s="295">
        <f t="shared" si="23"/>
        <v>3074</v>
      </c>
      <c r="W131" s="704"/>
    </row>
    <row r="132" spans="1:27" s="257" customFormat="1" ht="18.75">
      <c r="A132" s="314">
        <f t="shared" ref="A132:A142" si="25">+A131+1</f>
        <v>3</v>
      </c>
      <c r="B132" s="453" t="s">
        <v>141</v>
      </c>
      <c r="C132" s="454" t="s">
        <v>142</v>
      </c>
      <c r="D132" s="703" t="s">
        <v>201</v>
      </c>
      <c r="E132" s="628"/>
      <c r="F132" s="628"/>
      <c r="G132" s="628"/>
      <c r="H132" s="628"/>
      <c r="I132" s="626"/>
      <c r="J132" s="628">
        <v>3074</v>
      </c>
      <c r="K132" s="628">
        <v>3747</v>
      </c>
      <c r="L132" s="626"/>
      <c r="M132" s="626"/>
      <c r="N132" s="628"/>
      <c r="O132" s="628"/>
      <c r="P132" s="628"/>
      <c r="Q132" s="628"/>
      <c r="R132" s="628"/>
      <c r="S132" s="628"/>
      <c r="T132" s="628"/>
      <c r="U132" s="294">
        <f t="shared" si="24"/>
        <v>6.8209999999999997</v>
      </c>
      <c r="V132" s="295">
        <f t="shared" si="23"/>
        <v>6821</v>
      </c>
      <c r="W132" s="704"/>
    </row>
    <row r="133" spans="1:27" s="257" customFormat="1" ht="18.75">
      <c r="A133" s="314">
        <f t="shared" si="25"/>
        <v>4</v>
      </c>
      <c r="B133" s="453" t="s">
        <v>143</v>
      </c>
      <c r="C133" s="454" t="s">
        <v>144</v>
      </c>
      <c r="D133" s="703" t="s">
        <v>201</v>
      </c>
      <c r="E133" s="628"/>
      <c r="F133" s="628"/>
      <c r="G133" s="628"/>
      <c r="H133" s="628"/>
      <c r="I133" s="626"/>
      <c r="J133" s="628">
        <v>3074</v>
      </c>
      <c r="K133" s="628">
        <v>3747</v>
      </c>
      <c r="L133" s="628">
        <v>4034</v>
      </c>
      <c r="M133" s="626"/>
      <c r="N133" s="628"/>
      <c r="O133" s="628"/>
      <c r="P133" s="628"/>
      <c r="Q133" s="628"/>
      <c r="R133" s="628"/>
      <c r="S133" s="628"/>
      <c r="T133" s="628"/>
      <c r="U133" s="294">
        <f t="shared" si="24"/>
        <v>10.855</v>
      </c>
      <c r="V133" s="295">
        <f t="shared" si="23"/>
        <v>10855</v>
      </c>
      <c r="W133" s="704"/>
    </row>
    <row r="134" spans="1:27" s="257" customFormat="1" ht="18.75">
      <c r="A134" s="314">
        <f t="shared" si="25"/>
        <v>5</v>
      </c>
      <c r="B134" s="453" t="s">
        <v>145</v>
      </c>
      <c r="C134" s="454" t="s">
        <v>146</v>
      </c>
      <c r="D134" s="703" t="s">
        <v>201</v>
      </c>
      <c r="E134" s="628"/>
      <c r="F134" s="628"/>
      <c r="G134" s="628"/>
      <c r="H134" s="628"/>
      <c r="I134" s="626"/>
      <c r="J134" s="628">
        <v>3074</v>
      </c>
      <c r="K134" s="628">
        <v>3747</v>
      </c>
      <c r="L134" s="626"/>
      <c r="M134" s="626"/>
      <c r="N134" s="628"/>
      <c r="O134" s="628"/>
      <c r="P134" s="628"/>
      <c r="Q134" s="628"/>
      <c r="R134" s="628"/>
      <c r="S134" s="628"/>
      <c r="T134" s="628"/>
      <c r="U134" s="294">
        <f t="shared" si="24"/>
        <v>6.8209999999999997</v>
      </c>
      <c r="V134" s="295">
        <f t="shared" si="23"/>
        <v>6821</v>
      </c>
      <c r="W134" s="704"/>
    </row>
    <row r="135" spans="1:27" s="257" customFormat="1" ht="51.75" customHeight="1">
      <c r="A135" s="314">
        <f t="shared" si="25"/>
        <v>6</v>
      </c>
      <c r="B135" s="456" t="s">
        <v>147</v>
      </c>
      <c r="C135" s="566" t="s">
        <v>148</v>
      </c>
      <c r="D135" s="703" t="s">
        <v>201</v>
      </c>
      <c r="E135" s="628"/>
      <c r="F135" s="628"/>
      <c r="G135" s="628"/>
      <c r="H135" s="628"/>
      <c r="I135" s="626"/>
      <c r="J135" s="628">
        <v>3074</v>
      </c>
      <c r="K135" s="628">
        <v>3746</v>
      </c>
      <c r="L135" s="628">
        <v>4035</v>
      </c>
      <c r="M135" s="626"/>
      <c r="N135" s="628"/>
      <c r="O135" s="628"/>
      <c r="P135" s="628"/>
      <c r="Q135" s="628"/>
      <c r="R135" s="628"/>
      <c r="S135" s="628"/>
      <c r="T135" s="628"/>
      <c r="U135" s="294">
        <f t="shared" si="24"/>
        <v>10.855</v>
      </c>
      <c r="V135" s="295">
        <f t="shared" si="23"/>
        <v>10855</v>
      </c>
      <c r="W135" s="704"/>
    </row>
    <row r="136" spans="1:27" s="257" customFormat="1" ht="18.75">
      <c r="A136" s="314">
        <f t="shared" si="25"/>
        <v>7</v>
      </c>
      <c r="B136" s="453" t="s">
        <v>149</v>
      </c>
      <c r="C136" s="454" t="s">
        <v>150</v>
      </c>
      <c r="D136" s="703" t="s">
        <v>201</v>
      </c>
      <c r="E136" s="628"/>
      <c r="F136" s="628"/>
      <c r="G136" s="628"/>
      <c r="H136" s="628"/>
      <c r="I136" s="626"/>
      <c r="J136" s="626"/>
      <c r="K136" s="626"/>
      <c r="L136" s="628">
        <v>4035</v>
      </c>
      <c r="M136" s="626"/>
      <c r="N136" s="628"/>
      <c r="O136" s="628"/>
      <c r="P136" s="628"/>
      <c r="Q136" s="628"/>
      <c r="R136" s="628"/>
      <c r="S136" s="628"/>
      <c r="T136" s="628"/>
      <c r="U136" s="294">
        <f t="shared" si="24"/>
        <v>4.0350000000000001</v>
      </c>
      <c r="V136" s="295">
        <f t="shared" si="23"/>
        <v>4035</v>
      </c>
      <c r="W136" s="704"/>
      <c r="Z136" s="263">
        <f>ROUND(U136*0.1,2)</f>
        <v>0.4</v>
      </c>
      <c r="AA136" s="569">
        <f>Z136+U136</f>
        <v>4.4350000000000005</v>
      </c>
    </row>
    <row r="137" spans="1:27" s="257" customFormat="1" ht="18.75">
      <c r="A137" s="314">
        <f t="shared" si="25"/>
        <v>8</v>
      </c>
      <c r="B137" s="457" t="s">
        <v>153</v>
      </c>
      <c r="C137" s="458" t="s">
        <v>154</v>
      </c>
      <c r="D137" s="703" t="s">
        <v>201</v>
      </c>
      <c r="E137" s="628"/>
      <c r="F137" s="628"/>
      <c r="G137" s="628"/>
      <c r="H137" s="628"/>
      <c r="I137" s="626"/>
      <c r="J137" s="626"/>
      <c r="K137" s="626"/>
      <c r="L137" s="628">
        <v>4035</v>
      </c>
      <c r="M137" s="626"/>
      <c r="N137" s="628"/>
      <c r="O137" s="628"/>
      <c r="P137" s="628"/>
      <c r="Q137" s="628"/>
      <c r="R137" s="628"/>
      <c r="S137" s="628"/>
      <c r="T137" s="628"/>
      <c r="U137" s="294">
        <f t="shared" si="24"/>
        <v>4.0350000000000001</v>
      </c>
      <c r="V137" s="295">
        <f t="shared" si="23"/>
        <v>4035</v>
      </c>
      <c r="W137" s="704"/>
    </row>
    <row r="138" spans="1:27" s="257" customFormat="1" ht="18.75">
      <c r="A138" s="314">
        <f t="shared" si="25"/>
        <v>9</v>
      </c>
      <c r="B138" s="457" t="s">
        <v>155</v>
      </c>
      <c r="C138" s="458" t="s">
        <v>156</v>
      </c>
      <c r="D138" s="703" t="s">
        <v>201</v>
      </c>
      <c r="E138" s="628"/>
      <c r="F138" s="628"/>
      <c r="G138" s="628"/>
      <c r="H138" s="628"/>
      <c r="I138" s="626"/>
      <c r="J138" s="626"/>
      <c r="K138" s="626"/>
      <c r="L138" s="628">
        <v>4035</v>
      </c>
      <c r="M138" s="626"/>
      <c r="N138" s="628"/>
      <c r="O138" s="628"/>
      <c r="P138" s="628"/>
      <c r="Q138" s="628"/>
      <c r="R138" s="628"/>
      <c r="S138" s="628"/>
      <c r="T138" s="628"/>
      <c r="U138" s="294">
        <f t="shared" si="24"/>
        <v>4.0350000000000001</v>
      </c>
      <c r="V138" s="295">
        <f t="shared" si="23"/>
        <v>4035</v>
      </c>
      <c r="W138" s="704"/>
    </row>
    <row r="139" spans="1:27" s="257" customFormat="1" ht="18.75">
      <c r="A139" s="314">
        <f t="shared" si="25"/>
        <v>10</v>
      </c>
      <c r="B139" s="457" t="s">
        <v>157</v>
      </c>
      <c r="C139" s="458" t="s">
        <v>158</v>
      </c>
      <c r="D139" s="703" t="s">
        <v>201</v>
      </c>
      <c r="E139" s="628"/>
      <c r="F139" s="628"/>
      <c r="G139" s="628"/>
      <c r="H139" s="628"/>
      <c r="I139" s="626"/>
      <c r="J139" s="628">
        <v>3074</v>
      </c>
      <c r="K139" s="628">
        <v>3746</v>
      </c>
      <c r="L139" s="626"/>
      <c r="M139" s="626"/>
      <c r="N139" s="628"/>
      <c r="O139" s="628"/>
      <c r="P139" s="628"/>
      <c r="Q139" s="628"/>
      <c r="R139" s="628"/>
      <c r="S139" s="628"/>
      <c r="T139" s="628"/>
      <c r="U139" s="294">
        <f t="shared" si="24"/>
        <v>6.82</v>
      </c>
      <c r="V139" s="295">
        <f t="shared" si="23"/>
        <v>6820</v>
      </c>
      <c r="W139" s="704"/>
    </row>
    <row r="140" spans="1:27" s="257" customFormat="1" ht="18.75">
      <c r="A140" s="314">
        <f t="shared" si="25"/>
        <v>11</v>
      </c>
      <c r="B140" s="457" t="s">
        <v>282</v>
      </c>
      <c r="C140" s="567" t="s">
        <v>283</v>
      </c>
      <c r="D140" s="703" t="s">
        <v>201</v>
      </c>
      <c r="E140" s="628"/>
      <c r="F140" s="628"/>
      <c r="G140" s="628"/>
      <c r="H140" s="628"/>
      <c r="I140" s="626"/>
      <c r="J140" s="628">
        <v>3074</v>
      </c>
      <c r="K140" s="628">
        <v>3746</v>
      </c>
      <c r="L140" s="626"/>
      <c r="M140" s="626"/>
      <c r="N140" s="628"/>
      <c r="O140" s="628"/>
      <c r="P140" s="628"/>
      <c r="Q140" s="628"/>
      <c r="R140" s="628"/>
      <c r="S140" s="628"/>
      <c r="T140" s="628"/>
      <c r="U140" s="294">
        <f t="shared" si="24"/>
        <v>6.82</v>
      </c>
      <c r="V140" s="295">
        <f t="shared" si="23"/>
        <v>6820</v>
      </c>
      <c r="W140" s="704"/>
    </row>
    <row r="141" spans="1:27" s="257" customFormat="1" ht="18.75">
      <c r="A141" s="314">
        <f t="shared" si="25"/>
        <v>12</v>
      </c>
      <c r="B141" s="457" t="s">
        <v>284</v>
      </c>
      <c r="C141" s="459" t="s">
        <v>285</v>
      </c>
      <c r="D141" s="703" t="s">
        <v>201</v>
      </c>
      <c r="E141" s="628"/>
      <c r="F141" s="628"/>
      <c r="G141" s="628"/>
      <c r="H141" s="628"/>
      <c r="I141" s="626"/>
      <c r="J141" s="628">
        <v>3074</v>
      </c>
      <c r="K141" s="628">
        <v>3746</v>
      </c>
      <c r="L141" s="628">
        <v>4035</v>
      </c>
      <c r="M141" s="626"/>
      <c r="N141" s="628"/>
      <c r="O141" s="628"/>
      <c r="P141" s="628"/>
      <c r="Q141" s="628"/>
      <c r="R141" s="628"/>
      <c r="S141" s="628"/>
      <c r="T141" s="628"/>
      <c r="U141" s="294">
        <f t="shared" si="24"/>
        <v>10.855</v>
      </c>
      <c r="V141" s="295">
        <f t="shared" si="23"/>
        <v>10855</v>
      </c>
      <c r="W141" s="704"/>
    </row>
    <row r="142" spans="1:27" s="257" customFormat="1" ht="18.75">
      <c r="A142" s="314">
        <f t="shared" si="25"/>
        <v>13</v>
      </c>
      <c r="B142" s="457" t="s">
        <v>324</v>
      </c>
      <c r="C142" s="567" t="s">
        <v>325</v>
      </c>
      <c r="D142" s="703" t="s">
        <v>201</v>
      </c>
      <c r="E142" s="628"/>
      <c r="F142" s="628"/>
      <c r="G142" s="628"/>
      <c r="H142" s="628"/>
      <c r="I142" s="626"/>
      <c r="J142" s="627"/>
      <c r="K142" s="627"/>
      <c r="L142" s="628">
        <v>4034</v>
      </c>
      <c r="M142" s="626"/>
      <c r="N142" s="628"/>
      <c r="O142" s="628"/>
      <c r="P142" s="628"/>
      <c r="Q142" s="628"/>
      <c r="R142" s="628"/>
      <c r="S142" s="628"/>
      <c r="T142" s="628"/>
      <c r="U142" s="294">
        <f t="shared" si="24"/>
        <v>4.0339999999999998</v>
      </c>
      <c r="V142" s="295">
        <f t="shared" si="23"/>
        <v>4034</v>
      </c>
      <c r="W142" s="704"/>
    </row>
    <row r="143" spans="1:27" s="257" customFormat="1" ht="15.75">
      <c r="A143" s="26"/>
      <c r="B143" s="860" t="s">
        <v>203</v>
      </c>
      <c r="C143" s="861"/>
      <c r="D143" s="26"/>
      <c r="E143" s="705">
        <f>SUM(E130:E141)</f>
        <v>0</v>
      </c>
      <c r="F143" s="705">
        <f>SUM(F130:F141)</f>
        <v>0</v>
      </c>
      <c r="G143" s="705">
        <f>SUM(G130:G141)</f>
        <v>0</v>
      </c>
      <c r="H143" s="705">
        <f>SUM(H130:H141)</f>
        <v>0</v>
      </c>
      <c r="I143" s="705">
        <f>SUM(I130:I141)</f>
        <v>0</v>
      </c>
      <c r="J143" s="705">
        <f t="shared" ref="J143:V143" si="26">SUM(J130:J142)</f>
        <v>27666</v>
      </c>
      <c r="K143" s="705">
        <f t="shared" si="26"/>
        <v>29972</v>
      </c>
      <c r="L143" s="705">
        <f t="shared" si="26"/>
        <v>32277</v>
      </c>
      <c r="M143" s="705">
        <f t="shared" si="26"/>
        <v>0</v>
      </c>
      <c r="N143" s="705">
        <f t="shared" si="26"/>
        <v>0</v>
      </c>
      <c r="O143" s="705">
        <f t="shared" si="26"/>
        <v>0</v>
      </c>
      <c r="P143" s="705">
        <f t="shared" si="26"/>
        <v>0</v>
      </c>
      <c r="Q143" s="705">
        <f t="shared" si="26"/>
        <v>0</v>
      </c>
      <c r="R143" s="705">
        <f t="shared" si="26"/>
        <v>0</v>
      </c>
      <c r="S143" s="705"/>
      <c r="T143" s="705">
        <f t="shared" si="26"/>
        <v>0</v>
      </c>
      <c r="U143" s="706">
        <f t="shared" si="26"/>
        <v>89.914999999999992</v>
      </c>
      <c r="V143" s="705">
        <f t="shared" si="26"/>
        <v>89915</v>
      </c>
      <c r="W143" s="26"/>
    </row>
    <row r="144" spans="1:27" s="257" customFormat="1" ht="15.75">
      <c r="A144" s="15"/>
      <c r="B144" s="15"/>
      <c r="C144" s="15"/>
      <c r="D144" s="15"/>
      <c r="E144" s="707">
        <f>VLOOKUP(E129,'[3]BKECHITIET TO2 (TP)'!$A$11:$K$25,11)</f>
        <v>0</v>
      </c>
      <c r="F144" s="707">
        <f>VLOOKUP(F129,'[3]BKECHITIET TO2 (TP)'!$A$11:$K$25,11)</f>
        <v>0</v>
      </c>
      <c r="G144" s="707">
        <f>VLOOKUP(G129,'[3]BKECHITIET TO2 (TP)'!$A$11:$K$25,11)</f>
        <v>0</v>
      </c>
      <c r="H144" s="707">
        <f>VLOOKUP(H129,'[3]BKECHITIET TO2 (TP)'!$A$11:$K$25,11)</f>
        <v>0</v>
      </c>
      <c r="I144" s="707">
        <f>VLOOKUP(I129,'[3]BKECHITIET TO2 (TP)'!$A$11:$K$25,11)</f>
        <v>0</v>
      </c>
      <c r="J144" s="707">
        <f>VLOOKUP(J129,'[3]BKECHITIET TO2 (TP)'!$A$11:$K$25,11)</f>
        <v>0</v>
      </c>
      <c r="K144" s="707">
        <f>VLOOKUP(K129,'[3]BKECHITIET TO2 (TP)'!$A$11:$K$25,11)</f>
        <v>0</v>
      </c>
      <c r="L144" s="707">
        <f>VLOOKUP(L129,'[3]BKECHITIET TO2 (TP)'!$A$11:$K$25,11)</f>
        <v>0</v>
      </c>
      <c r="M144" s="707">
        <f>VLOOKUP(M129,'[3]BKECHITIET TO2 (TP)'!$A$11:$K$25,11)</f>
        <v>0</v>
      </c>
      <c r="N144" s="707">
        <f>VLOOKUP(N129,'[3]BKECHITIET TO2 (TP)'!$A$11:$K$25,11)</f>
        <v>0</v>
      </c>
      <c r="O144" s="707">
        <f>VLOOKUP(O129,'[3]BKECHITIET TO2 (TP)'!$A$11:$K$25,11)</f>
        <v>0</v>
      </c>
      <c r="P144" s="707">
        <f>VLOOKUP(P129,'[3]BKECHITIET TO2 (TP)'!$A$11:$K$25,11)</f>
        <v>0</v>
      </c>
      <c r="Q144" s="707">
        <f>VLOOKUP(Q129,'[3]BKECHITIET TO2 (TP)'!$A$11:$K$25,11)</f>
        <v>0</v>
      </c>
      <c r="R144" s="707">
        <f>VLOOKUP(R129,'[3]BKECHITIET TO2 (TP)'!$A$11:$K$25,11)</f>
        <v>0</v>
      </c>
      <c r="S144" s="707"/>
      <c r="T144" s="707">
        <f>VLOOKUP(T129,'[3]BKECHITIET TO2 (TP)'!$A$11:$K$25,11)</f>
        <v>0</v>
      </c>
      <c r="U144" s="301">
        <f>SUM(E144:T144)</f>
        <v>0</v>
      </c>
      <c r="V144" s="15"/>
      <c r="W144" s="15"/>
    </row>
    <row r="145" spans="1:23" s="257" customFormat="1" ht="15.75">
      <c r="A145" s="15"/>
      <c r="B145" s="15"/>
      <c r="C145" s="15"/>
      <c r="D145" s="15"/>
      <c r="E145" s="25">
        <f>COUNTIF(E130:E141,"X")+COUNTIF(E130:E141,"/")*0.5</f>
        <v>0</v>
      </c>
      <c r="F145" s="25">
        <f>COUNTIF(F130:F141,"X")+COUNTIF(F130:F141,"/")*0.5</f>
        <v>0</v>
      </c>
      <c r="G145" s="25">
        <f>COUNTIF(G130:G141,"X")+COUNTIF(G130:G141,"/")*0.5</f>
        <v>0</v>
      </c>
      <c r="H145" s="25">
        <f>COUNTIF(H130:H141,"X")+COUNTIF(H130:H141,"/")*0.5</f>
        <v>0</v>
      </c>
      <c r="I145" s="25">
        <f>COUNTIF(I130:I141,"X")+COUNTIF(I130:I141,"/")*0.5</f>
        <v>0</v>
      </c>
      <c r="J145" s="25">
        <f>COUNTIF(J130:J142,"Xcv")+COUNTIF(J130:J142,"/")*0.5</f>
        <v>0</v>
      </c>
      <c r="K145" s="25">
        <f>COUNTIF(K130:K142,"Xcv")+COUNTIF(K130:K142,"/")*0.5</f>
        <v>0</v>
      </c>
      <c r="L145" s="25">
        <f>COUNTIF(L130:L142,"Xcv")+COUNTIF(L130:L142,"/")*0.5</f>
        <v>0</v>
      </c>
      <c r="M145" s="25">
        <f t="shared" ref="M145:T145" si="27">COUNTIF(M130:M141,"X")+COUNTIF(M130:M141,"/")*0.5</f>
        <v>0</v>
      </c>
      <c r="N145" s="25">
        <f t="shared" si="27"/>
        <v>0</v>
      </c>
      <c r="O145" s="25">
        <f t="shared" si="27"/>
        <v>0</v>
      </c>
      <c r="P145" s="25">
        <f t="shared" si="27"/>
        <v>0</v>
      </c>
      <c r="Q145" s="25">
        <f t="shared" si="27"/>
        <v>0</v>
      </c>
      <c r="R145" s="25">
        <f t="shared" si="27"/>
        <v>0</v>
      </c>
      <c r="S145" s="25"/>
      <c r="T145" s="25">
        <f t="shared" si="27"/>
        <v>0</v>
      </c>
      <c r="U145" s="25">
        <f>COUNTIF(U130:U141,"X")</f>
        <v>0</v>
      </c>
      <c r="V145" s="15"/>
      <c r="W145" s="15"/>
    </row>
    <row r="146" spans="1:23" s="257" customFormat="1" ht="15.75">
      <c r="A146" s="15"/>
      <c r="B146" s="15"/>
      <c r="C146" s="15"/>
      <c r="D146" s="15"/>
      <c r="E146" s="708">
        <f>E144/E147</f>
        <v>0</v>
      </c>
      <c r="F146" s="25">
        <f t="shared" ref="F146:K146" si="28">F144/F147</f>
        <v>0</v>
      </c>
      <c r="G146" s="25">
        <f t="shared" si="28"/>
        <v>0</v>
      </c>
      <c r="H146" s="708">
        <f t="shared" si="28"/>
        <v>0</v>
      </c>
      <c r="I146" s="708" t="e">
        <f t="shared" si="28"/>
        <v>#DIV/0!</v>
      </c>
      <c r="J146" s="25">
        <f t="shared" si="28"/>
        <v>0</v>
      </c>
      <c r="K146" s="25">
        <f t="shared" si="28"/>
        <v>0</v>
      </c>
      <c r="L146" s="709">
        <f t="shared" ref="L146:T146" si="29">ROUND(L144/L147,1)</f>
        <v>0</v>
      </c>
      <c r="M146" s="709" t="e">
        <f t="shared" si="29"/>
        <v>#DIV/0!</v>
      </c>
      <c r="N146" s="709">
        <f t="shared" si="29"/>
        <v>0</v>
      </c>
      <c r="O146" s="709">
        <f t="shared" si="29"/>
        <v>0</v>
      </c>
      <c r="P146" s="709">
        <f t="shared" si="29"/>
        <v>0</v>
      </c>
      <c r="Q146" s="709">
        <f t="shared" si="29"/>
        <v>0</v>
      </c>
      <c r="R146" s="709">
        <f t="shared" si="29"/>
        <v>0</v>
      </c>
      <c r="S146" s="709"/>
      <c r="T146" s="709">
        <f t="shared" si="29"/>
        <v>0</v>
      </c>
      <c r="U146" s="15"/>
      <c r="V146" s="15"/>
      <c r="W146" s="15"/>
    </row>
    <row r="147" spans="1:23" s="257" customFormat="1" ht="15.75">
      <c r="A147" s="15"/>
      <c r="B147" s="15"/>
      <c r="C147" s="15"/>
      <c r="D147" s="15"/>
      <c r="E147" s="25">
        <v>21</v>
      </c>
      <c r="F147" s="25">
        <v>18</v>
      </c>
      <c r="G147" s="25">
        <v>21</v>
      </c>
      <c r="H147" s="25">
        <v>20</v>
      </c>
      <c r="I147" s="25">
        <v>0</v>
      </c>
      <c r="J147" s="15">
        <v>9</v>
      </c>
      <c r="K147" s="15">
        <v>8</v>
      </c>
      <c r="L147" s="15">
        <v>8</v>
      </c>
      <c r="M147" s="25">
        <v>0</v>
      </c>
      <c r="N147" s="25">
        <v>20</v>
      </c>
      <c r="O147" s="25">
        <v>21</v>
      </c>
      <c r="P147" s="25">
        <v>21</v>
      </c>
      <c r="Q147" s="25">
        <v>21</v>
      </c>
      <c r="R147" s="25">
        <v>20</v>
      </c>
      <c r="S147" s="25"/>
      <c r="T147" s="25">
        <v>21</v>
      </c>
      <c r="U147" s="15"/>
      <c r="V147" s="15"/>
      <c r="W147" s="15"/>
    </row>
    <row r="148" spans="1:23" s="257" customFormat="1" ht="15.75">
      <c r="A148" s="4"/>
      <c r="B148" s="4"/>
      <c r="C148" s="4"/>
      <c r="D148" s="4"/>
      <c r="E148" s="27">
        <f>E144-E143</f>
        <v>0</v>
      </c>
      <c r="F148" s="27">
        <f t="shared" ref="F148:T148" si="30">F144-F143</f>
        <v>0</v>
      </c>
      <c r="G148" s="27">
        <f t="shared" si="30"/>
        <v>0</v>
      </c>
      <c r="H148" s="27">
        <f t="shared" si="30"/>
        <v>0</v>
      </c>
      <c r="I148" s="27">
        <f t="shared" si="30"/>
        <v>0</v>
      </c>
      <c r="J148" s="27">
        <f t="shared" si="30"/>
        <v>-27666</v>
      </c>
      <c r="K148" s="27">
        <f t="shared" si="30"/>
        <v>-29972</v>
      </c>
      <c r="L148" s="27">
        <f t="shared" si="30"/>
        <v>-32277</v>
      </c>
      <c r="M148" s="27">
        <f t="shared" si="30"/>
        <v>0</v>
      </c>
      <c r="N148" s="27">
        <f t="shared" si="30"/>
        <v>0</v>
      </c>
      <c r="O148" s="27">
        <f t="shared" si="30"/>
        <v>0</v>
      </c>
      <c r="P148" s="27">
        <f t="shared" si="30"/>
        <v>0</v>
      </c>
      <c r="Q148" s="27">
        <f t="shared" si="30"/>
        <v>0</v>
      </c>
      <c r="R148" s="27">
        <f t="shared" si="30"/>
        <v>0</v>
      </c>
      <c r="S148" s="27"/>
      <c r="T148" s="27">
        <f t="shared" si="30"/>
        <v>0</v>
      </c>
      <c r="U148" s="4"/>
      <c r="V148" s="4"/>
      <c r="W148" s="4"/>
    </row>
    <row r="149" spans="1:23" s="257" customFormat="1" ht="15.75">
      <c r="A149" s="15"/>
      <c r="B149" s="15"/>
      <c r="C149" s="15"/>
      <c r="D149" s="15"/>
      <c r="E149" s="25"/>
      <c r="F149" s="25">
        <f>F146/2</f>
        <v>0</v>
      </c>
      <c r="G149" s="25"/>
      <c r="H149" s="25">
        <f>H146/2</f>
        <v>0</v>
      </c>
      <c r="I149" s="15"/>
      <c r="J149" s="15"/>
      <c r="K149" s="15"/>
      <c r="L149" s="15"/>
      <c r="M149" s="15"/>
      <c r="N149" s="15"/>
      <c r="O149" s="15">
        <f>O146/2</f>
        <v>0</v>
      </c>
      <c r="P149" s="15"/>
      <c r="Q149" s="15"/>
      <c r="R149" s="15">
        <f>R146/2</f>
        <v>0</v>
      </c>
      <c r="S149" s="15"/>
      <c r="T149" s="15"/>
      <c r="U149" s="15"/>
      <c r="V149" s="15"/>
      <c r="W149" s="15"/>
    </row>
    <row r="150" spans="1:23" s="257" customFormat="1" ht="15.75" hidden="1" customHeight="1">
      <c r="A150" s="15"/>
      <c r="B150" s="15"/>
      <c r="C150" s="15"/>
      <c r="D150" s="15"/>
      <c r="E150" s="25"/>
      <c r="F150" s="25"/>
      <c r="G150" s="25"/>
      <c r="H150" s="2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s="257" customFormat="1" ht="15.75" hidden="1" customHeight="1">
      <c r="A151" s="15"/>
      <c r="B151" s="15"/>
      <c r="C151" s="15"/>
      <c r="D151" s="15"/>
      <c r="E151" s="25"/>
      <c r="F151" s="25"/>
      <c r="G151" s="25"/>
      <c r="H151" s="2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s="257" customFormat="1" ht="15.75" hidden="1" customHeight="1">
      <c r="A152" s="15"/>
      <c r="B152" s="15"/>
      <c r="C152" s="15"/>
      <c r="D152" s="15"/>
      <c r="E152" s="25"/>
      <c r="F152" s="25"/>
      <c r="G152" s="25"/>
      <c r="H152" s="2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s="257" customFormat="1" ht="15.75" hidden="1" customHeight="1">
      <c r="A153" s="15"/>
      <c r="B153" s="15"/>
      <c r="C153" s="15"/>
      <c r="D153" s="15"/>
      <c r="E153" s="25"/>
      <c r="F153" s="25"/>
      <c r="G153" s="25"/>
      <c r="H153" s="2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s="257" customFormat="1" ht="15.75" hidden="1" customHeight="1">
      <c r="A154" s="15"/>
      <c r="B154" s="15"/>
      <c r="C154" s="15"/>
      <c r="D154" s="15"/>
      <c r="E154" s="25"/>
      <c r="F154" s="25"/>
      <c r="G154" s="25"/>
      <c r="H154" s="2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s="257" customFormat="1" ht="15.75">
      <c r="A155" s="15"/>
      <c r="B155" s="15"/>
      <c r="C155" s="15"/>
      <c r="D155" s="15"/>
      <c r="E155" s="25"/>
      <c r="F155" s="25"/>
      <c r="G155" s="25"/>
      <c r="H155" s="2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s="257" customFormat="1" ht="15.75">
      <c r="A156" s="15"/>
      <c r="B156" s="15"/>
      <c r="C156" s="15"/>
      <c r="D156" s="15"/>
      <c r="E156" s="25"/>
      <c r="F156" s="25"/>
      <c r="G156" s="25"/>
      <c r="H156" s="2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s="257" customFormat="1" ht="15.75">
      <c r="A157" s="15"/>
      <c r="B157" s="15"/>
      <c r="C157" s="15"/>
      <c r="D157" s="15"/>
      <c r="E157" s="25"/>
      <c r="F157" s="25"/>
      <c r="G157" s="25"/>
      <c r="H157" s="2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s="257" customFormat="1" ht="15.75">
      <c r="A158" s="15"/>
      <c r="B158" s="15"/>
      <c r="C158" s="15"/>
      <c r="D158" s="15"/>
      <c r="E158" s="25"/>
      <c r="F158" s="25"/>
      <c r="G158" s="25"/>
      <c r="H158" s="2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s="257" customFormat="1" ht="15.75">
      <c r="A159" s="15"/>
      <c r="B159" s="15"/>
      <c r="C159" s="15"/>
      <c r="D159" s="15"/>
      <c r="E159" s="25"/>
      <c r="F159" s="25"/>
      <c r="G159" s="25"/>
      <c r="H159" s="2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s="257" customFormat="1" ht="15.75">
      <c r="A160" s="15"/>
      <c r="B160" s="15"/>
      <c r="C160" s="15"/>
      <c r="D160" s="15"/>
      <c r="E160" s="25"/>
      <c r="F160" s="25"/>
      <c r="G160" s="25"/>
      <c r="H160" s="2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s="257" customFormat="1" ht="15.75">
      <c r="A161" s="15"/>
      <c r="B161" s="15"/>
      <c r="C161" s="15"/>
      <c r="D161" s="15"/>
      <c r="E161" s="25"/>
      <c r="F161" s="25"/>
      <c r="G161" s="25"/>
      <c r="H161" s="2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s="257" customFormat="1" ht="15.75">
      <c r="A162" s="15"/>
      <c r="B162" s="15"/>
      <c r="C162" s="15"/>
      <c r="D162" s="15"/>
      <c r="E162" s="25"/>
      <c r="F162" s="25"/>
      <c r="G162" s="25"/>
      <c r="H162" s="2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s="257" customFormat="1" ht="15.75">
      <c r="A163" s="15"/>
      <c r="B163" s="15"/>
      <c r="C163" s="15"/>
      <c r="D163" s="15"/>
      <c r="E163" s="25"/>
      <c r="F163" s="25"/>
      <c r="G163" s="25"/>
      <c r="H163" s="2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s="257" customFormat="1" ht="15.75">
      <c r="A164" s="15"/>
      <c r="B164" s="15"/>
      <c r="C164" s="15"/>
      <c r="D164" s="15"/>
      <c r="E164" s="25"/>
      <c r="F164" s="25"/>
      <c r="G164" s="25"/>
      <c r="H164" s="2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s="257" customFormat="1" ht="15.75">
      <c r="A165" s="15"/>
      <c r="B165" s="15"/>
      <c r="C165" s="15"/>
      <c r="D165" s="15"/>
      <c r="E165" s="25"/>
      <c r="F165" s="25"/>
      <c r="G165" s="25"/>
      <c r="H165" s="2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s="257" customFormat="1" ht="15.75">
      <c r="A166" s="15"/>
      <c r="B166" s="15"/>
      <c r="C166" s="15"/>
      <c r="D166" s="15"/>
      <c r="E166" s="25"/>
      <c r="F166" s="25"/>
      <c r="G166" s="25"/>
      <c r="H166" s="2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s="257" customFormat="1" ht="15.75">
      <c r="A167" s="15"/>
      <c r="B167" s="15"/>
      <c r="C167" s="15"/>
      <c r="D167" s="15"/>
      <c r="E167" s="25"/>
      <c r="F167" s="25"/>
      <c r="G167" s="25"/>
      <c r="H167" s="2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s="257" customFormat="1" ht="15.75">
      <c r="A168" s="15"/>
      <c r="B168" s="15"/>
      <c r="C168" s="15"/>
      <c r="D168" s="15"/>
      <c r="E168" s="25"/>
      <c r="F168" s="25"/>
      <c r="G168" s="25"/>
      <c r="H168" s="2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s="257" customFormat="1" ht="15.75">
      <c r="A169" s="15"/>
      <c r="B169" s="15"/>
      <c r="C169" s="15"/>
      <c r="D169" s="15"/>
      <c r="E169" s="25"/>
      <c r="F169" s="25"/>
      <c r="G169" s="25"/>
      <c r="H169" s="2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s="257" customFormat="1" ht="31.5" customHeight="1">
      <c r="A170" s="865" t="s">
        <v>194</v>
      </c>
      <c r="B170" s="865"/>
      <c r="C170" s="865"/>
      <c r="D170" s="865"/>
      <c r="E170" s="865"/>
      <c r="F170" s="16"/>
      <c r="G170" s="16"/>
      <c r="H170" s="16"/>
      <c r="I170" s="4"/>
      <c r="J170" s="4"/>
      <c r="K170" s="4"/>
      <c r="L170" s="2"/>
      <c r="M170" s="2"/>
      <c r="N170" s="2"/>
      <c r="O170" s="2"/>
      <c r="P170" s="2"/>
      <c r="Q170" s="2"/>
      <c r="R170" s="2"/>
      <c r="S170" s="2"/>
      <c r="T170" s="2"/>
      <c r="U170" s="799"/>
      <c r="V170" s="799"/>
      <c r="W170" s="4"/>
    </row>
    <row r="171" spans="1:23" s="257" customFormat="1" ht="15.75">
      <c r="A171" s="798" t="s">
        <v>4</v>
      </c>
      <c r="B171" s="798"/>
      <c r="C171" s="798"/>
      <c r="D171" s="798"/>
      <c r="E171" s="798"/>
      <c r="F171" s="16"/>
      <c r="G171" s="16"/>
      <c r="H171" s="16"/>
      <c r="I171" s="4"/>
      <c r="J171" s="4"/>
      <c r="K171" s="4"/>
      <c r="L171" s="4"/>
      <c r="M171" s="4"/>
      <c r="N171" s="4"/>
      <c r="O171" s="4"/>
      <c r="P171" s="4"/>
      <c r="Q171" s="4"/>
      <c r="R171" s="675"/>
      <c r="S171" s="675"/>
      <c r="T171" s="4"/>
      <c r="U171" s="827"/>
      <c r="V171" s="827"/>
      <c r="W171" s="4"/>
    </row>
    <row r="172" spans="1:23" s="257" customFormat="1" ht="15.75">
      <c r="A172" s="866" t="s">
        <v>6</v>
      </c>
      <c r="B172" s="866"/>
      <c r="C172" s="866"/>
      <c r="D172" s="866"/>
      <c r="E172" s="866"/>
      <c r="F172" s="16"/>
      <c r="G172" s="16"/>
      <c r="H172" s="1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795"/>
      <c r="V172" s="795"/>
      <c r="W172" s="4"/>
    </row>
    <row r="173" spans="1:23" s="257" customFormat="1" ht="20.25">
      <c r="A173" s="867" t="s">
        <v>195</v>
      </c>
      <c r="B173" s="867"/>
      <c r="C173" s="867"/>
      <c r="D173" s="867"/>
      <c r="E173" s="867"/>
      <c r="F173" s="867"/>
      <c r="G173" s="867"/>
      <c r="H173" s="867"/>
      <c r="I173" s="867"/>
      <c r="J173" s="867"/>
      <c r="K173" s="867"/>
      <c r="L173" s="867"/>
      <c r="M173" s="867"/>
      <c r="N173" s="867"/>
      <c r="O173" s="867"/>
      <c r="P173" s="867"/>
      <c r="Q173" s="867"/>
      <c r="R173" s="867"/>
      <c r="S173" s="867"/>
      <c r="T173" s="867"/>
      <c r="U173" s="867"/>
      <c r="V173" s="867"/>
      <c r="W173" s="867"/>
    </row>
    <row r="174" spans="1:23" s="257" customFormat="1" ht="24.75" customHeight="1">
      <c r="A174" s="868" t="str">
        <f>A59</f>
        <v xml:space="preserve">ថ្ងៃ ១៦-៣១ ខែ ០១ ឆ្នាំ ២០២៦ </v>
      </c>
      <c r="B174" s="868"/>
      <c r="C174" s="868"/>
      <c r="D174" s="868"/>
      <c r="E174" s="868"/>
      <c r="F174" s="868"/>
      <c r="G174" s="868"/>
      <c r="H174" s="868"/>
      <c r="I174" s="868"/>
      <c r="J174" s="868"/>
      <c r="K174" s="868"/>
      <c r="L174" s="868"/>
      <c r="M174" s="868"/>
      <c r="N174" s="868"/>
      <c r="O174" s="868"/>
      <c r="P174" s="868"/>
      <c r="Q174" s="868"/>
      <c r="R174" s="868"/>
      <c r="S174" s="868"/>
      <c r="T174" s="868"/>
      <c r="U174" s="868"/>
      <c r="V174" s="868"/>
      <c r="W174" s="868"/>
    </row>
    <row r="175" spans="1:23" s="257" customFormat="1" ht="18.75">
      <c r="A175" s="787" t="s">
        <v>347</v>
      </c>
      <c r="B175" s="787"/>
      <c r="C175" s="787"/>
      <c r="D175" s="787"/>
      <c r="E175" s="787"/>
      <c r="F175" s="787"/>
      <c r="G175" s="787"/>
      <c r="H175" s="787"/>
      <c r="I175" s="787"/>
      <c r="J175" s="787"/>
      <c r="K175" s="787"/>
      <c r="L175" s="787"/>
      <c r="M175" s="787"/>
      <c r="N175" s="787"/>
      <c r="O175" s="787"/>
      <c r="P175" s="787"/>
      <c r="Q175" s="787"/>
      <c r="R175" s="787"/>
      <c r="S175" s="787"/>
      <c r="T175" s="787"/>
      <c r="U175" s="787"/>
      <c r="V175" s="787"/>
      <c r="W175" s="787"/>
    </row>
    <row r="176" spans="1:23" s="257" customFormat="1" ht="15.75">
      <c r="A176" s="799" t="str">
        <f>A61</f>
        <v>NGÀY​​​​ 16 ĐẾN 31 THÁNG 01 NĂM 2026</v>
      </c>
      <c r="B176" s="799"/>
      <c r="C176" s="799"/>
      <c r="D176" s="799"/>
      <c r="E176" s="799"/>
      <c r="F176" s="799"/>
      <c r="G176" s="799"/>
      <c r="H176" s="799"/>
      <c r="I176" s="799"/>
      <c r="J176" s="799"/>
      <c r="K176" s="799"/>
      <c r="L176" s="799"/>
      <c r="M176" s="799"/>
      <c r="N176" s="799"/>
      <c r="O176" s="799"/>
      <c r="P176" s="799"/>
      <c r="Q176" s="799"/>
      <c r="R176" s="799"/>
      <c r="S176" s="799"/>
      <c r="T176" s="799"/>
      <c r="U176" s="799"/>
      <c r="V176" s="799"/>
      <c r="W176" s="799"/>
    </row>
    <row r="177" spans="1:27" s="257" customFormat="1" ht="16.5" thickBot="1">
      <c r="A177" s="622"/>
      <c r="B177" s="623"/>
      <c r="C177" s="623"/>
      <c r="D177" s="623"/>
      <c r="E177" s="826"/>
      <c r="F177" s="826"/>
      <c r="G177" s="826"/>
      <c r="H177" s="826"/>
      <c r="I177" s="826"/>
      <c r="J177" s="826"/>
      <c r="K177" s="826"/>
      <c r="L177" s="826"/>
      <c r="M177" s="826"/>
      <c r="N177" s="826"/>
      <c r="O177" s="826"/>
      <c r="P177" s="826"/>
      <c r="Q177" s="826"/>
      <c r="R177" s="826"/>
      <c r="S177" s="826"/>
      <c r="T177" s="826"/>
      <c r="U177" s="622"/>
      <c r="V177" s="622"/>
      <c r="W177" s="4"/>
    </row>
    <row r="178" spans="1:27" ht="56.25" customHeight="1" thickTop="1">
      <c r="A178" s="676" t="s">
        <v>176</v>
      </c>
      <c r="B178" s="869" t="s">
        <v>197</v>
      </c>
      <c r="C178" s="869"/>
      <c r="D178" s="677" t="s">
        <v>198</v>
      </c>
      <c r="E178" s="678">
        <f t="shared" ref="E178:T178" si="31">E63</f>
        <v>16</v>
      </c>
      <c r="F178" s="678">
        <f t="shared" si="31"/>
        <v>17</v>
      </c>
      <c r="G178" s="678">
        <f t="shared" si="31"/>
        <v>18</v>
      </c>
      <c r="H178" s="678">
        <f t="shared" si="31"/>
        <v>19</v>
      </c>
      <c r="I178" s="678">
        <f t="shared" si="31"/>
        <v>20</v>
      </c>
      <c r="J178" s="678">
        <f t="shared" si="31"/>
        <v>21</v>
      </c>
      <c r="K178" s="678">
        <f t="shared" si="31"/>
        <v>22</v>
      </c>
      <c r="L178" s="678">
        <f t="shared" si="31"/>
        <v>23</v>
      </c>
      <c r="M178" s="678">
        <f t="shared" si="31"/>
        <v>24</v>
      </c>
      <c r="N178" s="678">
        <f t="shared" si="31"/>
        <v>25</v>
      </c>
      <c r="O178" s="678">
        <f t="shared" si="31"/>
        <v>26</v>
      </c>
      <c r="P178" s="678">
        <f t="shared" si="31"/>
        <v>27</v>
      </c>
      <c r="Q178" s="678">
        <f t="shared" si="31"/>
        <v>28</v>
      </c>
      <c r="R178" s="678">
        <f t="shared" si="31"/>
        <v>29</v>
      </c>
      <c r="S178" s="678">
        <f t="shared" si="31"/>
        <v>30</v>
      </c>
      <c r="T178" s="678">
        <f t="shared" si="31"/>
        <v>31</v>
      </c>
      <c r="U178" s="679" t="s">
        <v>275</v>
      </c>
      <c r="V178" s="679" t="s">
        <v>207</v>
      </c>
      <c r="W178" s="680" t="s">
        <v>208</v>
      </c>
      <c r="X178" s="311">
        <v>2402</v>
      </c>
      <c r="Y178" s="245" t="e">
        <f>X178+#REF!</f>
        <v>#REF!</v>
      </c>
      <c r="Z178" s="264"/>
      <c r="AA178" s="264"/>
    </row>
    <row r="179" spans="1:27" ht="30">
      <c r="A179" s="681">
        <v>1</v>
      </c>
      <c r="B179" s="710" t="s">
        <v>68</v>
      </c>
      <c r="C179" s="711" t="s">
        <v>69</v>
      </c>
      <c r="D179" s="654" t="s">
        <v>206</v>
      </c>
      <c r="E179" s="626"/>
      <c r="F179" s="626"/>
      <c r="G179" s="626"/>
      <c r="H179" s="626"/>
      <c r="I179" s="625">
        <v>1749</v>
      </c>
      <c r="J179" s="625">
        <v>2247</v>
      </c>
      <c r="K179" s="625">
        <v>1855</v>
      </c>
      <c r="L179" s="625">
        <v>1773</v>
      </c>
      <c r="M179" s="625">
        <v>1890</v>
      </c>
      <c r="N179" s="627"/>
      <c r="O179" s="627"/>
      <c r="P179" s="627"/>
      <c r="Q179" s="627"/>
      <c r="R179" s="627"/>
      <c r="S179" s="627"/>
      <c r="T179" s="627"/>
      <c r="U179" s="682">
        <f>ROUND(V179/1000,3)</f>
        <v>9.5139999999999993</v>
      </c>
      <c r="V179" s="683">
        <f t="shared" ref="V179:V200" si="32">SUM(E179:T179)</f>
        <v>9514</v>
      </c>
      <c r="W179" s="684"/>
      <c r="X179" s="311"/>
      <c r="Y179" s="245"/>
      <c r="Z179" s="279">
        <f>ROUND(U179*15%,2)</f>
        <v>1.43</v>
      </c>
      <c r="AA179" s="279">
        <f>ROUND((U179+Z179),2)</f>
        <v>10.94</v>
      </c>
    </row>
    <row r="180" spans="1:27" ht="21.95" customHeight="1">
      <c r="A180" s="681">
        <f>+A179+1</f>
        <v>2</v>
      </c>
      <c r="B180" s="545" t="s">
        <v>70</v>
      </c>
      <c r="C180" s="566" t="s">
        <v>71</v>
      </c>
      <c r="D180" s="654" t="s">
        <v>206</v>
      </c>
      <c r="E180" s="626"/>
      <c r="F180" s="626"/>
      <c r="G180" s="626"/>
      <c r="H180" s="626"/>
      <c r="I180" s="625">
        <v>1748</v>
      </c>
      <c r="J180" s="625">
        <v>2247</v>
      </c>
      <c r="K180" s="625">
        <v>1855</v>
      </c>
      <c r="L180" s="625">
        <v>1774</v>
      </c>
      <c r="M180" s="625">
        <v>1890</v>
      </c>
      <c r="N180" s="627"/>
      <c r="O180" s="627"/>
      <c r="P180" s="627"/>
      <c r="Q180" s="627"/>
      <c r="R180" s="627"/>
      <c r="S180" s="627"/>
      <c r="T180" s="627"/>
      <c r="U180" s="682">
        <f t="shared" ref="U180:U198" si="33">ROUND(V180/1000,3)</f>
        <v>9.5139999999999993</v>
      </c>
      <c r="V180" s="683">
        <f t="shared" si="32"/>
        <v>9514</v>
      </c>
      <c r="W180" s="684"/>
      <c r="X180" s="311">
        <v>2402</v>
      </c>
      <c r="Y180" s="245" t="e">
        <f>X180+#REF!</f>
        <v>#REF!</v>
      </c>
      <c r="Z180" s="279"/>
      <c r="AA180" s="264"/>
    </row>
    <row r="181" spans="1:27" ht="21.95" customHeight="1">
      <c r="A181" s="681">
        <f>+A180+1</f>
        <v>3</v>
      </c>
      <c r="B181" s="545" t="s">
        <v>74</v>
      </c>
      <c r="C181" s="712" t="s">
        <v>75</v>
      </c>
      <c r="D181" s="654" t="s">
        <v>206</v>
      </c>
      <c r="E181" s="626"/>
      <c r="F181" s="626"/>
      <c r="G181" s="626"/>
      <c r="H181" s="626"/>
      <c r="I181" s="625">
        <v>1748</v>
      </c>
      <c r="J181" s="625">
        <v>2247</v>
      </c>
      <c r="K181" s="625">
        <v>1855</v>
      </c>
      <c r="L181" s="625">
        <v>1774</v>
      </c>
      <c r="M181" s="658" t="s">
        <v>202</v>
      </c>
      <c r="N181" s="627"/>
      <c r="O181" s="627"/>
      <c r="P181" s="627"/>
      <c r="Q181" s="627"/>
      <c r="R181" s="627"/>
      <c r="S181" s="627"/>
      <c r="T181" s="627"/>
      <c r="U181" s="682">
        <f t="shared" si="33"/>
        <v>7.6239999999999997</v>
      </c>
      <c r="V181" s="683">
        <f t="shared" si="32"/>
        <v>7624</v>
      </c>
      <c r="W181" s="684"/>
      <c r="X181" s="311">
        <v>2402</v>
      </c>
      <c r="Y181" s="245" t="e">
        <f>X181+#REF!</f>
        <v>#REF!</v>
      </c>
      <c r="Z181" s="264"/>
      <c r="AA181" s="264"/>
    </row>
    <row r="182" spans="1:27" ht="21.95" customHeight="1">
      <c r="A182" s="681">
        <f>+A181+1</f>
        <v>4</v>
      </c>
      <c r="B182" s="545" t="s">
        <v>76</v>
      </c>
      <c r="C182" s="713" t="s">
        <v>77</v>
      </c>
      <c r="D182" s="654" t="s">
        <v>206</v>
      </c>
      <c r="E182" s="626"/>
      <c r="F182" s="626"/>
      <c r="G182" s="626"/>
      <c r="H182" s="626"/>
      <c r="I182" s="625">
        <v>1748</v>
      </c>
      <c r="J182" s="625">
        <v>2247</v>
      </c>
      <c r="K182" s="625">
        <v>1855</v>
      </c>
      <c r="L182" s="625">
        <v>1774</v>
      </c>
      <c r="M182" s="625">
        <v>1890</v>
      </c>
      <c r="N182" s="627"/>
      <c r="O182" s="627"/>
      <c r="P182" s="627"/>
      <c r="Q182" s="627"/>
      <c r="R182" s="627"/>
      <c r="S182" s="627"/>
      <c r="T182" s="627"/>
      <c r="U182" s="682">
        <f t="shared" si="33"/>
        <v>9.5139999999999993</v>
      </c>
      <c r="V182" s="683">
        <f t="shared" si="32"/>
        <v>9514</v>
      </c>
      <c r="W182" s="684"/>
      <c r="X182" s="311">
        <v>2402</v>
      </c>
      <c r="Y182" s="245" t="e">
        <f>X182+#REF!</f>
        <v>#REF!</v>
      </c>
      <c r="Z182" s="264"/>
      <c r="AA182" s="264"/>
    </row>
    <row r="183" spans="1:27" ht="21.95" customHeight="1">
      <c r="A183" s="681">
        <f>+A182+1</f>
        <v>5</v>
      </c>
      <c r="B183" s="545" t="s">
        <v>78</v>
      </c>
      <c r="C183" s="714" t="s">
        <v>79</v>
      </c>
      <c r="D183" s="654" t="s">
        <v>206</v>
      </c>
      <c r="E183" s="626"/>
      <c r="F183" s="626"/>
      <c r="G183" s="626"/>
      <c r="H183" s="626"/>
      <c r="I183" s="625">
        <v>1748</v>
      </c>
      <c r="J183" s="658" t="s">
        <v>202</v>
      </c>
      <c r="K183" s="625">
        <v>1855</v>
      </c>
      <c r="L183" s="625">
        <v>1774</v>
      </c>
      <c r="M183" s="625">
        <v>1890</v>
      </c>
      <c r="N183" s="627"/>
      <c r="O183" s="627"/>
      <c r="P183" s="627"/>
      <c r="Q183" s="627"/>
      <c r="R183" s="627"/>
      <c r="S183" s="627"/>
      <c r="T183" s="627"/>
      <c r="U183" s="682">
        <f t="shared" si="33"/>
        <v>7.2670000000000003</v>
      </c>
      <c r="V183" s="683">
        <f t="shared" si="32"/>
        <v>7267</v>
      </c>
      <c r="W183" s="684"/>
      <c r="X183" s="311">
        <v>2402</v>
      </c>
      <c r="Y183" s="245" t="e">
        <f>X183+#REF!</f>
        <v>#REF!</v>
      </c>
      <c r="Z183" s="264"/>
      <c r="AA183" s="264"/>
    </row>
    <row r="184" spans="1:27" ht="18.75">
      <c r="A184" s="681">
        <f t="shared" ref="A184:A200" si="34">A183+1</f>
        <v>6</v>
      </c>
      <c r="B184" s="545" t="s">
        <v>80</v>
      </c>
      <c r="C184" s="714" t="s">
        <v>81</v>
      </c>
      <c r="D184" s="654" t="s">
        <v>206</v>
      </c>
      <c r="E184" s="626"/>
      <c r="F184" s="626"/>
      <c r="G184" s="626"/>
      <c r="H184" s="626"/>
      <c r="I184" s="625">
        <v>1748</v>
      </c>
      <c r="J184" s="658" t="s">
        <v>202</v>
      </c>
      <c r="K184" s="625">
        <v>1855</v>
      </c>
      <c r="L184" s="625">
        <v>1774</v>
      </c>
      <c r="M184" s="625">
        <v>1890</v>
      </c>
      <c r="N184" s="627"/>
      <c r="O184" s="627"/>
      <c r="P184" s="627"/>
      <c r="Q184" s="627"/>
      <c r="R184" s="627"/>
      <c r="S184" s="627"/>
      <c r="T184" s="627"/>
      <c r="U184" s="682">
        <f t="shared" si="33"/>
        <v>7.2670000000000003</v>
      </c>
      <c r="V184" s="683">
        <f t="shared" si="32"/>
        <v>7267</v>
      </c>
      <c r="W184" s="684"/>
      <c r="X184" s="540">
        <v>0</v>
      </c>
      <c r="Y184" s="245" t="e">
        <f>X184+#REF!</f>
        <v>#REF!</v>
      </c>
      <c r="Z184" s="264"/>
      <c r="AA184" s="264"/>
    </row>
    <row r="185" spans="1:27" ht="21.95" customHeight="1">
      <c r="A185" s="681">
        <f t="shared" si="34"/>
        <v>7</v>
      </c>
      <c r="B185" s="545" t="s">
        <v>82</v>
      </c>
      <c r="C185" s="714" t="s">
        <v>83</v>
      </c>
      <c r="D185" s="654" t="s">
        <v>206</v>
      </c>
      <c r="E185" s="626"/>
      <c r="F185" s="626"/>
      <c r="G185" s="626"/>
      <c r="H185" s="626"/>
      <c r="I185" s="625">
        <v>1748</v>
      </c>
      <c r="J185" s="625">
        <v>2247</v>
      </c>
      <c r="K185" s="625">
        <v>1855</v>
      </c>
      <c r="L185" s="625">
        <v>1774</v>
      </c>
      <c r="M185" s="625">
        <v>1890</v>
      </c>
      <c r="N185" s="627"/>
      <c r="O185" s="627"/>
      <c r="P185" s="627"/>
      <c r="Q185" s="627"/>
      <c r="R185" s="627"/>
      <c r="S185" s="627"/>
      <c r="T185" s="627"/>
      <c r="U185" s="682">
        <f t="shared" si="33"/>
        <v>9.5139999999999993</v>
      </c>
      <c r="V185" s="683">
        <f t="shared" si="32"/>
        <v>9514</v>
      </c>
      <c r="W185" s="684"/>
      <c r="X185" s="311">
        <v>2401</v>
      </c>
      <c r="Y185" s="245" t="e">
        <f>X185+#REF!</f>
        <v>#REF!</v>
      </c>
      <c r="Z185" s="264"/>
      <c r="AA185" s="264"/>
    </row>
    <row r="186" spans="1:27" ht="21.95" customHeight="1">
      <c r="A186" s="681">
        <f t="shared" si="34"/>
        <v>8</v>
      </c>
      <c r="B186" s="715" t="s">
        <v>84</v>
      </c>
      <c r="C186" s="716" t="s">
        <v>85</v>
      </c>
      <c r="D186" s="654" t="s">
        <v>206</v>
      </c>
      <c r="E186" s="626"/>
      <c r="F186" s="626"/>
      <c r="G186" s="626"/>
      <c r="H186" s="626"/>
      <c r="I186" s="658" t="s">
        <v>202</v>
      </c>
      <c r="J186" s="658" t="s">
        <v>202</v>
      </c>
      <c r="K186" s="625">
        <v>1855</v>
      </c>
      <c r="L186" s="658" t="s">
        <v>202</v>
      </c>
      <c r="M186" s="658" t="s">
        <v>202</v>
      </c>
      <c r="N186" s="627"/>
      <c r="O186" s="627"/>
      <c r="P186" s="627"/>
      <c r="Q186" s="627"/>
      <c r="R186" s="627"/>
      <c r="S186" s="627"/>
      <c r="T186" s="627"/>
      <c r="U186" s="682">
        <f t="shared" si="33"/>
        <v>1.855</v>
      </c>
      <c r="V186" s="683">
        <f t="shared" si="32"/>
        <v>1855</v>
      </c>
      <c r="W186" s="684"/>
      <c r="X186" s="311">
        <v>2401</v>
      </c>
      <c r="Y186" s="245" t="e">
        <f>X186+#REF!</f>
        <v>#REF!</v>
      </c>
      <c r="Z186" s="264"/>
      <c r="AA186" s="264"/>
    </row>
    <row r="187" spans="1:27" ht="21.95" customHeight="1">
      <c r="A187" s="681">
        <f t="shared" si="34"/>
        <v>9</v>
      </c>
      <c r="B187" s="717" t="s">
        <v>86</v>
      </c>
      <c r="C187" s="718" t="s">
        <v>87</v>
      </c>
      <c r="D187" s="654" t="s">
        <v>206</v>
      </c>
      <c r="E187" s="626"/>
      <c r="F187" s="626"/>
      <c r="G187" s="626"/>
      <c r="H187" s="626"/>
      <c r="I187" s="625">
        <v>1748</v>
      </c>
      <c r="J187" s="625">
        <v>2247</v>
      </c>
      <c r="K187" s="658" t="s">
        <v>202</v>
      </c>
      <c r="L187" s="625">
        <v>1773</v>
      </c>
      <c r="M187" s="625">
        <v>1890</v>
      </c>
      <c r="N187" s="627"/>
      <c r="O187" s="627"/>
      <c r="P187" s="627"/>
      <c r="Q187" s="627"/>
      <c r="R187" s="627"/>
      <c r="S187" s="627"/>
      <c r="T187" s="627"/>
      <c r="U187" s="682">
        <f t="shared" si="33"/>
        <v>7.6580000000000004</v>
      </c>
      <c r="V187" s="683">
        <f t="shared" si="32"/>
        <v>7658</v>
      </c>
      <c r="W187" s="684"/>
      <c r="X187" s="311">
        <v>2401</v>
      </c>
      <c r="Y187" s="245" t="e">
        <f>X187+#REF!</f>
        <v>#REF!</v>
      </c>
      <c r="Z187" s="264"/>
      <c r="AA187" s="264"/>
    </row>
    <row r="188" spans="1:27" ht="21.95" customHeight="1">
      <c r="A188" s="681">
        <f t="shared" si="34"/>
        <v>10</v>
      </c>
      <c r="B188" s="717" t="s">
        <v>88</v>
      </c>
      <c r="C188" s="719" t="s">
        <v>89</v>
      </c>
      <c r="D188" s="654" t="s">
        <v>206</v>
      </c>
      <c r="E188" s="626"/>
      <c r="F188" s="626"/>
      <c r="G188" s="626"/>
      <c r="H188" s="626"/>
      <c r="I188" s="625">
        <v>1748</v>
      </c>
      <c r="J188" s="658" t="s">
        <v>202</v>
      </c>
      <c r="K188" s="625">
        <v>1855</v>
      </c>
      <c r="L188" s="625">
        <v>1773</v>
      </c>
      <c r="M188" s="625">
        <v>1890</v>
      </c>
      <c r="N188" s="627"/>
      <c r="O188" s="627"/>
      <c r="P188" s="627"/>
      <c r="Q188" s="627"/>
      <c r="R188" s="627"/>
      <c r="S188" s="627"/>
      <c r="T188" s="627"/>
      <c r="U188" s="682">
        <f t="shared" si="33"/>
        <v>7.266</v>
      </c>
      <c r="V188" s="683">
        <f t="shared" si="32"/>
        <v>7266</v>
      </c>
      <c r="W188" s="684"/>
      <c r="X188" s="286">
        <v>0</v>
      </c>
      <c r="Y188" s="245" t="e">
        <f>X188+#REF!</f>
        <v>#REF!</v>
      </c>
      <c r="Z188" s="264"/>
      <c r="AA188" s="264"/>
    </row>
    <row r="189" spans="1:27" ht="21.95" customHeight="1">
      <c r="A189" s="681">
        <f t="shared" si="34"/>
        <v>11</v>
      </c>
      <c r="B189" s="549" t="s">
        <v>90</v>
      </c>
      <c r="C189" s="566" t="s">
        <v>91</v>
      </c>
      <c r="D189" s="654" t="s">
        <v>206</v>
      </c>
      <c r="E189" s="626"/>
      <c r="F189" s="626"/>
      <c r="G189" s="626"/>
      <c r="H189" s="626"/>
      <c r="I189" s="625">
        <v>1748</v>
      </c>
      <c r="J189" s="625">
        <v>2247</v>
      </c>
      <c r="K189" s="625">
        <v>1855</v>
      </c>
      <c r="L189" s="625">
        <v>1773</v>
      </c>
      <c r="M189" s="625">
        <v>1890</v>
      </c>
      <c r="N189" s="627"/>
      <c r="O189" s="627"/>
      <c r="P189" s="627"/>
      <c r="Q189" s="627"/>
      <c r="R189" s="627"/>
      <c r="S189" s="627"/>
      <c r="T189" s="627"/>
      <c r="U189" s="682">
        <f t="shared" si="33"/>
        <v>9.5129999999999999</v>
      </c>
      <c r="V189" s="683">
        <f t="shared" si="32"/>
        <v>9513</v>
      </c>
      <c r="W189" s="684"/>
      <c r="X189" s="311">
        <v>2401</v>
      </c>
      <c r="Y189" s="245" t="e">
        <f>X189+#REF!</f>
        <v>#REF!</v>
      </c>
      <c r="Z189" s="264"/>
      <c r="AA189" s="264"/>
    </row>
    <row r="190" spans="1:27" ht="21.95" customHeight="1">
      <c r="A190" s="681">
        <f t="shared" si="34"/>
        <v>12</v>
      </c>
      <c r="B190" s="720" t="s">
        <v>92</v>
      </c>
      <c r="C190" s="721" t="s">
        <v>93</v>
      </c>
      <c r="D190" s="654" t="s">
        <v>206</v>
      </c>
      <c r="E190" s="626"/>
      <c r="F190" s="626"/>
      <c r="G190" s="626"/>
      <c r="H190" s="626"/>
      <c r="I190" s="625">
        <v>1748</v>
      </c>
      <c r="J190" s="625">
        <v>2247</v>
      </c>
      <c r="K190" s="658" t="s">
        <v>202</v>
      </c>
      <c r="L190" s="625">
        <v>1773</v>
      </c>
      <c r="M190" s="625">
        <v>1890</v>
      </c>
      <c r="N190" s="627"/>
      <c r="O190" s="627"/>
      <c r="P190" s="627"/>
      <c r="Q190" s="627"/>
      <c r="R190" s="627"/>
      <c r="S190" s="627"/>
      <c r="T190" s="627"/>
      <c r="U190" s="682">
        <f t="shared" si="33"/>
        <v>7.6580000000000004</v>
      </c>
      <c r="V190" s="683">
        <f t="shared" si="32"/>
        <v>7658</v>
      </c>
      <c r="W190" s="684"/>
      <c r="X190" s="311">
        <v>2401</v>
      </c>
      <c r="Y190" s="245" t="e">
        <f>X190+#REF!</f>
        <v>#REF!</v>
      </c>
      <c r="Z190" s="264"/>
      <c r="AA190" s="264"/>
    </row>
    <row r="191" spans="1:27" ht="21.95" customHeight="1">
      <c r="A191" s="681">
        <f t="shared" si="34"/>
        <v>13</v>
      </c>
      <c r="B191" s="720" t="s">
        <v>94</v>
      </c>
      <c r="C191" s="722" t="s">
        <v>95</v>
      </c>
      <c r="D191" s="654" t="s">
        <v>206</v>
      </c>
      <c r="E191" s="626"/>
      <c r="F191" s="626"/>
      <c r="G191" s="626"/>
      <c r="H191" s="626"/>
      <c r="I191" s="625">
        <v>1748</v>
      </c>
      <c r="J191" s="658" t="s">
        <v>202</v>
      </c>
      <c r="K191" s="625">
        <v>1855</v>
      </c>
      <c r="L191" s="625">
        <v>1773</v>
      </c>
      <c r="M191" s="625">
        <v>1890</v>
      </c>
      <c r="N191" s="627"/>
      <c r="O191" s="627"/>
      <c r="P191" s="627"/>
      <c r="Q191" s="627"/>
      <c r="R191" s="627"/>
      <c r="S191" s="627"/>
      <c r="T191" s="627"/>
      <c r="U191" s="682">
        <f>ROUND(V191/1000,3)</f>
        <v>7.266</v>
      </c>
      <c r="V191" s="683">
        <f t="shared" si="32"/>
        <v>7266</v>
      </c>
      <c r="W191" s="684"/>
      <c r="X191" s="311"/>
      <c r="Y191" s="245"/>
      <c r="Z191" s="264"/>
      <c r="AA191" s="264"/>
    </row>
    <row r="192" spans="1:27" ht="21.95" customHeight="1">
      <c r="A192" s="681">
        <f t="shared" si="34"/>
        <v>14</v>
      </c>
      <c r="B192" s="720" t="s">
        <v>96</v>
      </c>
      <c r="C192" s="722" t="s">
        <v>97</v>
      </c>
      <c r="D192" s="654" t="s">
        <v>206</v>
      </c>
      <c r="E192" s="626"/>
      <c r="F192" s="626"/>
      <c r="G192" s="626"/>
      <c r="H192" s="626"/>
      <c r="I192" s="625">
        <v>1748</v>
      </c>
      <c r="J192" s="625">
        <v>2247</v>
      </c>
      <c r="K192" s="625">
        <v>1855</v>
      </c>
      <c r="L192" s="625">
        <v>1773</v>
      </c>
      <c r="M192" s="625">
        <v>1890</v>
      </c>
      <c r="N192" s="627"/>
      <c r="O192" s="627"/>
      <c r="P192" s="627"/>
      <c r="Q192" s="627"/>
      <c r="R192" s="627"/>
      <c r="S192" s="627"/>
      <c r="T192" s="627"/>
      <c r="U192" s="682">
        <f t="shared" si="33"/>
        <v>9.5129999999999999</v>
      </c>
      <c r="V192" s="683">
        <f t="shared" si="32"/>
        <v>9513</v>
      </c>
      <c r="W192" s="684"/>
      <c r="X192" s="311">
        <v>2401</v>
      </c>
      <c r="Y192" s="245" t="e">
        <f>X192+#REF!</f>
        <v>#REF!</v>
      </c>
      <c r="Z192" s="264"/>
      <c r="AA192" s="264"/>
    </row>
    <row r="193" spans="1:27" ht="21.95" customHeight="1">
      <c r="A193" s="681">
        <f t="shared" si="34"/>
        <v>15</v>
      </c>
      <c r="B193" s="720" t="s">
        <v>98</v>
      </c>
      <c r="C193" s="723" t="s">
        <v>99</v>
      </c>
      <c r="D193" s="654" t="s">
        <v>206</v>
      </c>
      <c r="E193" s="626"/>
      <c r="F193" s="626"/>
      <c r="G193" s="626"/>
      <c r="H193" s="626"/>
      <c r="I193" s="658" t="s">
        <v>202</v>
      </c>
      <c r="J193" s="658" t="s">
        <v>202</v>
      </c>
      <c r="K193" s="625">
        <v>1855</v>
      </c>
      <c r="L193" s="625">
        <v>887</v>
      </c>
      <c r="M193" s="625">
        <v>1890</v>
      </c>
      <c r="N193" s="627"/>
      <c r="O193" s="627"/>
      <c r="P193" s="627"/>
      <c r="Q193" s="627"/>
      <c r="R193" s="627"/>
      <c r="S193" s="627"/>
      <c r="T193" s="627"/>
      <c r="U193" s="682">
        <f>ROUND(V193/1000,3)</f>
        <v>4.6319999999999997</v>
      </c>
      <c r="V193" s="683">
        <f t="shared" si="32"/>
        <v>4632</v>
      </c>
      <c r="W193" s="684"/>
      <c r="X193" s="288"/>
      <c r="Y193" s="245"/>
      <c r="Z193" s="264"/>
      <c r="AA193" s="264"/>
    </row>
    <row r="194" spans="1:27" ht="21.95" customHeight="1">
      <c r="A194" s="681">
        <f t="shared" si="34"/>
        <v>16</v>
      </c>
      <c r="B194" s="720" t="s">
        <v>100</v>
      </c>
      <c r="C194" s="723" t="s">
        <v>101</v>
      </c>
      <c r="D194" s="654" t="s">
        <v>206</v>
      </c>
      <c r="E194" s="626"/>
      <c r="F194" s="626"/>
      <c r="G194" s="626"/>
      <c r="H194" s="626"/>
      <c r="I194" s="625">
        <v>1748</v>
      </c>
      <c r="J194" s="625">
        <v>2247</v>
      </c>
      <c r="K194" s="625">
        <v>1855</v>
      </c>
      <c r="L194" s="625">
        <v>1773</v>
      </c>
      <c r="M194" s="625">
        <v>1890</v>
      </c>
      <c r="N194" s="627"/>
      <c r="O194" s="627"/>
      <c r="P194" s="627"/>
      <c r="Q194" s="627"/>
      <c r="R194" s="627"/>
      <c r="S194" s="627"/>
      <c r="T194" s="627"/>
      <c r="U194" s="682">
        <f>ROUND(V194/1000,3)</f>
        <v>9.5129999999999999</v>
      </c>
      <c r="V194" s="683">
        <f t="shared" si="32"/>
        <v>9513</v>
      </c>
      <c r="W194" s="684"/>
      <c r="X194" s="288"/>
      <c r="Y194" s="245"/>
      <c r="Z194" s="264"/>
      <c r="AA194" s="264"/>
    </row>
    <row r="195" spans="1:27" ht="21.95" customHeight="1">
      <c r="A195" s="681">
        <f t="shared" si="34"/>
        <v>17</v>
      </c>
      <c r="B195" s="720" t="s">
        <v>102</v>
      </c>
      <c r="C195" s="723" t="s">
        <v>103</v>
      </c>
      <c r="D195" s="654" t="s">
        <v>206</v>
      </c>
      <c r="E195" s="626"/>
      <c r="F195" s="626"/>
      <c r="G195" s="626"/>
      <c r="H195" s="626"/>
      <c r="I195" s="658" t="s">
        <v>202</v>
      </c>
      <c r="J195" s="625">
        <v>2247</v>
      </c>
      <c r="K195" s="625">
        <v>1855</v>
      </c>
      <c r="L195" s="625">
        <v>1773</v>
      </c>
      <c r="M195" s="625">
        <v>1890</v>
      </c>
      <c r="N195" s="627"/>
      <c r="O195" s="627"/>
      <c r="P195" s="627"/>
      <c r="Q195" s="627"/>
      <c r="R195" s="627"/>
      <c r="S195" s="627"/>
      <c r="T195" s="627"/>
      <c r="U195" s="682">
        <f t="shared" si="33"/>
        <v>7.7649999999999997</v>
      </c>
      <c r="V195" s="683">
        <f t="shared" si="32"/>
        <v>7765</v>
      </c>
      <c r="W195" s="684"/>
      <c r="X195" s="286">
        <v>0</v>
      </c>
      <c r="Y195" s="245" t="e">
        <f>X195+#REF!</f>
        <v>#REF!</v>
      </c>
      <c r="Z195" s="264"/>
      <c r="AA195" s="264"/>
    </row>
    <row r="196" spans="1:27" ht="21.95" customHeight="1">
      <c r="A196" s="681">
        <f t="shared" si="34"/>
        <v>18</v>
      </c>
      <c r="B196" s="720" t="s">
        <v>104</v>
      </c>
      <c r="C196" s="724" t="s">
        <v>105</v>
      </c>
      <c r="D196" s="654" t="s">
        <v>206</v>
      </c>
      <c r="E196" s="626"/>
      <c r="F196" s="626"/>
      <c r="G196" s="626"/>
      <c r="H196" s="626"/>
      <c r="I196" s="658" t="s">
        <v>202</v>
      </c>
      <c r="J196" s="625">
        <v>2247</v>
      </c>
      <c r="K196" s="625">
        <v>1855</v>
      </c>
      <c r="L196" s="625">
        <v>1773</v>
      </c>
      <c r="M196" s="625">
        <v>1890</v>
      </c>
      <c r="N196" s="627"/>
      <c r="O196" s="627"/>
      <c r="P196" s="627"/>
      <c r="Q196" s="627"/>
      <c r="R196" s="627"/>
      <c r="S196" s="627"/>
      <c r="T196" s="627"/>
      <c r="U196" s="682">
        <f t="shared" si="33"/>
        <v>7.7649999999999997</v>
      </c>
      <c r="V196" s="683">
        <f t="shared" si="32"/>
        <v>7765</v>
      </c>
      <c r="W196" s="684"/>
      <c r="X196" s="286">
        <v>0</v>
      </c>
      <c r="Y196" s="245" t="e">
        <f>X196+#REF!</f>
        <v>#REF!</v>
      </c>
      <c r="Z196" s="264"/>
      <c r="AA196" s="264"/>
    </row>
    <row r="197" spans="1:27" ht="21.95" customHeight="1">
      <c r="A197" s="681">
        <f t="shared" si="34"/>
        <v>19</v>
      </c>
      <c r="B197" s="717" t="s">
        <v>219</v>
      </c>
      <c r="C197" s="724" t="s">
        <v>220</v>
      </c>
      <c r="D197" s="654" t="s">
        <v>206</v>
      </c>
      <c r="E197" s="626"/>
      <c r="F197" s="626"/>
      <c r="G197" s="626"/>
      <c r="H197" s="626"/>
      <c r="I197" s="625">
        <v>1748</v>
      </c>
      <c r="J197" s="625">
        <v>2247</v>
      </c>
      <c r="K197" s="625">
        <v>1855</v>
      </c>
      <c r="L197" s="625">
        <v>1773</v>
      </c>
      <c r="M197" s="625">
        <v>1890</v>
      </c>
      <c r="N197" s="627"/>
      <c r="O197" s="627"/>
      <c r="P197" s="627"/>
      <c r="Q197" s="627"/>
      <c r="R197" s="627"/>
      <c r="S197" s="627"/>
      <c r="T197" s="627"/>
      <c r="U197" s="682">
        <f t="shared" si="33"/>
        <v>9.5129999999999999</v>
      </c>
      <c r="V197" s="683">
        <f t="shared" si="32"/>
        <v>9513</v>
      </c>
      <c r="W197" s="684"/>
      <c r="X197" s="286"/>
      <c r="Y197" s="245"/>
      <c r="Z197" s="264"/>
      <c r="AA197" s="264"/>
    </row>
    <row r="198" spans="1:27" ht="21.95" customHeight="1">
      <c r="A198" s="681">
        <f t="shared" si="34"/>
        <v>20</v>
      </c>
      <c r="B198" s="725" t="s">
        <v>278</v>
      </c>
      <c r="C198" s="724" t="s">
        <v>279</v>
      </c>
      <c r="D198" s="654" t="s">
        <v>206</v>
      </c>
      <c r="E198" s="626"/>
      <c r="F198" s="626"/>
      <c r="G198" s="626"/>
      <c r="H198" s="626"/>
      <c r="I198" s="625">
        <v>1748</v>
      </c>
      <c r="J198" s="625">
        <v>2247</v>
      </c>
      <c r="K198" s="625">
        <v>1855</v>
      </c>
      <c r="L198" s="625">
        <v>1773</v>
      </c>
      <c r="M198" s="625">
        <v>1890</v>
      </c>
      <c r="N198" s="627"/>
      <c r="O198" s="627"/>
      <c r="P198" s="627"/>
      <c r="Q198" s="627"/>
      <c r="R198" s="627"/>
      <c r="S198" s="627"/>
      <c r="T198" s="627"/>
      <c r="U198" s="682">
        <f t="shared" si="33"/>
        <v>9.5129999999999999</v>
      </c>
      <c r="V198" s="683">
        <f t="shared" si="32"/>
        <v>9513</v>
      </c>
      <c r="W198" s="684"/>
      <c r="X198" s="286"/>
      <c r="Y198" s="245"/>
      <c r="Z198" s="264"/>
      <c r="AA198" s="264"/>
    </row>
    <row r="199" spans="1:27" ht="21.95" customHeight="1">
      <c r="A199" s="681">
        <f t="shared" si="34"/>
        <v>21</v>
      </c>
      <c r="B199" s="717" t="s">
        <v>280</v>
      </c>
      <c r="C199" s="724" t="s">
        <v>281</v>
      </c>
      <c r="D199" s="654" t="s">
        <v>206</v>
      </c>
      <c r="E199" s="626"/>
      <c r="F199" s="626"/>
      <c r="G199" s="626"/>
      <c r="H199" s="626"/>
      <c r="I199" s="625">
        <v>1748</v>
      </c>
      <c r="J199" s="625">
        <v>2247</v>
      </c>
      <c r="K199" s="625">
        <v>1855</v>
      </c>
      <c r="L199" s="658" t="s">
        <v>202</v>
      </c>
      <c r="M199" s="625">
        <v>1890</v>
      </c>
      <c r="N199" s="627"/>
      <c r="O199" s="627"/>
      <c r="P199" s="627"/>
      <c r="Q199" s="627"/>
      <c r="R199" s="627"/>
      <c r="S199" s="627"/>
      <c r="T199" s="627"/>
      <c r="U199" s="682">
        <f>ROUND(V199/1000,3)</f>
        <v>7.74</v>
      </c>
      <c r="V199" s="683">
        <f t="shared" si="32"/>
        <v>7740</v>
      </c>
      <c r="W199" s="684"/>
      <c r="X199" s="286"/>
      <c r="Y199" s="245"/>
      <c r="Z199" s="264"/>
      <c r="AA199" s="264"/>
    </row>
    <row r="200" spans="1:27" ht="21.95" customHeight="1">
      <c r="A200" s="681">
        <f t="shared" si="34"/>
        <v>22</v>
      </c>
      <c r="B200" s="710" t="s">
        <v>135</v>
      </c>
      <c r="C200" s="454" t="s">
        <v>136</v>
      </c>
      <c r="D200" s="654" t="s">
        <v>206</v>
      </c>
      <c r="E200" s="626"/>
      <c r="F200" s="626"/>
      <c r="G200" s="626"/>
      <c r="H200" s="626"/>
      <c r="I200" s="625">
        <v>1748</v>
      </c>
      <c r="J200" s="658" t="s">
        <v>202</v>
      </c>
      <c r="K200" s="625">
        <v>1855</v>
      </c>
      <c r="L200" s="625">
        <v>1773</v>
      </c>
      <c r="M200" s="625">
        <v>1890</v>
      </c>
      <c r="N200" s="627"/>
      <c r="O200" s="627"/>
      <c r="P200" s="627"/>
      <c r="Q200" s="627"/>
      <c r="R200" s="627"/>
      <c r="S200" s="627"/>
      <c r="T200" s="627"/>
      <c r="U200" s="682">
        <f>ROUND(V200/1000,3)</f>
        <v>7.266</v>
      </c>
      <c r="V200" s="683">
        <f t="shared" si="32"/>
        <v>7266</v>
      </c>
      <c r="W200" s="684"/>
      <c r="X200" s="286"/>
      <c r="Y200" s="245"/>
      <c r="Z200" s="264"/>
      <c r="AA200" s="264"/>
    </row>
    <row r="201" spans="1:27" s="278" customFormat="1" ht="21.95" customHeight="1" thickBot="1">
      <c r="A201" s="685"/>
      <c r="B201" s="870" t="s">
        <v>54</v>
      </c>
      <c r="C201" s="870"/>
      <c r="D201" s="686"/>
      <c r="E201" s="687">
        <f>SUM(E179:E200)</f>
        <v>0</v>
      </c>
      <c r="F201" s="687">
        <f t="shared" ref="F201:T201" si="35">SUM(F179:F200)</f>
        <v>0</v>
      </c>
      <c r="G201" s="687">
        <f t="shared" si="35"/>
        <v>0</v>
      </c>
      <c r="H201" s="687">
        <f t="shared" si="35"/>
        <v>0</v>
      </c>
      <c r="I201" s="687">
        <f t="shared" si="35"/>
        <v>31465</v>
      </c>
      <c r="J201" s="687">
        <f t="shared" si="35"/>
        <v>33705</v>
      </c>
      <c r="K201" s="687">
        <f t="shared" si="35"/>
        <v>37100</v>
      </c>
      <c r="L201" s="687">
        <f>SUM(L179:L200)</f>
        <v>34580</v>
      </c>
      <c r="M201" s="687">
        <f t="shared" si="35"/>
        <v>37800</v>
      </c>
      <c r="N201" s="687">
        <f t="shared" si="35"/>
        <v>0</v>
      </c>
      <c r="O201" s="687">
        <f t="shared" si="35"/>
        <v>0</v>
      </c>
      <c r="P201" s="687">
        <f t="shared" si="35"/>
        <v>0</v>
      </c>
      <c r="Q201" s="687">
        <f t="shared" si="35"/>
        <v>0</v>
      </c>
      <c r="R201" s="687">
        <f t="shared" si="35"/>
        <v>0</v>
      </c>
      <c r="S201" s="687"/>
      <c r="T201" s="687">
        <f t="shared" si="35"/>
        <v>0</v>
      </c>
      <c r="U201" s="688">
        <f>SUM(U179:U200)</f>
        <v>174.65</v>
      </c>
      <c r="V201" s="689">
        <f>SUM(V179:V200)</f>
        <v>174650</v>
      </c>
      <c r="W201" s="690"/>
      <c r="X201" s="312">
        <f>SUM(X178:X196)</f>
        <v>26416</v>
      </c>
    </row>
    <row r="202" spans="1:27" s="290" customFormat="1" ht="16.5" hidden="1" customHeight="1" thickTop="1">
      <c r="A202" s="726"/>
      <c r="B202" s="727"/>
      <c r="C202" s="727"/>
      <c r="D202" s="726"/>
      <c r="E202" s="694">
        <f>VLOOKUP(E178,'[3]KL mủ TPto1'!$A$11:$K$25,11)</f>
        <v>0</v>
      </c>
      <c r="F202" s="694">
        <f>VLOOKUP(F178,'[3]KL mủ TPto1'!$A$11:$K$25,11)</f>
        <v>0</v>
      </c>
      <c r="G202" s="694">
        <f>VLOOKUP(G178,'[3]KL mủ TPto1'!$A$11:$K$25,11)</f>
        <v>0</v>
      </c>
      <c r="H202" s="694">
        <f>VLOOKUP(H178,'[3]KL mủ TPto1'!$A$11:$K$25,11)</f>
        <v>0</v>
      </c>
      <c r="I202" s="694">
        <f>VLOOKUP(I178,'[3]KL mủ TPto1'!$A$11:$K$25,11)</f>
        <v>31465</v>
      </c>
      <c r="J202" s="694">
        <f>VLOOKUP(J178,'[3]KL mủ TPto1'!$A$11:$K$25,11)</f>
        <v>33705</v>
      </c>
      <c r="K202" s="694">
        <f>VLOOKUP(K178,'[3]KL mủ TPto1'!$A$11:$K$25,11)</f>
        <v>37100</v>
      </c>
      <c r="L202" s="694">
        <f>VLOOKUP(L178,'[3]KL mủ TPto1'!$A$11:$K$25,11)</f>
        <v>34580</v>
      </c>
      <c r="M202" s="694">
        <f>VLOOKUP(M178,'[3]KL mủ TPto1'!$A$11:$K$25,11)</f>
        <v>37800</v>
      </c>
      <c r="N202" s="694">
        <f>VLOOKUP(N178,'[3]KL mủ TPto1'!$A$11:$K$25,11)</f>
        <v>0</v>
      </c>
      <c r="O202" s="694">
        <f>VLOOKUP(O178,'[3]KL mủ TPto1'!$A$11:$K$25,11)</f>
        <v>0</v>
      </c>
      <c r="P202" s="694">
        <f>VLOOKUP(P178,'[3]KL mủ TPto1'!$A$11:$K$25,11)</f>
        <v>0</v>
      </c>
      <c r="Q202" s="694">
        <f>VLOOKUP(Q178,'[3]KL mủ TPto1'!$A$11:$K$25,11)</f>
        <v>0</v>
      </c>
      <c r="R202" s="694">
        <f>VLOOKUP(R178,'[3]KL mủ TPto1'!$A$11:$K$25,11)</f>
        <v>0</v>
      </c>
      <c r="S202" s="694"/>
      <c r="T202" s="694">
        <f>VLOOKUP(T178,'[3]KL mủ TPto1'!$A$11:$K$25,11)</f>
        <v>0</v>
      </c>
      <c r="U202" s="695">
        <f>SUM(E202:T202)</f>
        <v>174650</v>
      </c>
      <c r="V202" s="728"/>
      <c r="W202" s="726"/>
      <c r="X202" s="289">
        <v>31220</v>
      </c>
    </row>
    <row r="203" spans="1:27" s="278" customFormat="1" ht="15.75" hidden="1" customHeight="1" thickTop="1">
      <c r="A203" s="649"/>
      <c r="B203" s="649"/>
      <c r="C203" s="649"/>
      <c r="D203" s="649"/>
      <c r="E203" s="698">
        <v>17</v>
      </c>
      <c r="F203" s="698">
        <v>19</v>
      </c>
      <c r="G203" s="698">
        <v>17</v>
      </c>
      <c r="H203" s="698">
        <v>20</v>
      </c>
      <c r="I203" s="698">
        <v>18</v>
      </c>
      <c r="J203" s="698">
        <v>15</v>
      </c>
      <c r="K203" s="698">
        <v>20</v>
      </c>
      <c r="L203" s="698">
        <v>19.5</v>
      </c>
      <c r="M203" s="698">
        <v>20</v>
      </c>
      <c r="N203" s="698">
        <v>17.5</v>
      </c>
      <c r="O203" s="698">
        <v>20</v>
      </c>
      <c r="P203" s="698">
        <v>20</v>
      </c>
      <c r="Q203" s="698">
        <v>21</v>
      </c>
      <c r="R203" s="698">
        <v>20</v>
      </c>
      <c r="S203" s="698"/>
      <c r="T203" s="698">
        <v>18</v>
      </c>
      <c r="U203" s="699" t="e">
        <f>#REF!-#REF!</f>
        <v>#REF!</v>
      </c>
      <c r="V203" s="649"/>
      <c r="W203" s="649"/>
      <c r="X203" s="284">
        <f>COUNTIF(X178:X196,"X")</f>
        <v>0</v>
      </c>
      <c r="Z203" s="278" t="s">
        <v>209</v>
      </c>
    </row>
    <row r="204" spans="1:27" s="278" customFormat="1" ht="14.25" hidden="1" customHeight="1">
      <c r="A204" s="649"/>
      <c r="B204" s="649"/>
      <c r="C204" s="649"/>
      <c r="D204" s="649"/>
      <c r="E204" s="698">
        <f>COUNTIF(E179:E200,"X")+0.5*COUNTIF(E179:E200,"/")</f>
        <v>0</v>
      </c>
      <c r="F204" s="698">
        <f t="shared" ref="F204:L204" si="36">COUNTIF(F179:F200,"X")+0.5*COUNTIF(F179:F200,"/")</f>
        <v>0</v>
      </c>
      <c r="G204" s="698">
        <f t="shared" si="36"/>
        <v>0</v>
      </c>
      <c r="H204" s="698">
        <f t="shared" si="36"/>
        <v>0</v>
      </c>
      <c r="I204" s="698">
        <f t="shared" si="36"/>
        <v>0</v>
      </c>
      <c r="J204" s="698">
        <f t="shared" si="36"/>
        <v>0</v>
      </c>
      <c r="K204" s="698">
        <f t="shared" si="36"/>
        <v>0</v>
      </c>
      <c r="L204" s="698">
        <f t="shared" si="36"/>
        <v>0</v>
      </c>
      <c r="M204" s="698">
        <f>COUNTIF(M179:M200,"X")+0.5*COUNTIF(M179:M200,"/")</f>
        <v>0</v>
      </c>
      <c r="N204" s="698">
        <f t="shared" ref="N204:T204" si="37">COUNTIF(N179:N200,"X")+0.5*COUNTIF(N179:N200,"/")</f>
        <v>0</v>
      </c>
      <c r="O204" s="698">
        <f t="shared" si="37"/>
        <v>0</v>
      </c>
      <c r="P204" s="698">
        <f t="shared" si="37"/>
        <v>0</v>
      </c>
      <c r="Q204" s="698">
        <f t="shared" si="37"/>
        <v>0</v>
      </c>
      <c r="R204" s="698">
        <f t="shared" si="37"/>
        <v>0</v>
      </c>
      <c r="S204" s="698"/>
      <c r="T204" s="698">
        <f t="shared" si="37"/>
        <v>0</v>
      </c>
      <c r="U204" s="698"/>
      <c r="V204" s="649"/>
      <c r="W204" s="649"/>
    </row>
    <row r="205" spans="1:27" s="290" customFormat="1" ht="13.5" hidden="1" customHeight="1" thickTop="1">
      <c r="A205" s="729"/>
      <c r="B205" s="729"/>
      <c r="C205" s="729"/>
      <c r="D205" s="729"/>
      <c r="E205" s="700">
        <f>ROUND(E202/E203,2)</f>
        <v>0</v>
      </c>
      <c r="F205" s="700">
        <f t="shared" ref="F205:U205" si="38">ROUND(F202/F203,2)</f>
        <v>0</v>
      </c>
      <c r="G205" s="700">
        <f>ROUND(G202/G203,2)</f>
        <v>0</v>
      </c>
      <c r="H205" s="700">
        <f t="shared" si="38"/>
        <v>0</v>
      </c>
      <c r="I205" s="700">
        <f t="shared" si="38"/>
        <v>1748.06</v>
      </c>
      <c r="J205" s="700">
        <f t="shared" si="38"/>
        <v>2247</v>
      </c>
      <c r="K205" s="700">
        <f t="shared" si="38"/>
        <v>1855</v>
      </c>
      <c r="L205" s="700">
        <f t="shared" si="38"/>
        <v>1773.33</v>
      </c>
      <c r="M205" s="700">
        <f t="shared" si="38"/>
        <v>1890</v>
      </c>
      <c r="N205" s="700">
        <f t="shared" si="38"/>
        <v>0</v>
      </c>
      <c r="O205" s="700">
        <f>ROUND(O202/O203,2)</f>
        <v>0</v>
      </c>
      <c r="P205" s="700">
        <f t="shared" si="38"/>
        <v>0</v>
      </c>
      <c r="Q205" s="700">
        <f t="shared" si="38"/>
        <v>0</v>
      </c>
      <c r="R205" s="700">
        <f>ROUND(R202/R203,2)</f>
        <v>0</v>
      </c>
      <c r="S205" s="700"/>
      <c r="T205" s="701">
        <f>ROUND(T202/T203,2)</f>
        <v>0</v>
      </c>
      <c r="U205" s="700" t="e">
        <f t="shared" si="38"/>
        <v>#REF!</v>
      </c>
      <c r="V205" s="729"/>
      <c r="W205" s="729"/>
      <c r="X205" s="292" t="e">
        <f>ROUND(X202/X203,2)</f>
        <v>#DIV/0!</v>
      </c>
    </row>
    <row r="206" spans="1:27" s="290" customFormat="1" ht="13.5" hidden="1" customHeight="1" thickTop="1">
      <c r="A206" s="729"/>
      <c r="B206" s="729"/>
      <c r="C206" s="729"/>
      <c r="D206" s="729"/>
      <c r="E206" s="702">
        <f t="shared" ref="E206:T206" si="39">E201-E202</f>
        <v>0</v>
      </c>
      <c r="F206" s="702">
        <f t="shared" si="39"/>
        <v>0</v>
      </c>
      <c r="G206" s="702">
        <f t="shared" si="39"/>
        <v>0</v>
      </c>
      <c r="H206" s="702">
        <f t="shared" si="39"/>
        <v>0</v>
      </c>
      <c r="I206" s="702">
        <f t="shared" si="39"/>
        <v>0</v>
      </c>
      <c r="J206" s="702">
        <f t="shared" si="39"/>
        <v>0</v>
      </c>
      <c r="K206" s="702">
        <f t="shared" si="39"/>
        <v>0</v>
      </c>
      <c r="L206" s="702">
        <f t="shared" si="39"/>
        <v>0</v>
      </c>
      <c r="M206" s="702">
        <f t="shared" si="39"/>
        <v>0</v>
      </c>
      <c r="N206" s="702">
        <f t="shared" si="39"/>
        <v>0</v>
      </c>
      <c r="O206" s="702">
        <f t="shared" si="39"/>
        <v>0</v>
      </c>
      <c r="P206" s="702">
        <f t="shared" si="39"/>
        <v>0</v>
      </c>
      <c r="Q206" s="702">
        <f t="shared" si="39"/>
        <v>0</v>
      </c>
      <c r="R206" s="702">
        <f t="shared" si="39"/>
        <v>0</v>
      </c>
      <c r="S206" s="702"/>
      <c r="T206" s="702">
        <f t="shared" si="39"/>
        <v>0</v>
      </c>
      <c r="U206" s="701"/>
      <c r="V206" s="729"/>
      <c r="W206" s="729"/>
    </row>
    <row r="207" spans="1:27" s="290" customFormat="1" ht="13.5" hidden="1" customHeight="1" thickTop="1">
      <c r="A207" s="729"/>
      <c r="B207" s="729"/>
      <c r="C207" s="729"/>
      <c r="D207" s="729"/>
      <c r="E207" s="701"/>
      <c r="F207" s="701">
        <f>F205/2</f>
        <v>0</v>
      </c>
      <c r="G207" s="701">
        <f>G205/2</f>
        <v>0</v>
      </c>
      <c r="H207" s="701"/>
      <c r="I207" s="701"/>
      <c r="J207" s="701"/>
      <c r="K207" s="701"/>
      <c r="L207" s="701">
        <f>L205/2</f>
        <v>886.66499999999996</v>
      </c>
      <c r="M207" s="701"/>
      <c r="N207" s="701">
        <f>N205/2</f>
        <v>0</v>
      </c>
      <c r="O207" s="701">
        <f>O205/2</f>
        <v>0</v>
      </c>
      <c r="P207" s="701"/>
      <c r="Q207" s="701"/>
      <c r="R207" s="701">
        <f>R205/2</f>
        <v>0</v>
      </c>
      <c r="S207" s="701"/>
      <c r="T207" s="701">
        <f>T205/2</f>
        <v>0</v>
      </c>
      <c r="U207" s="701">
        <f>R205/2</f>
        <v>0</v>
      </c>
      <c r="V207" s="729"/>
      <c r="W207" s="729"/>
    </row>
    <row r="208" spans="1:27" s="290" customFormat="1" ht="13.5" thickTop="1">
      <c r="A208" s="729"/>
      <c r="B208" s="729"/>
      <c r="C208" s="729"/>
      <c r="D208" s="729"/>
      <c r="E208" s="701"/>
      <c r="F208" s="701"/>
      <c r="G208" s="701"/>
      <c r="H208" s="701"/>
      <c r="I208" s="701"/>
      <c r="J208" s="701"/>
      <c r="K208" s="701"/>
      <c r="L208" s="701"/>
      <c r="M208" s="701"/>
      <c r="N208" s="701"/>
      <c r="O208" s="701"/>
      <c r="P208" s="701"/>
      <c r="Q208" s="701"/>
      <c r="R208" s="701"/>
      <c r="S208" s="701"/>
      <c r="T208" s="701"/>
      <c r="U208" s="701"/>
      <c r="V208" s="729"/>
      <c r="W208" s="729"/>
    </row>
    <row r="209" spans="1:27" s="290" customFormat="1" ht="12.75">
      <c r="A209" s="729"/>
      <c r="B209" s="729"/>
      <c r="C209" s="729"/>
      <c r="D209" s="729"/>
      <c r="E209" s="701"/>
      <c r="F209" s="701"/>
      <c r="G209" s="701"/>
      <c r="H209" s="701"/>
      <c r="I209" s="701"/>
      <c r="J209" s="701"/>
      <c r="K209" s="701"/>
      <c r="L209" s="701"/>
      <c r="M209" s="701"/>
      <c r="N209" s="701"/>
      <c r="O209" s="701"/>
      <c r="P209" s="701"/>
      <c r="Q209" s="701"/>
      <c r="R209" s="701"/>
      <c r="S209" s="701"/>
      <c r="T209" s="701"/>
      <c r="U209" s="701"/>
      <c r="V209" s="729"/>
      <c r="W209" s="729"/>
    </row>
    <row r="210" spans="1:27" s="290" customFormat="1" ht="12.75">
      <c r="A210" s="729"/>
      <c r="B210" s="729"/>
      <c r="C210" s="729"/>
      <c r="D210" s="729"/>
      <c r="E210" s="701"/>
      <c r="F210" s="701"/>
      <c r="G210" s="701"/>
      <c r="H210" s="701"/>
      <c r="I210" s="701"/>
      <c r="J210" s="701"/>
      <c r="K210" s="701"/>
      <c r="L210" s="701"/>
      <c r="M210" s="701"/>
      <c r="N210" s="701"/>
      <c r="O210" s="701"/>
      <c r="P210" s="701"/>
      <c r="Q210" s="701"/>
      <c r="R210" s="701"/>
      <c r="S210" s="701"/>
      <c r="T210" s="701"/>
      <c r="U210" s="701"/>
      <c r="V210" s="729"/>
      <c r="W210" s="729"/>
    </row>
    <row r="211" spans="1:27" s="290" customFormat="1" ht="12.75">
      <c r="A211" s="729"/>
      <c r="B211" s="729"/>
      <c r="C211" s="729"/>
      <c r="D211" s="729"/>
      <c r="E211" s="701"/>
      <c r="F211" s="701"/>
      <c r="G211" s="701"/>
      <c r="H211" s="701"/>
      <c r="I211" s="701"/>
      <c r="J211" s="701"/>
      <c r="K211" s="701"/>
      <c r="L211" s="701"/>
      <c r="M211" s="701"/>
      <c r="N211" s="701"/>
      <c r="O211" s="701"/>
      <c r="P211" s="701"/>
      <c r="Q211" s="701"/>
      <c r="R211" s="701"/>
      <c r="S211" s="701"/>
      <c r="T211" s="701"/>
      <c r="U211" s="701"/>
      <c r="V211" s="729"/>
      <c r="W211" s="729"/>
    </row>
    <row r="212" spans="1:27" s="290" customFormat="1" ht="15.75">
      <c r="A212" s="798" t="s">
        <v>0</v>
      </c>
      <c r="B212" s="798"/>
      <c r="C212" s="798"/>
      <c r="D212" s="798"/>
      <c r="E212" s="798"/>
      <c r="F212" s="16"/>
      <c r="G212" s="16"/>
      <c r="H212" s="16"/>
      <c r="I212" s="4"/>
      <c r="J212" s="4"/>
      <c r="K212" s="4"/>
      <c r="L212" s="2"/>
      <c r="M212" s="2"/>
      <c r="N212" s="2"/>
      <c r="O212" s="2"/>
      <c r="P212" s="2"/>
      <c r="Q212" s="2"/>
      <c r="R212" s="2"/>
      <c r="S212" s="2"/>
      <c r="T212" s="2"/>
      <c r="U212" s="827"/>
      <c r="V212" s="827"/>
      <c r="W212" s="4"/>
    </row>
    <row r="213" spans="1:27" s="290" customFormat="1" ht="15.75">
      <c r="A213" s="865" t="s">
        <v>194</v>
      </c>
      <c r="B213" s="865"/>
      <c r="C213" s="865"/>
      <c r="D213" s="865"/>
      <c r="E213" s="865"/>
      <c r="F213" s="16"/>
      <c r="G213" s="16"/>
      <c r="H213" s="16"/>
      <c r="I213" s="4"/>
      <c r="J213" s="4"/>
      <c r="K213" s="4"/>
      <c r="L213" s="2"/>
      <c r="M213" s="2"/>
      <c r="N213" s="2"/>
      <c r="O213" s="2"/>
      <c r="P213" s="2"/>
      <c r="Q213" s="2"/>
      <c r="R213" s="2"/>
      <c r="S213" s="2"/>
      <c r="T213" s="2"/>
      <c r="U213" s="799"/>
      <c r="V213" s="799"/>
      <c r="W213" s="4"/>
    </row>
    <row r="214" spans="1:27" s="290" customFormat="1" ht="25.5" hidden="1" customHeight="1">
      <c r="A214" s="798" t="s">
        <v>4</v>
      </c>
      <c r="B214" s="798"/>
      <c r="C214" s="798"/>
      <c r="D214" s="798"/>
      <c r="E214" s="798"/>
      <c r="F214" s="16"/>
      <c r="G214" s="16"/>
      <c r="H214" s="1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827"/>
      <c r="V214" s="827"/>
      <c r="W214" s="4"/>
    </row>
    <row r="215" spans="1:27" s="278" customFormat="1" ht="15.75" hidden="1" customHeight="1">
      <c r="A215" s="866" t="s">
        <v>6</v>
      </c>
      <c r="B215" s="866"/>
      <c r="C215" s="866"/>
      <c r="D215" s="866"/>
      <c r="E215" s="866"/>
      <c r="F215" s="16"/>
      <c r="G215" s="16"/>
      <c r="H215" s="1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795"/>
      <c r="V215" s="795"/>
      <c r="W215" s="4"/>
    </row>
    <row r="216" spans="1:27" s="278" customFormat="1" ht="18">
      <c r="A216" s="862" t="s">
        <v>195</v>
      </c>
      <c r="B216" s="863"/>
      <c r="C216" s="863"/>
      <c r="D216" s="863"/>
      <c r="E216" s="863"/>
      <c r="F216" s="863"/>
      <c r="G216" s="863"/>
      <c r="H216" s="863"/>
      <c r="I216" s="863"/>
      <c r="J216" s="863"/>
      <c r="K216" s="863"/>
      <c r="L216" s="863"/>
      <c r="M216" s="863"/>
      <c r="N216" s="863"/>
      <c r="O216" s="863"/>
      <c r="P216" s="863"/>
      <c r="Q216" s="863"/>
      <c r="R216" s="863"/>
      <c r="S216" s="863"/>
      <c r="T216" s="863"/>
      <c r="U216" s="863"/>
      <c r="V216" s="863"/>
      <c r="W216" s="863"/>
    </row>
    <row r="217" spans="1:27" s="278" customFormat="1" ht="29.25" customHeight="1">
      <c r="A217" s="862" t="str">
        <f>A174</f>
        <v xml:space="preserve">ថ្ងៃ ១៦-៣១ ខែ ០១ ឆ្នាំ ២០២៦ </v>
      </c>
      <c r="B217" s="863"/>
      <c r="C217" s="863"/>
      <c r="D217" s="863"/>
      <c r="E217" s="863"/>
      <c r="F217" s="863"/>
      <c r="G217" s="863"/>
      <c r="H217" s="863"/>
      <c r="I217" s="863"/>
      <c r="J217" s="863"/>
      <c r="K217" s="863"/>
      <c r="L217" s="863"/>
      <c r="M217" s="863"/>
      <c r="N217" s="863"/>
      <c r="O217" s="863"/>
      <c r="P217" s="863"/>
      <c r="Q217" s="863"/>
      <c r="R217" s="863"/>
      <c r="S217" s="863"/>
      <c r="T217" s="863"/>
      <c r="U217" s="863"/>
      <c r="V217" s="863"/>
      <c r="W217" s="863"/>
    </row>
    <row r="218" spans="1:27" s="278" customFormat="1" ht="18.75">
      <c r="A218" s="787" t="s">
        <v>348</v>
      </c>
      <c r="B218" s="787"/>
      <c r="C218" s="787"/>
      <c r="D218" s="787"/>
      <c r="E218" s="787"/>
      <c r="F218" s="787"/>
      <c r="G218" s="787"/>
      <c r="H218" s="787"/>
      <c r="I218" s="787"/>
      <c r="J218" s="787"/>
      <c r="K218" s="787"/>
      <c r="L218" s="787"/>
      <c r="M218" s="787"/>
      <c r="N218" s="787"/>
      <c r="O218" s="787"/>
      <c r="P218" s="787"/>
      <c r="Q218" s="787"/>
      <c r="R218" s="787"/>
      <c r="S218" s="787"/>
      <c r="T218" s="787"/>
      <c r="U218" s="787"/>
      <c r="V218" s="787"/>
      <c r="W218" s="787"/>
    </row>
    <row r="219" spans="1:27" s="278" customFormat="1" ht="15.75">
      <c r="A219" s="799" t="str">
        <f>A176</f>
        <v>NGÀY​​​​ 16 ĐẾN 31 THÁNG 01 NĂM 2026</v>
      </c>
      <c r="B219" s="799"/>
      <c r="C219" s="799"/>
      <c r="D219" s="799"/>
      <c r="E219" s="799"/>
      <c r="F219" s="799"/>
      <c r="G219" s="799"/>
      <c r="H219" s="799"/>
      <c r="I219" s="799"/>
      <c r="J219" s="799"/>
      <c r="K219" s="799"/>
      <c r="L219" s="799"/>
      <c r="M219" s="799"/>
      <c r="N219" s="799"/>
      <c r="O219" s="799"/>
      <c r="P219" s="799"/>
      <c r="Q219" s="799"/>
      <c r="R219" s="799"/>
      <c r="S219" s="799"/>
      <c r="T219" s="799"/>
      <c r="U219" s="799"/>
      <c r="V219" s="799"/>
      <c r="W219" s="799"/>
    </row>
    <row r="220" spans="1:27" s="278" customFormat="1" ht="15.75">
      <c r="A220" s="622"/>
      <c r="B220" s="623"/>
      <c r="C220" s="623"/>
      <c r="D220" s="623"/>
      <c r="E220" s="826"/>
      <c r="F220" s="826"/>
      <c r="G220" s="826"/>
      <c r="H220" s="826"/>
      <c r="I220" s="826"/>
      <c r="J220" s="826"/>
      <c r="K220" s="826"/>
      <c r="L220" s="826"/>
      <c r="M220" s="826"/>
      <c r="N220" s="826"/>
      <c r="O220" s="826"/>
      <c r="P220" s="826"/>
      <c r="Q220" s="826"/>
      <c r="R220" s="826"/>
      <c r="S220" s="826"/>
      <c r="T220" s="826"/>
      <c r="U220" s="622"/>
      <c r="V220" s="622"/>
      <c r="W220" s="4"/>
    </row>
    <row r="221" spans="1:27" s="278" customFormat="1" ht="43.5" customHeight="1">
      <c r="A221" s="10" t="s">
        <v>176</v>
      </c>
      <c r="B221" s="864" t="s">
        <v>197</v>
      </c>
      <c r="C221" s="864"/>
      <c r="D221" s="10" t="s">
        <v>198</v>
      </c>
      <c r="E221" s="591">
        <f>E178</f>
        <v>16</v>
      </c>
      <c r="F221" s="591">
        <f t="shared" ref="F221:T221" si="40">E221+1</f>
        <v>17</v>
      </c>
      <c r="G221" s="591">
        <f t="shared" si="40"/>
        <v>18</v>
      </c>
      <c r="H221" s="591">
        <f t="shared" si="40"/>
        <v>19</v>
      </c>
      <c r="I221" s="591">
        <f t="shared" si="40"/>
        <v>20</v>
      </c>
      <c r="J221" s="591">
        <f t="shared" si="40"/>
        <v>21</v>
      </c>
      <c r="K221" s="591">
        <f t="shared" si="40"/>
        <v>22</v>
      </c>
      <c r="L221" s="591">
        <f t="shared" si="40"/>
        <v>23</v>
      </c>
      <c r="M221" s="591">
        <f t="shared" si="40"/>
        <v>24</v>
      </c>
      <c r="N221" s="591">
        <f t="shared" si="40"/>
        <v>25</v>
      </c>
      <c r="O221" s="591">
        <f t="shared" si="40"/>
        <v>26</v>
      </c>
      <c r="P221" s="591">
        <f t="shared" si="40"/>
        <v>27</v>
      </c>
      <c r="Q221" s="591">
        <f t="shared" si="40"/>
        <v>28</v>
      </c>
      <c r="R221" s="591">
        <f t="shared" si="40"/>
        <v>29</v>
      </c>
      <c r="S221" s="591">
        <f t="shared" si="40"/>
        <v>30</v>
      </c>
      <c r="T221" s="591">
        <f t="shared" si="40"/>
        <v>31</v>
      </c>
      <c r="U221" s="652" t="s">
        <v>274</v>
      </c>
      <c r="V221" s="652" t="s">
        <v>199</v>
      </c>
      <c r="W221" s="12" t="s">
        <v>205</v>
      </c>
    </row>
    <row r="222" spans="1:27" s="278" customFormat="1" ht="18.75">
      <c r="A222" s="314">
        <v>1</v>
      </c>
      <c r="B222" s="453" t="s">
        <v>131</v>
      </c>
      <c r="C222" s="565" t="s">
        <v>132</v>
      </c>
      <c r="D222" s="703" t="s">
        <v>201</v>
      </c>
      <c r="E222" s="626"/>
      <c r="F222" s="626"/>
      <c r="G222" s="626"/>
      <c r="H222" s="626"/>
      <c r="I222" s="627"/>
      <c r="J222" s="625">
        <v>1957</v>
      </c>
      <c r="K222" s="625">
        <v>1925</v>
      </c>
      <c r="L222" s="625">
        <v>1960</v>
      </c>
      <c r="M222" s="625">
        <v>2055</v>
      </c>
      <c r="N222" s="625">
        <v>2127</v>
      </c>
      <c r="O222" s="627"/>
      <c r="P222" s="627"/>
      <c r="Q222" s="627"/>
      <c r="R222" s="627"/>
      <c r="S222" s="627"/>
      <c r="T222" s="627"/>
      <c r="U222" s="294">
        <f>ROUND(V222/1000,3)</f>
        <v>10.023999999999999</v>
      </c>
      <c r="V222" s="295">
        <f t="shared" ref="V222:V241" si="41">SUM(E222:T222)</f>
        <v>10024</v>
      </c>
      <c r="W222" s="704"/>
      <c r="Z222" s="279">
        <f>ROUND(U222*15%,2)</f>
        <v>1.5</v>
      </c>
      <c r="AA222" s="279">
        <f>ROUND((U222+Z222),2)</f>
        <v>11.52</v>
      </c>
    </row>
    <row r="223" spans="1:27" s="278" customFormat="1" ht="18.75">
      <c r="A223" s="314">
        <f>+A222+1</f>
        <v>2</v>
      </c>
      <c r="B223" s="453" t="s">
        <v>133</v>
      </c>
      <c r="C223" s="454" t="s">
        <v>134</v>
      </c>
      <c r="D223" s="703" t="s">
        <v>201</v>
      </c>
      <c r="E223" s="626"/>
      <c r="F223" s="626"/>
      <c r="G223" s="626"/>
      <c r="H223" s="626"/>
      <c r="I223" s="627"/>
      <c r="J223" s="625">
        <v>1957</v>
      </c>
      <c r="K223" s="625">
        <v>1925</v>
      </c>
      <c r="L223" s="625">
        <v>1960</v>
      </c>
      <c r="M223" s="625">
        <v>2055</v>
      </c>
      <c r="N223" s="625">
        <v>2127</v>
      </c>
      <c r="O223" s="627"/>
      <c r="P223" s="627"/>
      <c r="Q223" s="627"/>
      <c r="R223" s="627"/>
      <c r="S223" s="627"/>
      <c r="T223" s="627"/>
      <c r="U223" s="294">
        <f t="shared" ref="U223:U241" si="42">ROUND(V223/1000,3)</f>
        <v>10.023999999999999</v>
      </c>
      <c r="V223" s="295">
        <f t="shared" si="41"/>
        <v>10024</v>
      </c>
      <c r="W223" s="704"/>
    </row>
    <row r="224" spans="1:27" s="278" customFormat="1" ht="18.75">
      <c r="A224" s="314">
        <f t="shared" ref="A224:A241" si="43">+A223+1</f>
        <v>3</v>
      </c>
      <c r="B224" s="453" t="s">
        <v>137</v>
      </c>
      <c r="C224" s="454" t="s">
        <v>138</v>
      </c>
      <c r="D224" s="703" t="s">
        <v>201</v>
      </c>
      <c r="E224" s="626"/>
      <c r="F224" s="626"/>
      <c r="G224" s="626"/>
      <c r="H224" s="626"/>
      <c r="I224" s="627"/>
      <c r="J224" s="625">
        <v>1957</v>
      </c>
      <c r="K224" s="625">
        <v>1925</v>
      </c>
      <c r="L224" s="625">
        <v>1960</v>
      </c>
      <c r="M224" s="625">
        <v>2055</v>
      </c>
      <c r="N224" s="658" t="s">
        <v>202</v>
      </c>
      <c r="O224" s="627"/>
      <c r="P224" s="627"/>
      <c r="Q224" s="627"/>
      <c r="R224" s="627"/>
      <c r="S224" s="627"/>
      <c r="T224" s="627"/>
      <c r="U224" s="294">
        <f t="shared" si="42"/>
        <v>7.8970000000000002</v>
      </c>
      <c r="V224" s="295">
        <f t="shared" si="41"/>
        <v>7897</v>
      </c>
      <c r="W224" s="704"/>
    </row>
    <row r="225" spans="1:23" s="278" customFormat="1" ht="18.75">
      <c r="A225" s="314">
        <f t="shared" si="43"/>
        <v>4</v>
      </c>
      <c r="B225" s="453" t="s">
        <v>139</v>
      </c>
      <c r="C225" s="454" t="s">
        <v>140</v>
      </c>
      <c r="D225" s="703" t="s">
        <v>201</v>
      </c>
      <c r="E225" s="626"/>
      <c r="F225" s="626"/>
      <c r="G225" s="626"/>
      <c r="H225" s="626"/>
      <c r="I225" s="627"/>
      <c r="J225" s="658" t="s">
        <v>202</v>
      </c>
      <c r="K225" s="625">
        <v>1925</v>
      </c>
      <c r="L225" s="625">
        <v>1960</v>
      </c>
      <c r="M225" s="625">
        <v>2055</v>
      </c>
      <c r="N225" s="625">
        <v>2127</v>
      </c>
      <c r="O225" s="627"/>
      <c r="P225" s="627"/>
      <c r="Q225" s="627"/>
      <c r="R225" s="627"/>
      <c r="S225" s="627"/>
      <c r="T225" s="627"/>
      <c r="U225" s="294">
        <f t="shared" si="42"/>
        <v>8.0670000000000002</v>
      </c>
      <c r="V225" s="295">
        <f t="shared" si="41"/>
        <v>8067</v>
      </c>
      <c r="W225" s="704"/>
    </row>
    <row r="226" spans="1:23" s="278" customFormat="1" ht="18.75">
      <c r="A226" s="314">
        <f t="shared" si="43"/>
        <v>5</v>
      </c>
      <c r="B226" s="453" t="s">
        <v>141</v>
      </c>
      <c r="C226" s="454" t="s">
        <v>142</v>
      </c>
      <c r="D226" s="703" t="s">
        <v>201</v>
      </c>
      <c r="E226" s="626"/>
      <c r="F226" s="626"/>
      <c r="G226" s="626"/>
      <c r="H226" s="626"/>
      <c r="I226" s="627"/>
      <c r="J226" s="625">
        <v>1957</v>
      </c>
      <c r="K226" s="625">
        <v>1925</v>
      </c>
      <c r="L226" s="625">
        <v>1960</v>
      </c>
      <c r="M226" s="625">
        <v>2055</v>
      </c>
      <c r="N226" s="625">
        <v>2127</v>
      </c>
      <c r="O226" s="627"/>
      <c r="P226" s="627"/>
      <c r="Q226" s="627"/>
      <c r="R226" s="627"/>
      <c r="S226" s="627"/>
      <c r="T226" s="627"/>
      <c r="U226" s="294">
        <f t="shared" si="42"/>
        <v>10.023999999999999</v>
      </c>
      <c r="V226" s="295">
        <f t="shared" si="41"/>
        <v>10024</v>
      </c>
      <c r="W226" s="704"/>
    </row>
    <row r="227" spans="1:23" s="278" customFormat="1" ht="18.75">
      <c r="A227" s="314">
        <f t="shared" si="43"/>
        <v>6</v>
      </c>
      <c r="B227" s="453" t="s">
        <v>143</v>
      </c>
      <c r="C227" s="454" t="s">
        <v>144</v>
      </c>
      <c r="D227" s="703" t="s">
        <v>201</v>
      </c>
      <c r="E227" s="626"/>
      <c r="F227" s="626"/>
      <c r="G227" s="626"/>
      <c r="H227" s="626"/>
      <c r="I227" s="627"/>
      <c r="J227" s="625">
        <v>1957</v>
      </c>
      <c r="K227" s="625">
        <v>1925</v>
      </c>
      <c r="L227" s="625">
        <v>1960</v>
      </c>
      <c r="M227" s="625">
        <v>2055</v>
      </c>
      <c r="N227" s="625">
        <v>2127</v>
      </c>
      <c r="O227" s="627"/>
      <c r="P227" s="627"/>
      <c r="Q227" s="627"/>
      <c r="R227" s="627"/>
      <c r="S227" s="627"/>
      <c r="T227" s="627"/>
      <c r="U227" s="294">
        <f t="shared" si="42"/>
        <v>10.023999999999999</v>
      </c>
      <c r="V227" s="295">
        <f t="shared" si="41"/>
        <v>10024</v>
      </c>
      <c r="W227" s="704"/>
    </row>
    <row r="228" spans="1:23" s="278" customFormat="1" ht="18.75">
      <c r="A228" s="314">
        <f t="shared" si="43"/>
        <v>7</v>
      </c>
      <c r="B228" s="453" t="s">
        <v>145</v>
      </c>
      <c r="C228" s="454" t="s">
        <v>146</v>
      </c>
      <c r="D228" s="703" t="s">
        <v>201</v>
      </c>
      <c r="E228" s="626"/>
      <c r="F228" s="626"/>
      <c r="G228" s="626"/>
      <c r="H228" s="626"/>
      <c r="I228" s="627"/>
      <c r="J228" s="625">
        <v>1957</v>
      </c>
      <c r="K228" s="625">
        <v>1925</v>
      </c>
      <c r="L228" s="625">
        <v>1960</v>
      </c>
      <c r="M228" s="625">
        <v>2055</v>
      </c>
      <c r="N228" s="625">
        <v>2127</v>
      </c>
      <c r="O228" s="627"/>
      <c r="P228" s="627"/>
      <c r="Q228" s="627"/>
      <c r="R228" s="627"/>
      <c r="S228" s="627"/>
      <c r="T228" s="627"/>
      <c r="U228" s="294">
        <f t="shared" si="42"/>
        <v>10.023999999999999</v>
      </c>
      <c r="V228" s="295">
        <f t="shared" si="41"/>
        <v>10024</v>
      </c>
      <c r="W228" s="704"/>
    </row>
    <row r="229" spans="1:23" s="278" customFormat="1" ht="18.75">
      <c r="A229" s="314">
        <f t="shared" si="43"/>
        <v>8</v>
      </c>
      <c r="B229" s="456" t="s">
        <v>147</v>
      </c>
      <c r="C229" s="566" t="s">
        <v>148</v>
      </c>
      <c r="D229" s="703" t="s">
        <v>201</v>
      </c>
      <c r="E229" s="626"/>
      <c r="F229" s="626"/>
      <c r="G229" s="626"/>
      <c r="H229" s="626"/>
      <c r="I229" s="627"/>
      <c r="J229" s="625">
        <v>1956</v>
      </c>
      <c r="K229" s="625">
        <v>1925</v>
      </c>
      <c r="L229" s="625">
        <v>1960</v>
      </c>
      <c r="M229" s="625">
        <v>2056</v>
      </c>
      <c r="N229" s="625">
        <v>2127</v>
      </c>
      <c r="O229" s="627"/>
      <c r="P229" s="627"/>
      <c r="Q229" s="627"/>
      <c r="R229" s="627"/>
      <c r="S229" s="627"/>
      <c r="T229" s="627"/>
      <c r="U229" s="294">
        <f t="shared" si="42"/>
        <v>10.023999999999999</v>
      </c>
      <c r="V229" s="295">
        <f t="shared" si="41"/>
        <v>10024</v>
      </c>
      <c r="W229" s="704"/>
    </row>
    <row r="230" spans="1:23" s="278" customFormat="1" ht="18.75">
      <c r="A230" s="314">
        <f t="shared" si="43"/>
        <v>9</v>
      </c>
      <c r="B230" s="453" t="s">
        <v>149</v>
      </c>
      <c r="C230" s="454" t="s">
        <v>150</v>
      </c>
      <c r="D230" s="703" t="s">
        <v>201</v>
      </c>
      <c r="E230" s="626"/>
      <c r="F230" s="626"/>
      <c r="G230" s="626"/>
      <c r="H230" s="626"/>
      <c r="I230" s="627"/>
      <c r="J230" s="625">
        <v>1956</v>
      </c>
      <c r="K230" s="625">
        <v>1925</v>
      </c>
      <c r="L230" s="625">
        <v>1960</v>
      </c>
      <c r="M230" s="625">
        <v>2056</v>
      </c>
      <c r="N230" s="625">
        <v>2127</v>
      </c>
      <c r="O230" s="627"/>
      <c r="P230" s="627"/>
      <c r="Q230" s="627"/>
      <c r="R230" s="627"/>
      <c r="S230" s="627"/>
      <c r="T230" s="627"/>
      <c r="U230" s="294">
        <f t="shared" si="42"/>
        <v>10.023999999999999</v>
      </c>
      <c r="V230" s="295">
        <f t="shared" si="41"/>
        <v>10024</v>
      </c>
      <c r="W230" s="704"/>
    </row>
    <row r="231" spans="1:23" s="278" customFormat="1" ht="18.75">
      <c r="A231" s="314">
        <f t="shared" si="43"/>
        <v>10</v>
      </c>
      <c r="B231" s="457" t="s">
        <v>151</v>
      </c>
      <c r="C231" s="458" t="s">
        <v>152</v>
      </c>
      <c r="D231" s="703" t="s">
        <v>201</v>
      </c>
      <c r="E231" s="626"/>
      <c r="F231" s="626"/>
      <c r="G231" s="626"/>
      <c r="H231" s="626"/>
      <c r="I231" s="627"/>
      <c r="J231" s="625">
        <v>1956</v>
      </c>
      <c r="K231" s="625">
        <v>1925</v>
      </c>
      <c r="L231" s="625">
        <v>1960</v>
      </c>
      <c r="M231" s="625">
        <v>2056</v>
      </c>
      <c r="N231" s="625">
        <v>2127</v>
      </c>
      <c r="O231" s="627"/>
      <c r="P231" s="627"/>
      <c r="Q231" s="627"/>
      <c r="R231" s="627"/>
      <c r="S231" s="627"/>
      <c r="T231" s="627"/>
      <c r="U231" s="294">
        <f t="shared" si="42"/>
        <v>10.023999999999999</v>
      </c>
      <c r="V231" s="295">
        <f t="shared" si="41"/>
        <v>10024</v>
      </c>
      <c r="W231" s="704"/>
    </row>
    <row r="232" spans="1:23" s="278" customFormat="1" ht="18.75">
      <c r="A232" s="314">
        <f t="shared" si="43"/>
        <v>11</v>
      </c>
      <c r="B232" s="457" t="s">
        <v>153</v>
      </c>
      <c r="C232" s="458" t="s">
        <v>154</v>
      </c>
      <c r="D232" s="703" t="s">
        <v>201</v>
      </c>
      <c r="E232" s="626"/>
      <c r="F232" s="626"/>
      <c r="G232" s="626"/>
      <c r="H232" s="626"/>
      <c r="I232" s="627"/>
      <c r="J232" s="625">
        <v>1956</v>
      </c>
      <c r="K232" s="625">
        <v>1925</v>
      </c>
      <c r="L232" s="625">
        <v>1960</v>
      </c>
      <c r="M232" s="625">
        <v>2056</v>
      </c>
      <c r="N232" s="625">
        <v>2127</v>
      </c>
      <c r="O232" s="627"/>
      <c r="P232" s="627"/>
      <c r="Q232" s="627"/>
      <c r="R232" s="627"/>
      <c r="S232" s="627"/>
      <c r="T232" s="627"/>
      <c r="U232" s="294">
        <f t="shared" si="42"/>
        <v>10.023999999999999</v>
      </c>
      <c r="V232" s="295">
        <f t="shared" si="41"/>
        <v>10024</v>
      </c>
      <c r="W232" s="704"/>
    </row>
    <row r="233" spans="1:23" s="278" customFormat="1" ht="18.75">
      <c r="A233" s="314">
        <f t="shared" si="43"/>
        <v>12</v>
      </c>
      <c r="B233" s="457" t="s">
        <v>155</v>
      </c>
      <c r="C233" s="458" t="s">
        <v>156</v>
      </c>
      <c r="D233" s="703" t="s">
        <v>201</v>
      </c>
      <c r="E233" s="626"/>
      <c r="F233" s="626"/>
      <c r="G233" s="626"/>
      <c r="H233" s="626"/>
      <c r="I233" s="627"/>
      <c r="J233" s="625">
        <v>1956</v>
      </c>
      <c r="K233" s="625">
        <v>1925</v>
      </c>
      <c r="L233" s="625">
        <v>1960</v>
      </c>
      <c r="M233" s="625">
        <v>2056</v>
      </c>
      <c r="N233" s="625">
        <v>2127</v>
      </c>
      <c r="O233" s="627"/>
      <c r="P233" s="627"/>
      <c r="Q233" s="627"/>
      <c r="R233" s="627"/>
      <c r="S233" s="627"/>
      <c r="T233" s="627"/>
      <c r="U233" s="294">
        <f t="shared" si="42"/>
        <v>10.023999999999999</v>
      </c>
      <c r="V233" s="295">
        <f t="shared" si="41"/>
        <v>10024</v>
      </c>
      <c r="W233" s="704"/>
    </row>
    <row r="234" spans="1:23" s="278" customFormat="1" ht="18.75">
      <c r="A234" s="314">
        <f t="shared" si="43"/>
        <v>13</v>
      </c>
      <c r="B234" s="457" t="s">
        <v>157</v>
      </c>
      <c r="C234" s="458" t="s">
        <v>158</v>
      </c>
      <c r="D234" s="703" t="s">
        <v>201</v>
      </c>
      <c r="E234" s="626"/>
      <c r="F234" s="626"/>
      <c r="G234" s="626"/>
      <c r="H234" s="626"/>
      <c r="I234" s="627"/>
      <c r="J234" s="625">
        <v>1956</v>
      </c>
      <c r="K234" s="625">
        <v>1925</v>
      </c>
      <c r="L234" s="625">
        <v>1960</v>
      </c>
      <c r="M234" s="625">
        <v>2055</v>
      </c>
      <c r="N234" s="625">
        <v>2128</v>
      </c>
      <c r="O234" s="627"/>
      <c r="P234" s="627"/>
      <c r="Q234" s="627"/>
      <c r="R234" s="627"/>
      <c r="S234" s="627"/>
      <c r="T234" s="627"/>
      <c r="U234" s="294">
        <f t="shared" si="42"/>
        <v>10.023999999999999</v>
      </c>
      <c r="V234" s="295">
        <f t="shared" si="41"/>
        <v>10024</v>
      </c>
      <c r="W234" s="704"/>
    </row>
    <row r="235" spans="1:23" s="278" customFormat="1" ht="18.75">
      <c r="A235" s="314">
        <f t="shared" si="43"/>
        <v>14</v>
      </c>
      <c r="B235" s="457" t="s">
        <v>221</v>
      </c>
      <c r="C235" s="458" t="s">
        <v>222</v>
      </c>
      <c r="D235" s="703" t="s">
        <v>201</v>
      </c>
      <c r="E235" s="626"/>
      <c r="F235" s="626"/>
      <c r="G235" s="626"/>
      <c r="H235" s="626"/>
      <c r="I235" s="627"/>
      <c r="J235" s="625">
        <v>1956</v>
      </c>
      <c r="K235" s="625">
        <v>1925</v>
      </c>
      <c r="L235" s="625">
        <v>1960</v>
      </c>
      <c r="M235" s="625">
        <v>2055</v>
      </c>
      <c r="N235" s="625">
        <v>2128</v>
      </c>
      <c r="O235" s="627"/>
      <c r="P235" s="627"/>
      <c r="Q235" s="627"/>
      <c r="R235" s="627"/>
      <c r="S235" s="627"/>
      <c r="T235" s="627"/>
      <c r="U235" s="294">
        <f t="shared" si="42"/>
        <v>10.023999999999999</v>
      </c>
      <c r="V235" s="295">
        <f t="shared" si="41"/>
        <v>10024</v>
      </c>
      <c r="W235" s="704"/>
    </row>
    <row r="236" spans="1:23" s="278" customFormat="1" ht="18.75">
      <c r="A236" s="314">
        <f t="shared" si="43"/>
        <v>15</v>
      </c>
      <c r="B236" s="457" t="s">
        <v>265</v>
      </c>
      <c r="C236" s="458" t="s">
        <v>266</v>
      </c>
      <c r="D236" s="703" t="s">
        <v>201</v>
      </c>
      <c r="E236" s="626"/>
      <c r="F236" s="626"/>
      <c r="G236" s="626"/>
      <c r="H236" s="626"/>
      <c r="I236" s="627"/>
      <c r="J236" s="625">
        <v>1956</v>
      </c>
      <c r="K236" s="625">
        <v>1925</v>
      </c>
      <c r="L236" s="625">
        <v>1960</v>
      </c>
      <c r="M236" s="658" t="s">
        <v>202</v>
      </c>
      <c r="N236" s="658" t="s">
        <v>202</v>
      </c>
      <c r="O236" s="627"/>
      <c r="P236" s="627"/>
      <c r="Q236" s="627"/>
      <c r="R236" s="627"/>
      <c r="S236" s="627"/>
      <c r="T236" s="627"/>
      <c r="U236" s="294">
        <f t="shared" si="42"/>
        <v>5.8410000000000002</v>
      </c>
      <c r="V236" s="295">
        <f t="shared" si="41"/>
        <v>5841</v>
      </c>
      <c r="W236" s="704"/>
    </row>
    <row r="237" spans="1:23" s="278" customFormat="1" ht="18.75">
      <c r="A237" s="314">
        <f t="shared" si="43"/>
        <v>16</v>
      </c>
      <c r="B237" s="457" t="s">
        <v>282</v>
      </c>
      <c r="C237" s="567" t="s">
        <v>283</v>
      </c>
      <c r="D237" s="703" t="s">
        <v>201</v>
      </c>
      <c r="E237" s="626"/>
      <c r="F237" s="626"/>
      <c r="G237" s="626"/>
      <c r="H237" s="626"/>
      <c r="I237" s="627"/>
      <c r="J237" s="625">
        <v>1956</v>
      </c>
      <c r="K237" s="625">
        <v>1925</v>
      </c>
      <c r="L237" s="625">
        <v>1960</v>
      </c>
      <c r="M237" s="625">
        <v>2055</v>
      </c>
      <c r="N237" s="625">
        <v>2128</v>
      </c>
      <c r="O237" s="627"/>
      <c r="P237" s="627"/>
      <c r="Q237" s="627"/>
      <c r="R237" s="627"/>
      <c r="S237" s="627"/>
      <c r="T237" s="627"/>
      <c r="U237" s="294">
        <f t="shared" si="42"/>
        <v>10.023999999999999</v>
      </c>
      <c r="V237" s="295">
        <f t="shared" si="41"/>
        <v>10024</v>
      </c>
      <c r="W237" s="704"/>
    </row>
    <row r="238" spans="1:23" s="278" customFormat="1" ht="18.75">
      <c r="A238" s="314">
        <f t="shared" si="43"/>
        <v>17</v>
      </c>
      <c r="B238" s="457" t="s">
        <v>284</v>
      </c>
      <c r="C238" s="459" t="s">
        <v>285</v>
      </c>
      <c r="D238" s="703" t="s">
        <v>201</v>
      </c>
      <c r="E238" s="626"/>
      <c r="F238" s="626"/>
      <c r="G238" s="626"/>
      <c r="H238" s="626"/>
      <c r="I238" s="627"/>
      <c r="J238" s="625">
        <v>1956</v>
      </c>
      <c r="K238" s="658" t="s">
        <v>202</v>
      </c>
      <c r="L238" s="658" t="s">
        <v>202</v>
      </c>
      <c r="M238" s="658" t="s">
        <v>202</v>
      </c>
      <c r="N238" s="625">
        <v>2128</v>
      </c>
      <c r="O238" s="627"/>
      <c r="P238" s="627"/>
      <c r="Q238" s="627"/>
      <c r="R238" s="627"/>
      <c r="S238" s="627"/>
      <c r="T238" s="627"/>
      <c r="U238" s="294">
        <f t="shared" si="42"/>
        <v>4.0839999999999996</v>
      </c>
      <c r="V238" s="295">
        <f t="shared" si="41"/>
        <v>4084</v>
      </c>
      <c r="W238" s="704"/>
    </row>
    <row r="239" spans="1:23" s="278" customFormat="1" ht="18.75">
      <c r="A239" s="314">
        <f t="shared" si="43"/>
        <v>18</v>
      </c>
      <c r="B239" s="457" t="s">
        <v>286</v>
      </c>
      <c r="C239" s="459" t="s">
        <v>287</v>
      </c>
      <c r="D239" s="703" t="s">
        <v>201</v>
      </c>
      <c r="E239" s="626"/>
      <c r="F239" s="626"/>
      <c r="G239" s="626"/>
      <c r="H239" s="626"/>
      <c r="I239" s="627"/>
      <c r="J239" s="625">
        <v>1956</v>
      </c>
      <c r="K239" s="625">
        <v>1925</v>
      </c>
      <c r="L239" s="625">
        <v>1960</v>
      </c>
      <c r="M239" s="625">
        <v>2055</v>
      </c>
      <c r="N239" s="625">
        <v>2127</v>
      </c>
      <c r="O239" s="627"/>
      <c r="P239" s="627"/>
      <c r="Q239" s="627"/>
      <c r="R239" s="627"/>
      <c r="S239" s="627"/>
      <c r="T239" s="627"/>
      <c r="U239" s="294">
        <f t="shared" si="42"/>
        <v>10.023</v>
      </c>
      <c r="V239" s="295">
        <f t="shared" si="41"/>
        <v>10023</v>
      </c>
      <c r="W239" s="704"/>
    </row>
    <row r="240" spans="1:23" s="278" customFormat="1" ht="18.75">
      <c r="A240" s="314">
        <f t="shared" si="43"/>
        <v>19</v>
      </c>
      <c r="B240" s="457" t="s">
        <v>324</v>
      </c>
      <c r="C240" s="567" t="s">
        <v>325</v>
      </c>
      <c r="D240" s="703" t="s">
        <v>201</v>
      </c>
      <c r="E240" s="626"/>
      <c r="F240" s="626"/>
      <c r="G240" s="626"/>
      <c r="H240" s="626"/>
      <c r="I240" s="627"/>
      <c r="J240" s="625">
        <v>1956</v>
      </c>
      <c r="K240" s="625">
        <v>1925</v>
      </c>
      <c r="L240" s="625">
        <v>1960</v>
      </c>
      <c r="M240" s="625">
        <v>2055</v>
      </c>
      <c r="N240" s="625">
        <v>2127</v>
      </c>
      <c r="O240" s="627"/>
      <c r="P240" s="627"/>
      <c r="Q240" s="627"/>
      <c r="R240" s="627"/>
      <c r="S240" s="627"/>
      <c r="T240" s="627"/>
      <c r="U240" s="294">
        <f t="shared" si="42"/>
        <v>10.023</v>
      </c>
      <c r="V240" s="295">
        <f t="shared" si="41"/>
        <v>10023</v>
      </c>
      <c r="W240" s="704"/>
    </row>
    <row r="241" spans="1:23" s="278" customFormat="1" ht="18.75">
      <c r="A241" s="314">
        <f t="shared" si="43"/>
        <v>20</v>
      </c>
      <c r="B241" s="457" t="s">
        <v>339</v>
      </c>
      <c r="C241" s="459" t="s">
        <v>340</v>
      </c>
      <c r="D241" s="703" t="s">
        <v>201</v>
      </c>
      <c r="E241" s="626"/>
      <c r="F241" s="626"/>
      <c r="G241" s="626"/>
      <c r="H241" s="626"/>
      <c r="I241" s="627"/>
      <c r="J241" s="625">
        <v>1956</v>
      </c>
      <c r="K241" s="625">
        <v>1925</v>
      </c>
      <c r="L241" s="625">
        <v>1960</v>
      </c>
      <c r="M241" s="625">
        <v>2055</v>
      </c>
      <c r="N241" s="625">
        <v>2127</v>
      </c>
      <c r="O241" s="627"/>
      <c r="P241" s="627"/>
      <c r="Q241" s="627"/>
      <c r="R241" s="627"/>
      <c r="S241" s="627"/>
      <c r="T241" s="627"/>
      <c r="U241" s="294">
        <f t="shared" si="42"/>
        <v>10.023</v>
      </c>
      <c r="V241" s="295">
        <f t="shared" si="41"/>
        <v>10023</v>
      </c>
      <c r="W241" s="704"/>
    </row>
    <row r="242" spans="1:23" s="278" customFormat="1" ht="15.75">
      <c r="A242" s="26"/>
      <c r="B242" s="860" t="s">
        <v>203</v>
      </c>
      <c r="C242" s="861"/>
      <c r="D242" s="26"/>
      <c r="E242" s="705">
        <f t="shared" ref="E242:V242" si="44">SUM(E222:E241)</f>
        <v>0</v>
      </c>
      <c r="F242" s="705">
        <f t="shared" si="44"/>
        <v>0</v>
      </c>
      <c r="G242" s="705">
        <f t="shared" si="44"/>
        <v>0</v>
      </c>
      <c r="H242" s="705">
        <f t="shared" si="44"/>
        <v>0</v>
      </c>
      <c r="I242" s="705">
        <f t="shared" si="44"/>
        <v>0</v>
      </c>
      <c r="J242" s="705">
        <f t="shared" si="44"/>
        <v>37170</v>
      </c>
      <c r="K242" s="705">
        <f t="shared" si="44"/>
        <v>36575</v>
      </c>
      <c r="L242" s="705">
        <f t="shared" si="44"/>
        <v>37240</v>
      </c>
      <c r="M242" s="705">
        <f t="shared" si="44"/>
        <v>36995</v>
      </c>
      <c r="N242" s="705">
        <f t="shared" si="44"/>
        <v>38290</v>
      </c>
      <c r="O242" s="705">
        <f t="shared" si="44"/>
        <v>0</v>
      </c>
      <c r="P242" s="705">
        <f t="shared" si="44"/>
        <v>0</v>
      </c>
      <c r="Q242" s="705">
        <f t="shared" si="44"/>
        <v>0</v>
      </c>
      <c r="R242" s="705">
        <f t="shared" si="44"/>
        <v>0</v>
      </c>
      <c r="S242" s="705"/>
      <c r="T242" s="705">
        <f t="shared" si="44"/>
        <v>0</v>
      </c>
      <c r="U242" s="706">
        <f t="shared" si="44"/>
        <v>186.27</v>
      </c>
      <c r="V242" s="705">
        <f t="shared" si="44"/>
        <v>186270</v>
      </c>
      <c r="W242" s="26"/>
    </row>
    <row r="243" spans="1:23" s="278" customFormat="1" ht="15.75" hidden="1">
      <c r="A243" s="280"/>
      <c r="B243" s="280"/>
      <c r="C243" s="280"/>
      <c r="D243" s="280"/>
      <c r="E243" s="300">
        <f>VLOOKUP(E221,'[4]KL mu TP to2'!$A$12:$K$26,11)</f>
        <v>33670</v>
      </c>
      <c r="F243" s="300">
        <f>VLOOKUP(F221,'[4]KL mu TP to2'!$A$12:$K$26,11)</f>
        <v>33670</v>
      </c>
      <c r="G243" s="300">
        <f>VLOOKUP(G221,'[4]KL mu TP to2'!$A$12:$K$26,11)</f>
        <v>33670</v>
      </c>
      <c r="H243" s="300">
        <f>VLOOKUP(H221,'[4]KL mu TP to2'!$A$12:$K$26,11)</f>
        <v>33670</v>
      </c>
      <c r="I243" s="300">
        <f>VLOOKUP(I221,'[4]KL mu TP to2'!$A$12:$K$26,11)</f>
        <v>33670</v>
      </c>
      <c r="J243" s="300">
        <f>VLOOKUP(J221,'[4]KL mu TP to2'!$A$12:$K$26,11)</f>
        <v>33670</v>
      </c>
      <c r="K243" s="300">
        <f>VLOOKUP(K221,'[4]KL mu TP to2'!$A$12:$K$26,11)</f>
        <v>33670</v>
      </c>
      <c r="L243" s="300">
        <f>VLOOKUP(L221,'[4]KL mu TP to2'!$A$12:$K$26,11)</f>
        <v>33670</v>
      </c>
      <c r="M243" s="300">
        <f>VLOOKUP(M221,'[4]KL mu TP to2'!$A$12:$K$26,11)</f>
        <v>33670</v>
      </c>
      <c r="N243" s="300">
        <f>VLOOKUP(N221,'[4]KL mu TP to2'!$A$12:$K$26,11)</f>
        <v>33670</v>
      </c>
      <c r="O243" s="300">
        <f>VLOOKUP(O221,'[4]KL mu TP to2'!$A$12:$K$26,11)</f>
        <v>33670</v>
      </c>
      <c r="P243" s="300">
        <f>VLOOKUP(P221,'[4]KL mu TP to2'!$A$12:$K$26,11)</f>
        <v>33670</v>
      </c>
      <c r="Q243" s="300">
        <f>VLOOKUP(Q221,'[4]KL mu TP to2'!$A$12:$K$26,11)</f>
        <v>33670</v>
      </c>
      <c r="R243" s="300">
        <f>VLOOKUP(R221,'[4]KL mu TP to2'!$A$12:$K$26,11)</f>
        <v>33670</v>
      </c>
      <c r="S243" s="300">
        <f>VLOOKUP(S221,'[4]KL mu TP to2'!$A$12:$K$26,11)</f>
        <v>33670</v>
      </c>
      <c r="T243" s="300"/>
      <c r="U243" s="301">
        <f>SUM(E243:S243)</f>
        <v>505050</v>
      </c>
      <c r="V243" s="280"/>
      <c r="W243" s="280"/>
    </row>
    <row r="244" spans="1:23" s="278" customFormat="1" ht="15.75" hidden="1">
      <c r="A244" s="280"/>
      <c r="B244" s="280"/>
      <c r="C244" s="280"/>
      <c r="D244" s="280"/>
      <c r="E244" s="284">
        <f t="shared" ref="E244:S244" si="45">COUNTIF(E222:E241,"X")+COUNTIF(E222:E241,"/")*0.5</f>
        <v>0</v>
      </c>
      <c r="F244" s="284">
        <f t="shared" si="45"/>
        <v>0</v>
      </c>
      <c r="G244" s="284">
        <f t="shared" si="45"/>
        <v>0</v>
      </c>
      <c r="H244" s="284">
        <f t="shared" si="45"/>
        <v>0</v>
      </c>
      <c r="I244" s="284">
        <f t="shared" si="45"/>
        <v>0</v>
      </c>
      <c r="J244" s="284">
        <f t="shared" si="45"/>
        <v>0</v>
      </c>
      <c r="K244" s="284">
        <f t="shared" si="45"/>
        <v>0</v>
      </c>
      <c r="L244" s="284">
        <f t="shared" si="45"/>
        <v>0</v>
      </c>
      <c r="M244" s="284">
        <f t="shared" si="45"/>
        <v>0</v>
      </c>
      <c r="N244" s="284">
        <f t="shared" si="45"/>
        <v>0</v>
      </c>
      <c r="O244" s="284">
        <f t="shared" si="45"/>
        <v>0</v>
      </c>
      <c r="P244" s="284">
        <f t="shared" si="45"/>
        <v>0</v>
      </c>
      <c r="Q244" s="284">
        <f t="shared" si="45"/>
        <v>0</v>
      </c>
      <c r="R244" s="284">
        <f t="shared" si="45"/>
        <v>0</v>
      </c>
      <c r="S244" s="284">
        <f t="shared" si="45"/>
        <v>0</v>
      </c>
      <c r="T244" s="284"/>
      <c r="U244" s="284">
        <f>COUNTIF(U222:U237,"X")</f>
        <v>0</v>
      </c>
      <c r="V244" s="280"/>
      <c r="W244" s="280"/>
    </row>
    <row r="245" spans="1:23" s="278" customFormat="1" ht="15.75" hidden="1">
      <c r="A245" s="280"/>
      <c r="B245" s="280"/>
      <c r="C245" s="280"/>
      <c r="D245" s="280"/>
      <c r="E245" s="302">
        <f>E243/E246</f>
        <v>1603.3333333333333</v>
      </c>
      <c r="F245" s="284">
        <f t="shared" ref="F245:K245" si="46">F243/F246</f>
        <v>1870.5555555555557</v>
      </c>
      <c r="G245" s="284">
        <f t="shared" si="46"/>
        <v>1603.3333333333333</v>
      </c>
      <c r="H245" s="302">
        <f t="shared" si="46"/>
        <v>1683.5</v>
      </c>
      <c r="I245" s="302" t="e">
        <f t="shared" si="46"/>
        <v>#DIV/0!</v>
      </c>
      <c r="J245" s="284" t="e">
        <f t="shared" si="46"/>
        <v>#DIV/0!</v>
      </c>
      <c r="K245" s="284" t="e">
        <f t="shared" si="46"/>
        <v>#DIV/0!</v>
      </c>
      <c r="L245" s="303" t="e">
        <f>ROUND(L243/L246,1)</f>
        <v>#DIV/0!</v>
      </c>
      <c r="M245" s="303" t="e">
        <f t="shared" ref="M245:Q245" si="47">ROUND(M243/M246,1)</f>
        <v>#DIV/0!</v>
      </c>
      <c r="N245" s="303">
        <f t="shared" si="47"/>
        <v>1772.1</v>
      </c>
      <c r="O245" s="303">
        <f t="shared" si="47"/>
        <v>1870.6</v>
      </c>
      <c r="P245" s="303">
        <f t="shared" si="47"/>
        <v>1683.5</v>
      </c>
      <c r="Q245" s="303">
        <f t="shared" si="47"/>
        <v>1683.5</v>
      </c>
      <c r="R245" s="303">
        <f>ROUND(R243/R246,1)</f>
        <v>1772.1</v>
      </c>
      <c r="S245" s="303">
        <f t="shared" ref="S245" si="48">ROUND(S243/S246,1)</f>
        <v>1870.6</v>
      </c>
      <c r="T245" s="303"/>
      <c r="U245" s="280"/>
      <c r="V245" s="280"/>
      <c r="W245" s="280"/>
    </row>
    <row r="246" spans="1:23" s="278" customFormat="1" ht="15.75" hidden="1">
      <c r="A246" s="280"/>
      <c r="B246" s="280"/>
      <c r="C246" s="280"/>
      <c r="D246" s="280"/>
      <c r="E246" s="284">
        <v>21</v>
      </c>
      <c r="F246" s="284">
        <v>18</v>
      </c>
      <c r="G246" s="284">
        <v>21</v>
      </c>
      <c r="H246" s="284">
        <v>20</v>
      </c>
      <c r="I246" s="284">
        <v>0</v>
      </c>
      <c r="J246" s="280">
        <v>0</v>
      </c>
      <c r="K246" s="280">
        <v>0</v>
      </c>
      <c r="L246" s="280">
        <v>0</v>
      </c>
      <c r="M246" s="284">
        <v>0</v>
      </c>
      <c r="N246" s="284">
        <v>19</v>
      </c>
      <c r="O246" s="284">
        <v>18</v>
      </c>
      <c r="P246" s="284">
        <v>20</v>
      </c>
      <c r="Q246" s="284">
        <v>20</v>
      </c>
      <c r="R246" s="284">
        <v>19</v>
      </c>
      <c r="S246" s="284">
        <v>18</v>
      </c>
      <c r="T246" s="284"/>
      <c r="U246" s="280"/>
      <c r="V246" s="280"/>
      <c r="W246" s="280"/>
    </row>
    <row r="247" spans="1:23" s="278" customFormat="1" ht="15.75" hidden="1">
      <c r="A247" s="240"/>
      <c r="B247" s="240"/>
      <c r="C247" s="240"/>
      <c r="D247" s="240"/>
      <c r="E247" s="246">
        <f>E243-E242</f>
        <v>33670</v>
      </c>
      <c r="F247" s="246">
        <f t="shared" ref="F247:S247" si="49">F243-F242</f>
        <v>33670</v>
      </c>
      <c r="G247" s="246">
        <f t="shared" si="49"/>
        <v>33670</v>
      </c>
      <c r="H247" s="246">
        <f t="shared" si="49"/>
        <v>33670</v>
      </c>
      <c r="I247" s="246">
        <f t="shared" si="49"/>
        <v>33670</v>
      </c>
      <c r="J247" s="246">
        <f t="shared" si="49"/>
        <v>-3500</v>
      </c>
      <c r="K247" s="246">
        <f t="shared" si="49"/>
        <v>-2905</v>
      </c>
      <c r="L247" s="246">
        <f t="shared" si="49"/>
        <v>-3570</v>
      </c>
      <c r="M247" s="246">
        <f t="shared" si="49"/>
        <v>-3325</v>
      </c>
      <c r="N247" s="246">
        <f t="shared" si="49"/>
        <v>-4620</v>
      </c>
      <c r="O247" s="246">
        <f t="shared" si="49"/>
        <v>33670</v>
      </c>
      <c r="P247" s="246">
        <f t="shared" si="49"/>
        <v>33670</v>
      </c>
      <c r="Q247" s="246">
        <f t="shared" si="49"/>
        <v>33670</v>
      </c>
      <c r="R247" s="246">
        <f t="shared" si="49"/>
        <v>33670</v>
      </c>
      <c r="S247" s="246">
        <f t="shared" si="49"/>
        <v>33670</v>
      </c>
      <c r="T247" s="246"/>
      <c r="U247" s="240"/>
      <c r="V247" s="240"/>
      <c r="W247" s="240"/>
    </row>
    <row r="248" spans="1:23" s="278" customFormat="1" ht="15.75" hidden="1">
      <c r="A248" s="280"/>
      <c r="B248" s="280"/>
      <c r="C248" s="280"/>
      <c r="D248" s="280"/>
      <c r="E248" s="284"/>
      <c r="F248" s="284">
        <f>F245/2</f>
        <v>935.27777777777783</v>
      </c>
      <c r="G248" s="284"/>
      <c r="H248" s="284">
        <f>H245/2</f>
        <v>841.75</v>
      </c>
      <c r="I248" s="280"/>
      <c r="J248" s="280"/>
      <c r="K248" s="280"/>
      <c r="L248" s="280"/>
      <c r="M248" s="280"/>
      <c r="N248" s="280"/>
      <c r="O248" s="280">
        <f>O245/2</f>
        <v>935.3</v>
      </c>
      <c r="P248" s="280"/>
      <c r="Q248" s="280"/>
      <c r="R248" s="280">
        <f>R245/2</f>
        <v>886.05</v>
      </c>
      <c r="S248" s="280"/>
      <c r="T248" s="280"/>
      <c r="U248" s="280"/>
      <c r="V248" s="280"/>
      <c r="W248" s="280"/>
    </row>
    <row r="249" spans="1:23" s="278" customFormat="1" ht="15.75">
      <c r="A249" s="240"/>
      <c r="B249" s="240"/>
      <c r="C249" s="240"/>
      <c r="D249" s="240"/>
      <c r="E249" s="256"/>
      <c r="F249" s="256"/>
      <c r="G249" s="256"/>
      <c r="H249" s="256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</row>
    <row r="250" spans="1:23" s="278" customFormat="1" ht="15.75">
      <c r="A250" s="240"/>
      <c r="B250" s="240"/>
      <c r="C250" s="240"/>
      <c r="D250" s="240"/>
      <c r="E250" s="256"/>
      <c r="F250" s="256"/>
      <c r="G250" s="256"/>
      <c r="H250" s="256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</row>
    <row r="251" spans="1:23" s="278" customFormat="1" ht="15">
      <c r="E251" s="291"/>
      <c r="F251" s="291"/>
      <c r="G251" s="291"/>
      <c r="H251" s="291"/>
      <c r="I251" s="291"/>
      <c r="J251" s="291"/>
      <c r="K251" s="291"/>
      <c r="L251" s="291"/>
      <c r="M251" s="291"/>
      <c r="N251" s="291"/>
      <c r="O251" s="291"/>
      <c r="P251" s="291"/>
      <c r="Q251" s="291"/>
      <c r="R251" s="291"/>
      <c r="S251" s="291"/>
      <c r="T251" s="291"/>
      <c r="U251" s="291"/>
    </row>
    <row r="252" spans="1:23" s="278" customFormat="1" ht="15">
      <c r="E252" s="291"/>
      <c r="F252" s="291"/>
      <c r="G252" s="291"/>
      <c r="H252" s="291"/>
      <c r="I252" s="291"/>
      <c r="J252" s="291"/>
      <c r="K252" s="291"/>
      <c r="L252" s="291"/>
      <c r="M252" s="291"/>
      <c r="N252" s="291"/>
      <c r="O252" s="291"/>
      <c r="P252" s="291"/>
      <c r="Q252" s="291"/>
      <c r="R252" s="291"/>
      <c r="S252" s="291"/>
      <c r="T252" s="291"/>
      <c r="U252" s="291"/>
    </row>
    <row r="253" spans="1:23" s="278" customFormat="1" ht="15">
      <c r="E253" s="291"/>
      <c r="F253" s="291"/>
      <c r="G253" s="291"/>
      <c r="H253" s="291"/>
      <c r="I253" s="291"/>
      <c r="J253" s="291"/>
      <c r="K253" s="291"/>
      <c r="L253" s="291"/>
      <c r="M253" s="291"/>
      <c r="N253" s="291"/>
      <c r="O253" s="291"/>
      <c r="P253" s="291"/>
      <c r="Q253" s="291"/>
      <c r="R253" s="291"/>
      <c r="S253" s="291"/>
      <c r="T253" s="291"/>
      <c r="U253" s="291"/>
    </row>
    <row r="254" spans="1:23" s="278" customFormat="1" ht="15">
      <c r="E254" s="291"/>
      <c r="F254" s="291"/>
      <c r="G254" s="291"/>
      <c r="H254" s="291"/>
      <c r="I254" s="291"/>
      <c r="J254" s="291"/>
      <c r="K254" s="291"/>
      <c r="L254" s="291"/>
      <c r="M254" s="291"/>
      <c r="N254" s="291"/>
      <c r="O254" s="291"/>
      <c r="P254" s="291"/>
      <c r="Q254" s="291"/>
      <c r="R254" s="291"/>
      <c r="S254" s="291"/>
      <c r="T254" s="291"/>
      <c r="U254" s="291"/>
    </row>
    <row r="255" spans="1:23" s="278" customFormat="1" ht="15">
      <c r="E255" s="291"/>
      <c r="F255" s="291"/>
      <c r="G255" s="291"/>
      <c r="H255" s="291"/>
      <c r="I255" s="291"/>
      <c r="J255" s="291"/>
      <c r="K255" s="291"/>
      <c r="L255" s="291"/>
      <c r="M255" s="291"/>
      <c r="N255" s="291"/>
      <c r="O255" s="291"/>
      <c r="P255" s="291"/>
      <c r="Q255" s="291"/>
      <c r="R255" s="291"/>
      <c r="S255" s="291"/>
      <c r="T255" s="291"/>
      <c r="U255" s="291"/>
    </row>
    <row r="256" spans="1:23" s="280" customFormat="1" ht="14.25" hidden="1" customHeight="1">
      <c r="E256" s="300" t="e">
        <f>VLOOKUP(#REF!,'[4]KL mu TP to2'!$A$12:$K$26,11)</f>
        <v>#REF!</v>
      </c>
      <c r="F256" s="300" t="e">
        <f>VLOOKUP(#REF!,'[4]KL mu TP to2'!$A$12:$K$26,11)</f>
        <v>#REF!</v>
      </c>
      <c r="G256" s="300" t="e">
        <f>VLOOKUP(#REF!,'[4]KL mu TP to2'!$A$12:$K$26,11)</f>
        <v>#REF!</v>
      </c>
      <c r="H256" s="300" t="e">
        <f>VLOOKUP(#REF!,'[4]KL mu TP to2'!$A$12:$K$26,11)</f>
        <v>#REF!</v>
      </c>
      <c r="I256" s="300" t="e">
        <f>VLOOKUP(#REF!,'[4]KL mu TP to2'!$A$12:$K$26,11)</f>
        <v>#REF!</v>
      </c>
      <c r="J256" s="300" t="e">
        <f>VLOOKUP(#REF!,'[4]KL mu TP to2'!$A$12:$K$26,11)</f>
        <v>#REF!</v>
      </c>
      <c r="K256" s="300" t="e">
        <f>VLOOKUP(#REF!,'[4]KL mu TP to2'!$A$12:$K$26,11)</f>
        <v>#REF!</v>
      </c>
      <c r="L256" s="300" t="e">
        <f>VLOOKUP(#REF!,'[4]KL mu TP to2'!$A$12:$K$26,11)</f>
        <v>#REF!</v>
      </c>
      <c r="M256" s="300" t="e">
        <f>VLOOKUP(#REF!,'[4]KL mu TP to2'!$A$12:$K$26,11)</f>
        <v>#REF!</v>
      </c>
      <c r="N256" s="300" t="e">
        <f>VLOOKUP(#REF!,'[4]KL mu TP to2'!$A$12:$K$26,11)</f>
        <v>#REF!</v>
      </c>
      <c r="O256" s="300" t="e">
        <f>VLOOKUP(#REF!,'[4]KL mu TP to2'!$A$12:$K$26,11)</f>
        <v>#REF!</v>
      </c>
      <c r="P256" s="300" t="e">
        <f>VLOOKUP(#REF!,'[4]KL mu TP to2'!$A$12:$K$26,11)</f>
        <v>#REF!</v>
      </c>
      <c r="Q256" s="300" t="e">
        <f>VLOOKUP(#REF!,'[4]KL mu TP to2'!$A$12:$K$26,11)</f>
        <v>#REF!</v>
      </c>
      <c r="R256" s="300" t="e">
        <f>VLOOKUP(#REF!,'[4]KL mu TP to2'!$A$12:$K$26,11)</f>
        <v>#REF!</v>
      </c>
      <c r="S256" s="300" t="e">
        <f>VLOOKUP(#REF!,'[4]KL mu TP to2'!$A$12:$K$26,11)</f>
        <v>#REF!</v>
      </c>
      <c r="T256" s="300"/>
      <c r="U256" s="301" t="e">
        <f>SUM(E256:S256)</f>
        <v>#REF!</v>
      </c>
    </row>
    <row r="257" spans="5:21" s="280" customFormat="1" ht="15.75" hidden="1">
      <c r="E257" s="284" t="e">
        <f>COUNTIF(#REF!,"X")+COUNTIF(#REF!,"/")*0.5</f>
        <v>#REF!</v>
      </c>
      <c r="F257" s="284" t="e">
        <f>COUNTIF(#REF!,"X")+COUNTIF(#REF!,"/")*0.5</f>
        <v>#REF!</v>
      </c>
      <c r="G257" s="284" t="e">
        <f>COUNTIF(#REF!,"X")+COUNTIF(#REF!,"/")*0.5</f>
        <v>#REF!</v>
      </c>
      <c r="H257" s="284" t="e">
        <f>COUNTIF(#REF!,"X")+COUNTIF(#REF!,"/")*0.5</f>
        <v>#REF!</v>
      </c>
      <c r="I257" s="284" t="e">
        <f>COUNTIF(#REF!,"X")+COUNTIF(#REF!,"/")*0.5</f>
        <v>#REF!</v>
      </c>
      <c r="J257" s="284" t="e">
        <f>COUNTIF(#REF!,"X")+COUNTIF(#REF!,"/")*0.5</f>
        <v>#REF!</v>
      </c>
      <c r="K257" s="284" t="e">
        <f>COUNTIF(#REF!,"X")+COUNTIF(#REF!,"/")*0.5</f>
        <v>#REF!</v>
      </c>
      <c r="L257" s="284" t="e">
        <f>COUNTIF(#REF!,"X")+COUNTIF(#REF!,"/")*0.5</f>
        <v>#REF!</v>
      </c>
      <c r="M257" s="284" t="e">
        <f>COUNTIF(#REF!,"X")+COUNTIF(#REF!,"/")*0.5</f>
        <v>#REF!</v>
      </c>
      <c r="N257" s="284" t="e">
        <f>COUNTIF(#REF!,"X")+COUNTIF(#REF!,"/")*0.5</f>
        <v>#REF!</v>
      </c>
      <c r="O257" s="284" t="e">
        <f>COUNTIF(#REF!,"X")+COUNTIF(#REF!,"/")*0.5</f>
        <v>#REF!</v>
      </c>
      <c r="P257" s="284" t="e">
        <f>COUNTIF(#REF!,"X")+COUNTIF(#REF!,"/")*0.5</f>
        <v>#REF!</v>
      </c>
      <c r="Q257" s="284" t="e">
        <f>COUNTIF(#REF!,"X")+COUNTIF(#REF!,"/")*0.5</f>
        <v>#REF!</v>
      </c>
      <c r="R257" s="284" t="e">
        <f>COUNTIF(#REF!,"X")+COUNTIF(#REF!,"/")*0.5</f>
        <v>#REF!</v>
      </c>
      <c r="S257" s="284" t="e">
        <f>COUNTIF(#REF!,"X")+COUNTIF(#REF!,"/")*0.5</f>
        <v>#REF!</v>
      </c>
      <c r="T257" s="284"/>
      <c r="U257" s="284" t="e">
        <f>COUNTIF(#REF!,"X")</f>
        <v>#REF!</v>
      </c>
    </row>
    <row r="258" spans="5:21" s="280" customFormat="1" ht="15.75" hidden="1">
      <c r="E258"/>
      <c r="F258" s="284" t="e">
        <f t="shared" ref="F258:K258" si="50">F256/F259</f>
        <v>#REF!</v>
      </c>
      <c r="G258" s="284" t="e">
        <f t="shared" si="50"/>
        <v>#REF!</v>
      </c>
      <c r="H258" s="302" t="e">
        <f t="shared" si="50"/>
        <v>#REF!</v>
      </c>
      <c r="I258" s="302" t="e">
        <f t="shared" si="50"/>
        <v>#REF!</v>
      </c>
      <c r="J258" s="284" t="e">
        <f t="shared" si="50"/>
        <v>#REF!</v>
      </c>
      <c r="K258" s="284" t="e">
        <f t="shared" si="50"/>
        <v>#REF!</v>
      </c>
      <c r="L258" s="303" t="e">
        <f>ROUND(L256/L259,1)</f>
        <v>#REF!</v>
      </c>
      <c r="M258" s="303" t="e">
        <f t="shared" ref="M258:S258" si="51">ROUND(M256/M259,1)</f>
        <v>#REF!</v>
      </c>
      <c r="N258" s="303" t="e">
        <f t="shared" si="51"/>
        <v>#REF!</v>
      </c>
      <c r="O258" s="303" t="e">
        <f t="shared" si="51"/>
        <v>#REF!</v>
      </c>
      <c r="P258" s="303" t="e">
        <f t="shared" si="51"/>
        <v>#REF!</v>
      </c>
      <c r="Q258" s="303" t="e">
        <f t="shared" si="51"/>
        <v>#REF!</v>
      </c>
      <c r="R258" s="303" t="e">
        <f>ROUND(R256/R259,1)</f>
        <v>#REF!</v>
      </c>
      <c r="S258" s="303" t="e">
        <f t="shared" si="51"/>
        <v>#REF!</v>
      </c>
      <c r="T258" s="303"/>
    </row>
    <row r="259" spans="5:21" s="280" customFormat="1" ht="15.75" hidden="1">
      <c r="E259" s="284">
        <v>21</v>
      </c>
      <c r="F259" s="284">
        <v>18</v>
      </c>
      <c r="G259" s="284">
        <v>21</v>
      </c>
      <c r="H259" s="284">
        <v>20</v>
      </c>
      <c r="I259" s="284">
        <v>0</v>
      </c>
      <c r="J259" s="280">
        <v>0</v>
      </c>
      <c r="K259" s="280">
        <v>0</v>
      </c>
      <c r="L259" s="280">
        <v>0</v>
      </c>
      <c r="M259" s="284">
        <v>0</v>
      </c>
      <c r="N259" s="284">
        <v>20</v>
      </c>
      <c r="O259" s="284">
        <v>21</v>
      </c>
      <c r="P259" s="284">
        <v>21</v>
      </c>
      <c r="Q259" s="284">
        <v>21</v>
      </c>
      <c r="R259" s="284">
        <v>20</v>
      </c>
      <c r="S259" s="284">
        <v>21</v>
      </c>
      <c r="T259" s="284"/>
    </row>
    <row r="260" spans="5:21" ht="15.75" hidden="1">
      <c r="E260" s="246" t="e">
        <f>E256-#REF!</f>
        <v>#REF!</v>
      </c>
      <c r="F260" s="246" t="e">
        <f>F256-#REF!</f>
        <v>#REF!</v>
      </c>
      <c r="G260" s="246" t="e">
        <f>G256-#REF!</f>
        <v>#REF!</v>
      </c>
      <c r="H260" s="246" t="e">
        <f>H256-#REF!</f>
        <v>#REF!</v>
      </c>
      <c r="I260" s="246" t="e">
        <f>I256-#REF!</f>
        <v>#REF!</v>
      </c>
      <c r="J260" s="246" t="e">
        <f>J256-#REF!</f>
        <v>#REF!</v>
      </c>
      <c r="K260" s="246" t="e">
        <f>K256-#REF!</f>
        <v>#REF!</v>
      </c>
      <c r="L260" s="246" t="e">
        <f>L256-#REF!</f>
        <v>#REF!</v>
      </c>
      <c r="M260" s="246" t="e">
        <f>M256-#REF!</f>
        <v>#REF!</v>
      </c>
      <c r="N260" s="246" t="e">
        <f>N256-#REF!</f>
        <v>#REF!</v>
      </c>
      <c r="O260" s="246" t="e">
        <f>O256-#REF!</f>
        <v>#REF!</v>
      </c>
      <c r="P260" s="246" t="e">
        <f>P256-#REF!</f>
        <v>#REF!</v>
      </c>
      <c r="Q260" s="246" t="e">
        <f>Q256-#REF!</f>
        <v>#REF!</v>
      </c>
      <c r="R260" s="246" t="e">
        <f>R256-#REF!</f>
        <v>#REF!</v>
      </c>
      <c r="S260" s="246" t="e">
        <f>S256-#REF!</f>
        <v>#REF!</v>
      </c>
      <c r="T260" s="246"/>
      <c r="U260" s="240"/>
    </row>
    <row r="261" spans="5:21" s="280" customFormat="1" ht="15.75" hidden="1">
      <c r="E261" s="284"/>
      <c r="F261" s="284" t="e">
        <f>F258/2</f>
        <v>#REF!</v>
      </c>
      <c r="G261" s="284"/>
      <c r="H261" s="284" t="e">
        <f>H258/2</f>
        <v>#REF!</v>
      </c>
      <c r="O261" s="280" t="e">
        <f>O258/2</f>
        <v>#REF!</v>
      </c>
      <c r="R261" s="280" t="e">
        <f>R258/2</f>
        <v>#REF!</v>
      </c>
    </row>
    <row r="262" spans="5:21" ht="15.75">
      <c r="E262" s="256"/>
      <c r="F262" s="256"/>
      <c r="G262" s="256"/>
      <c r="H262" s="256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</row>
  </sheetData>
  <mergeCells count="89">
    <mergeCell ref="A91:W91"/>
    <mergeCell ref="E92:T92"/>
    <mergeCell ref="B93:C93"/>
    <mergeCell ref="B105:C105"/>
    <mergeCell ref="A120:E120"/>
    <mergeCell ref="U120:V120"/>
    <mergeCell ref="A1:E1"/>
    <mergeCell ref="L1:M1"/>
    <mergeCell ref="U1:V1"/>
    <mergeCell ref="A2:E2"/>
    <mergeCell ref="L2:M2"/>
    <mergeCell ref="U2:V2"/>
    <mergeCell ref="A52:E52"/>
    <mergeCell ref="U52:V52"/>
    <mergeCell ref="A3:E3"/>
    <mergeCell ref="U3:V3"/>
    <mergeCell ref="A4:E4"/>
    <mergeCell ref="M4:W4"/>
    <mergeCell ref="A5:W5"/>
    <mergeCell ref="A6:W6"/>
    <mergeCell ref="A7:W7"/>
    <mergeCell ref="A8:W8"/>
    <mergeCell ref="B10:C10"/>
    <mergeCell ref="B20:C20"/>
    <mergeCell ref="E9:T9"/>
    <mergeCell ref="B63:C63"/>
    <mergeCell ref="A53:E53"/>
    <mergeCell ref="U53:V53"/>
    <mergeCell ref="A54:E54"/>
    <mergeCell ref="U54:V54"/>
    <mergeCell ref="A55:E55"/>
    <mergeCell ref="U55:V55"/>
    <mergeCell ref="A58:W58"/>
    <mergeCell ref="A59:W59"/>
    <mergeCell ref="A60:W60"/>
    <mergeCell ref="A61:W61"/>
    <mergeCell ref="E62:T62"/>
    <mergeCell ref="B73:C73"/>
    <mergeCell ref="A84:E84"/>
    <mergeCell ref="A85:E85"/>
    <mergeCell ref="U85:V85"/>
    <mergeCell ref="A86:E86"/>
    <mergeCell ref="U86:V86"/>
    <mergeCell ref="A87:E87"/>
    <mergeCell ref="U87:V87"/>
    <mergeCell ref="A88:W88"/>
    <mergeCell ref="A89:W89"/>
    <mergeCell ref="A90:W90"/>
    <mergeCell ref="A121:E121"/>
    <mergeCell ref="U121:V121"/>
    <mergeCell ref="A122:E122"/>
    <mergeCell ref="A170:E170"/>
    <mergeCell ref="U170:V170"/>
    <mergeCell ref="U122:V122"/>
    <mergeCell ref="A123:E123"/>
    <mergeCell ref="U123:V123"/>
    <mergeCell ref="A124:W124"/>
    <mergeCell ref="A125:W125"/>
    <mergeCell ref="A126:W126"/>
    <mergeCell ref="A127:W127"/>
    <mergeCell ref="E128:T128"/>
    <mergeCell ref="B129:C129"/>
    <mergeCell ref="B143:C143"/>
    <mergeCell ref="A212:E212"/>
    <mergeCell ref="U212:V212"/>
    <mergeCell ref="A171:E171"/>
    <mergeCell ref="U171:V171"/>
    <mergeCell ref="A172:E172"/>
    <mergeCell ref="U172:V172"/>
    <mergeCell ref="A173:W173"/>
    <mergeCell ref="A174:W174"/>
    <mergeCell ref="A175:W175"/>
    <mergeCell ref="A176:W176"/>
    <mergeCell ref="B178:C178"/>
    <mergeCell ref="B201:C201"/>
    <mergeCell ref="E177:T177"/>
    <mergeCell ref="A213:E213"/>
    <mergeCell ref="U213:V213"/>
    <mergeCell ref="A214:E214"/>
    <mergeCell ref="U214:V214"/>
    <mergeCell ref="A215:E215"/>
    <mergeCell ref="U215:V215"/>
    <mergeCell ref="B242:C242"/>
    <mergeCell ref="A216:W216"/>
    <mergeCell ref="A217:W217"/>
    <mergeCell ref="A218:W218"/>
    <mergeCell ref="A219:W219"/>
    <mergeCell ref="B221:C221"/>
    <mergeCell ref="E220:T220"/>
  </mergeCells>
  <printOptions horizontalCentered="1"/>
  <pageMargins left="0.11811023622047245" right="3.937007874015748E-2" top="0.43307086614173229" bottom="0.23622047244094491" header="0.23622047244094491" footer="0.23622047244094491"/>
  <pageSetup paperSize="9" scale="7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Y97"/>
  <sheetViews>
    <sheetView view="pageBreakPreview" topLeftCell="A49" zoomScale="85" zoomScaleNormal="70" zoomScaleSheetLayoutView="85" zoomScalePageLayoutView="85" workbookViewId="0">
      <selection activeCell="A10" sqref="A10"/>
    </sheetView>
  </sheetViews>
  <sheetFormatPr defaultColWidth="9" defaultRowHeight="18.75"/>
  <cols>
    <col min="1" max="1" width="6.75" style="358" customWidth="1"/>
    <col min="2" max="2" width="14.625" style="358" customWidth="1"/>
    <col min="3" max="3" width="17.625" style="284" customWidth="1"/>
    <col min="4" max="4" width="8.5" style="485" customWidth="1"/>
    <col min="5" max="5" width="8.75" style="485" customWidth="1"/>
    <col min="6" max="9" width="7.625" style="485" customWidth="1"/>
    <col min="10" max="10" width="7.125" style="485" customWidth="1"/>
    <col min="11" max="11" width="7" style="485" customWidth="1"/>
    <col min="12" max="12" width="7.125" style="485" customWidth="1"/>
    <col min="13" max="13" width="6.875" style="485" customWidth="1"/>
    <col min="14" max="14" width="7.75" style="485" customWidth="1"/>
    <col min="15" max="15" width="7.125" style="485" customWidth="1"/>
    <col min="16" max="16" width="6.875" style="485" customWidth="1"/>
    <col min="17" max="17" width="7.375" style="485" customWidth="1"/>
    <col min="18" max="18" width="7.25" style="485" customWidth="1"/>
    <col min="19" max="19" width="7.625" style="485" customWidth="1"/>
    <col min="20" max="20" width="6.375" style="485" customWidth="1"/>
    <col min="21" max="21" width="6.5" style="484" bestFit="1" customWidth="1"/>
    <col min="22" max="22" width="7.125" style="484" customWidth="1"/>
    <col min="23" max="23" width="5.125" style="484" customWidth="1"/>
    <col min="24" max="24" width="8.375" style="484" hidden="1" customWidth="1"/>
    <col min="25" max="25" width="6.5" style="484" hidden="1" customWidth="1"/>
    <col min="26" max="26" width="8.875" style="358" customWidth="1"/>
    <col min="27" max="27" width="10.25" style="358" customWidth="1"/>
    <col min="28" max="28" width="8.375" style="358" customWidth="1"/>
    <col min="29" max="29" width="9.75" style="358" customWidth="1"/>
    <col min="30" max="30" width="18.625" style="358" customWidth="1"/>
    <col min="31" max="31" width="11" style="358" customWidth="1"/>
    <col min="32" max="32" width="11.25" style="358" customWidth="1"/>
    <col min="33" max="33" width="11.5" style="358" customWidth="1"/>
    <col min="34" max="16384" width="9" style="358"/>
  </cols>
  <sheetData>
    <row r="1" spans="1:233" s="282" customFormat="1" ht="27.95" customHeight="1">
      <c r="A1" s="886" t="s">
        <v>0</v>
      </c>
      <c r="B1" s="886"/>
      <c r="C1" s="886"/>
      <c r="D1" s="886"/>
      <c r="E1" s="886"/>
      <c r="F1" s="886"/>
      <c r="G1" s="886"/>
      <c r="H1" s="886"/>
      <c r="I1" s="536"/>
      <c r="J1" s="536"/>
      <c r="K1" s="536"/>
      <c r="L1" s="536"/>
      <c r="M1" s="887" t="s">
        <v>1</v>
      </c>
      <c r="N1" s="887"/>
      <c r="O1" s="887"/>
      <c r="P1" s="887"/>
      <c r="Q1" s="887"/>
      <c r="R1" s="887"/>
      <c r="S1" s="887"/>
      <c r="T1" s="887"/>
      <c r="U1" s="887"/>
      <c r="V1" s="887"/>
      <c r="W1" s="887"/>
      <c r="X1" s="887"/>
      <c r="Y1" s="887"/>
      <c r="Z1" s="887"/>
      <c r="AA1" s="887"/>
      <c r="AB1" s="535"/>
    </row>
    <row r="2" spans="1:233" s="354" customFormat="1" ht="23.45" customHeight="1">
      <c r="A2" s="852" t="s">
        <v>2</v>
      </c>
      <c r="B2" s="852"/>
      <c r="C2" s="852"/>
      <c r="D2" s="852"/>
      <c r="E2" s="852"/>
      <c r="F2" s="852"/>
      <c r="G2" s="852"/>
      <c r="H2" s="852"/>
      <c r="I2" s="537"/>
      <c r="J2" s="537"/>
      <c r="K2" s="534"/>
      <c r="L2" s="534"/>
      <c r="M2" s="858" t="s">
        <v>3</v>
      </c>
      <c r="N2" s="858"/>
      <c r="O2" s="858"/>
      <c r="P2" s="858"/>
      <c r="Q2" s="858"/>
      <c r="R2" s="858"/>
      <c r="S2" s="858"/>
      <c r="T2" s="858"/>
      <c r="U2" s="858"/>
      <c r="V2" s="858"/>
      <c r="W2" s="858"/>
      <c r="X2" s="858"/>
      <c r="Y2" s="858"/>
      <c r="Z2" s="858"/>
      <c r="AA2" s="858"/>
      <c r="AB2" s="257"/>
    </row>
    <row r="3" spans="1:233" s="282" customFormat="1" ht="27.95" customHeight="1">
      <c r="A3" s="886" t="s">
        <v>4</v>
      </c>
      <c r="B3" s="886"/>
      <c r="C3" s="886"/>
      <c r="D3" s="886"/>
      <c r="E3" s="886"/>
      <c r="F3" s="886"/>
      <c r="G3" s="886"/>
      <c r="H3" s="886"/>
      <c r="I3" s="537"/>
      <c r="J3" s="537"/>
      <c r="K3" s="536"/>
      <c r="L3" s="536"/>
      <c r="M3" s="887" t="s">
        <v>5</v>
      </c>
      <c r="N3" s="887"/>
      <c r="O3" s="887"/>
      <c r="P3" s="887"/>
      <c r="Q3" s="887"/>
      <c r="R3" s="887"/>
      <c r="S3" s="887"/>
      <c r="T3" s="887"/>
      <c r="U3" s="887"/>
      <c r="V3" s="887"/>
      <c r="W3" s="887"/>
      <c r="X3" s="887"/>
      <c r="Y3" s="887"/>
      <c r="Z3" s="887"/>
      <c r="AA3" s="887"/>
      <c r="AB3" s="535"/>
    </row>
    <row r="4" spans="1:233" s="354" customFormat="1" ht="21.6" customHeight="1">
      <c r="A4" s="852" t="s">
        <v>6</v>
      </c>
      <c r="B4" s="852"/>
      <c r="C4" s="852"/>
      <c r="D4" s="852"/>
      <c r="E4" s="852"/>
      <c r="F4" s="852"/>
      <c r="G4" s="852"/>
      <c r="H4" s="852"/>
      <c r="I4" s="534"/>
      <c r="J4" s="534"/>
      <c r="K4" s="534"/>
      <c r="L4" s="534"/>
      <c r="M4" s="853" t="s">
        <v>7</v>
      </c>
      <c r="N4" s="853"/>
      <c r="O4" s="853"/>
      <c r="P4" s="853"/>
      <c r="Q4" s="853"/>
      <c r="R4" s="853"/>
      <c r="S4" s="853"/>
      <c r="T4" s="853"/>
      <c r="U4" s="853"/>
      <c r="V4" s="853"/>
      <c r="W4" s="853"/>
      <c r="X4" s="853"/>
      <c r="Y4" s="853"/>
      <c r="Z4" s="853"/>
      <c r="AA4" s="853"/>
      <c r="AB4" s="240"/>
    </row>
    <row r="5" spans="1:233" s="356" customFormat="1" ht="12.75" customHeight="1">
      <c r="A5" s="583"/>
      <c r="B5" s="583"/>
      <c r="C5" s="58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 s="533"/>
      <c r="R5" s="263"/>
      <c r="S5" s="263"/>
      <c r="T5" s="263"/>
      <c r="U5" s="532"/>
      <c r="V5" s="532"/>
      <c r="W5" s="532"/>
      <c r="X5" s="532"/>
      <c r="Y5" s="532"/>
      <c r="Z5" s="240"/>
      <c r="AA5" s="240"/>
      <c r="AB5" s="240"/>
    </row>
    <row r="6" spans="1:233" s="529" customFormat="1" ht="33" customHeight="1">
      <c r="A6" s="888" t="s">
        <v>329</v>
      </c>
      <c r="B6" s="888"/>
      <c r="C6" s="888"/>
      <c r="D6" s="888"/>
      <c r="E6" s="888"/>
      <c r="F6" s="888"/>
      <c r="G6" s="888"/>
      <c r="H6" s="888"/>
      <c r="I6" s="888"/>
      <c r="J6" s="888"/>
      <c r="K6" s="888"/>
      <c r="L6" s="888"/>
      <c r="M6" s="888"/>
      <c r="N6" s="888"/>
      <c r="O6" s="888"/>
      <c r="P6" s="888"/>
      <c r="Q6" s="888"/>
      <c r="R6" s="888"/>
      <c r="S6" s="888"/>
      <c r="T6" s="888"/>
      <c r="U6" s="888"/>
      <c r="V6" s="888"/>
      <c r="W6" s="888"/>
      <c r="X6" s="888"/>
      <c r="Y6" s="888"/>
      <c r="Z6" s="888"/>
      <c r="AA6" s="888"/>
      <c r="AB6" s="119"/>
      <c r="AC6" s="119"/>
      <c r="AD6" s="119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  <c r="BL6" s="120"/>
      <c r="BM6" s="120"/>
      <c r="BN6" s="120"/>
      <c r="BO6" s="120"/>
      <c r="BP6" s="120"/>
      <c r="BQ6" s="120"/>
      <c r="BR6" s="120"/>
      <c r="BS6" s="120"/>
      <c r="BT6" s="120"/>
      <c r="BU6" s="120"/>
      <c r="BV6" s="120"/>
      <c r="BW6" s="120"/>
      <c r="BX6" s="120"/>
      <c r="BY6" s="120"/>
      <c r="BZ6" s="120"/>
      <c r="CA6" s="120"/>
      <c r="CB6" s="120"/>
      <c r="CC6" s="120"/>
      <c r="CD6" s="120"/>
      <c r="CE6" s="120"/>
      <c r="CF6" s="120"/>
      <c r="CG6" s="120"/>
      <c r="CH6" s="120"/>
      <c r="CI6" s="120"/>
      <c r="CJ6" s="120"/>
      <c r="CK6" s="120"/>
      <c r="CL6" s="120"/>
      <c r="CM6" s="120"/>
      <c r="CN6" s="120"/>
      <c r="CO6" s="120"/>
      <c r="CP6" s="120"/>
      <c r="CQ6" s="120"/>
      <c r="CR6" s="120"/>
      <c r="CS6" s="120"/>
      <c r="CT6" s="120"/>
      <c r="CU6" s="120"/>
      <c r="CV6" s="120"/>
      <c r="CW6" s="120"/>
      <c r="CX6" s="120"/>
      <c r="CY6" s="120"/>
      <c r="CZ6" s="120"/>
      <c r="DA6" s="120"/>
      <c r="DB6" s="120"/>
      <c r="DC6" s="120"/>
      <c r="DD6" s="120"/>
      <c r="DE6" s="120"/>
      <c r="DF6" s="120"/>
      <c r="DG6" s="120"/>
      <c r="DH6" s="120"/>
      <c r="DI6" s="120"/>
      <c r="DJ6" s="120"/>
      <c r="DK6" s="120"/>
      <c r="DL6" s="120"/>
      <c r="DM6" s="120"/>
      <c r="DN6" s="120"/>
      <c r="DO6" s="120"/>
      <c r="DP6" s="120"/>
      <c r="DQ6" s="120"/>
      <c r="DR6" s="120"/>
      <c r="DS6" s="120"/>
      <c r="DT6" s="120"/>
      <c r="DU6" s="120"/>
      <c r="DV6" s="120"/>
      <c r="DW6" s="120"/>
      <c r="DX6" s="120"/>
      <c r="DY6" s="120"/>
      <c r="DZ6" s="120"/>
      <c r="EA6" s="120"/>
      <c r="EB6" s="120"/>
      <c r="EC6" s="120"/>
      <c r="ED6" s="120"/>
      <c r="EE6" s="120"/>
      <c r="EF6" s="120"/>
      <c r="EG6" s="120"/>
      <c r="EH6" s="120"/>
      <c r="EI6" s="120"/>
      <c r="EJ6" s="120"/>
      <c r="EK6" s="120"/>
      <c r="EL6" s="120"/>
      <c r="EM6" s="120"/>
      <c r="EN6" s="120"/>
      <c r="EO6" s="120"/>
      <c r="EP6" s="120"/>
      <c r="EQ6" s="120"/>
      <c r="ER6" s="120"/>
      <c r="ES6" s="120"/>
      <c r="ET6" s="120"/>
      <c r="EU6" s="120"/>
      <c r="EV6" s="120"/>
      <c r="EW6" s="120"/>
      <c r="EX6" s="120"/>
      <c r="EY6" s="120"/>
      <c r="EZ6" s="120"/>
      <c r="FA6" s="120"/>
      <c r="FB6" s="120"/>
      <c r="FC6" s="120"/>
      <c r="FD6" s="120"/>
      <c r="FE6" s="120"/>
      <c r="FF6" s="120"/>
      <c r="FG6" s="120"/>
      <c r="FH6" s="120"/>
      <c r="FI6" s="120"/>
      <c r="FJ6" s="120"/>
      <c r="FK6" s="120"/>
      <c r="FL6" s="120"/>
      <c r="FM6" s="120"/>
      <c r="FN6" s="120"/>
      <c r="FO6" s="120"/>
      <c r="FP6" s="120"/>
      <c r="FQ6" s="120"/>
      <c r="FR6" s="120"/>
      <c r="FS6" s="120"/>
      <c r="FT6" s="120"/>
      <c r="FU6" s="120"/>
      <c r="FV6" s="120"/>
      <c r="FW6" s="120"/>
      <c r="FX6" s="120"/>
      <c r="FY6" s="120"/>
      <c r="FZ6" s="120"/>
      <c r="GA6" s="120"/>
      <c r="GB6" s="120"/>
      <c r="GC6" s="120"/>
      <c r="GD6" s="120"/>
      <c r="GE6" s="120"/>
      <c r="GF6" s="120"/>
      <c r="GG6" s="120"/>
      <c r="GH6" s="120"/>
      <c r="GI6" s="120"/>
      <c r="GJ6" s="120"/>
      <c r="GK6" s="120"/>
      <c r="GL6" s="120"/>
      <c r="GM6" s="120"/>
      <c r="GN6" s="120"/>
      <c r="GO6" s="120"/>
      <c r="GP6" s="120"/>
      <c r="GQ6" s="120"/>
      <c r="GR6" s="120"/>
      <c r="GS6" s="120"/>
      <c r="GT6" s="120"/>
      <c r="GU6" s="120"/>
      <c r="GV6" s="120"/>
      <c r="GW6" s="120"/>
      <c r="GX6" s="120"/>
      <c r="GY6" s="120"/>
      <c r="GZ6" s="120"/>
      <c r="HA6" s="120"/>
      <c r="HB6" s="120"/>
      <c r="HC6" s="120"/>
      <c r="HD6" s="120"/>
      <c r="HE6" s="120"/>
      <c r="HF6" s="120"/>
      <c r="HG6" s="120"/>
      <c r="HH6" s="120"/>
      <c r="HI6" s="120"/>
      <c r="HJ6" s="120"/>
      <c r="HK6" s="120"/>
      <c r="HL6" s="120"/>
      <c r="HM6" s="120"/>
      <c r="HN6" s="120"/>
      <c r="HO6" s="120"/>
      <c r="HP6" s="120"/>
      <c r="HQ6" s="120"/>
      <c r="HR6" s="120"/>
      <c r="HS6" s="120"/>
      <c r="HT6" s="120"/>
      <c r="HU6" s="120"/>
      <c r="HV6" s="120"/>
      <c r="HW6" s="120"/>
      <c r="HX6" s="120"/>
      <c r="HY6" s="120"/>
    </row>
    <row r="7" spans="1:233" s="529" customFormat="1" ht="36.75" customHeight="1">
      <c r="A7" s="889" t="s">
        <v>378</v>
      </c>
      <c r="B7" s="890"/>
      <c r="C7" s="890"/>
      <c r="D7" s="890"/>
      <c r="E7" s="890"/>
      <c r="F7" s="890"/>
      <c r="G7" s="890"/>
      <c r="H7" s="890"/>
      <c r="I7" s="890"/>
      <c r="J7" s="890"/>
      <c r="K7" s="890"/>
      <c r="L7" s="890"/>
      <c r="M7" s="890"/>
      <c r="N7" s="890"/>
      <c r="O7" s="890"/>
      <c r="P7" s="890"/>
      <c r="Q7" s="890"/>
      <c r="R7" s="890"/>
      <c r="S7" s="890"/>
      <c r="T7" s="890"/>
      <c r="U7" s="890"/>
      <c r="V7" s="890"/>
      <c r="W7" s="890"/>
      <c r="X7" s="890"/>
      <c r="Y7" s="890"/>
      <c r="Z7" s="890"/>
      <c r="AA7" s="890"/>
      <c r="AB7" s="531"/>
      <c r="AC7" s="531"/>
      <c r="AD7" s="531"/>
      <c r="AE7" s="530"/>
      <c r="AF7" s="530"/>
      <c r="AG7" s="530"/>
      <c r="AH7" s="530"/>
      <c r="AI7" s="530"/>
      <c r="AJ7" s="530"/>
      <c r="AK7" s="530"/>
      <c r="AL7" s="530"/>
      <c r="AM7" s="530"/>
      <c r="AN7" s="530"/>
      <c r="AO7" s="530"/>
      <c r="AP7" s="530"/>
      <c r="AQ7" s="530"/>
      <c r="AR7" s="530"/>
      <c r="AS7" s="530"/>
      <c r="AT7" s="530"/>
      <c r="AU7" s="530"/>
      <c r="AV7" s="530"/>
      <c r="AW7" s="530"/>
      <c r="AX7" s="530"/>
      <c r="AY7" s="530"/>
      <c r="AZ7" s="530"/>
      <c r="BA7" s="530"/>
      <c r="BB7" s="530"/>
      <c r="BC7" s="530"/>
      <c r="BD7" s="530"/>
      <c r="BE7" s="530"/>
      <c r="BF7" s="530"/>
      <c r="BG7" s="530"/>
      <c r="BH7" s="530"/>
      <c r="BI7" s="530"/>
      <c r="BJ7" s="530"/>
      <c r="BK7" s="530"/>
      <c r="BL7" s="530"/>
      <c r="BM7" s="530"/>
      <c r="BN7" s="530"/>
      <c r="BO7" s="530"/>
      <c r="BP7" s="530"/>
      <c r="BQ7" s="530"/>
      <c r="BR7" s="530"/>
      <c r="BS7" s="530"/>
      <c r="BT7" s="530"/>
      <c r="BU7" s="530"/>
      <c r="BV7" s="530"/>
      <c r="BW7" s="530"/>
      <c r="BX7" s="530"/>
      <c r="BY7" s="530"/>
      <c r="BZ7" s="530"/>
      <c r="CA7" s="530"/>
      <c r="CB7" s="530"/>
      <c r="CC7" s="530"/>
      <c r="CD7" s="530"/>
      <c r="CE7" s="530"/>
      <c r="CF7" s="530"/>
      <c r="CG7" s="530"/>
      <c r="CH7" s="530"/>
      <c r="CI7" s="530"/>
      <c r="CJ7" s="530"/>
      <c r="CK7" s="530"/>
      <c r="CL7" s="530"/>
      <c r="CM7" s="530"/>
      <c r="CN7" s="530"/>
      <c r="CO7" s="530"/>
      <c r="CP7" s="530"/>
      <c r="CQ7" s="530"/>
      <c r="CR7" s="530"/>
      <c r="CS7" s="530"/>
      <c r="CT7" s="530"/>
      <c r="CU7" s="530"/>
      <c r="CV7" s="530"/>
      <c r="CW7" s="530"/>
      <c r="CX7" s="530"/>
      <c r="CY7" s="530"/>
      <c r="CZ7" s="530"/>
      <c r="DA7" s="530"/>
      <c r="DB7" s="530"/>
      <c r="DC7" s="530"/>
      <c r="DD7" s="530"/>
      <c r="DE7" s="530"/>
      <c r="DF7" s="530"/>
      <c r="DG7" s="530"/>
      <c r="DH7" s="530"/>
      <c r="DI7" s="530"/>
      <c r="DJ7" s="530"/>
      <c r="DK7" s="530"/>
      <c r="DL7" s="530"/>
      <c r="DM7" s="530"/>
      <c r="DN7" s="530"/>
      <c r="DO7" s="530"/>
      <c r="DP7" s="530"/>
      <c r="DQ7" s="530"/>
      <c r="DR7" s="530"/>
      <c r="DS7" s="530"/>
      <c r="DT7" s="530"/>
      <c r="DU7" s="530"/>
      <c r="DV7" s="530"/>
      <c r="DW7" s="530"/>
      <c r="DX7" s="530"/>
      <c r="DY7" s="530"/>
      <c r="DZ7" s="530"/>
      <c r="EA7" s="530"/>
      <c r="EB7" s="530"/>
      <c r="EC7" s="530"/>
      <c r="ED7" s="530"/>
      <c r="EE7" s="530"/>
      <c r="EF7" s="530"/>
      <c r="EG7" s="530"/>
      <c r="EH7" s="530"/>
      <c r="EI7" s="530"/>
      <c r="EJ7" s="530"/>
      <c r="EK7" s="530"/>
      <c r="EL7" s="530"/>
      <c r="EM7" s="530"/>
      <c r="EN7" s="530"/>
      <c r="EO7" s="530"/>
      <c r="EP7" s="530"/>
      <c r="EQ7" s="530"/>
      <c r="ER7" s="530"/>
      <c r="ES7" s="530"/>
      <c r="ET7" s="530"/>
      <c r="EU7" s="530"/>
      <c r="EV7" s="530"/>
      <c r="EW7" s="530"/>
      <c r="EX7" s="530"/>
      <c r="EY7" s="530"/>
      <c r="EZ7" s="530"/>
      <c r="FA7" s="530"/>
      <c r="FB7" s="530"/>
      <c r="FC7" s="530"/>
      <c r="FD7" s="530"/>
      <c r="FE7" s="530"/>
      <c r="FF7" s="530"/>
      <c r="FG7" s="530"/>
      <c r="FH7" s="530"/>
      <c r="FI7" s="530"/>
      <c r="FJ7" s="530"/>
      <c r="FK7" s="530"/>
      <c r="FL7" s="530"/>
      <c r="FM7" s="530"/>
      <c r="FN7" s="530"/>
      <c r="FO7" s="530"/>
      <c r="FP7" s="530"/>
      <c r="FQ7" s="530"/>
      <c r="FR7" s="530"/>
      <c r="FS7" s="530"/>
      <c r="FT7" s="530"/>
      <c r="FU7" s="530"/>
      <c r="FV7" s="530"/>
      <c r="FW7" s="530"/>
      <c r="FX7" s="530"/>
      <c r="FY7" s="530"/>
      <c r="FZ7" s="530"/>
      <c r="GA7" s="530"/>
      <c r="GB7" s="530"/>
      <c r="GC7" s="530"/>
      <c r="GD7" s="530"/>
      <c r="GE7" s="530"/>
      <c r="GF7" s="530"/>
      <c r="GG7" s="530"/>
      <c r="GH7" s="530"/>
      <c r="GI7" s="530"/>
      <c r="GJ7" s="530"/>
      <c r="GK7" s="530"/>
      <c r="GL7" s="530"/>
      <c r="GM7" s="530"/>
      <c r="GN7" s="530"/>
      <c r="GO7" s="530"/>
      <c r="GP7" s="530"/>
      <c r="GQ7" s="530"/>
      <c r="GR7" s="530"/>
      <c r="GS7" s="530"/>
      <c r="GT7" s="530"/>
      <c r="GU7" s="530"/>
      <c r="GV7" s="530"/>
      <c r="GW7" s="530"/>
      <c r="GX7" s="530"/>
      <c r="GY7" s="530"/>
      <c r="GZ7" s="530"/>
      <c r="HA7" s="530"/>
      <c r="HB7" s="530"/>
      <c r="HC7" s="530"/>
      <c r="HD7" s="530"/>
      <c r="HE7" s="530"/>
      <c r="HF7" s="530"/>
      <c r="HG7" s="530"/>
      <c r="HH7" s="530"/>
      <c r="HI7" s="530"/>
      <c r="HJ7" s="530"/>
      <c r="HK7" s="530"/>
      <c r="HL7" s="530"/>
      <c r="HM7" s="530"/>
      <c r="HN7" s="530"/>
      <c r="HO7" s="530"/>
      <c r="HP7" s="530"/>
      <c r="HQ7" s="530"/>
      <c r="HR7" s="530"/>
      <c r="HS7" s="530"/>
      <c r="HT7" s="530"/>
      <c r="HU7" s="530"/>
      <c r="HV7" s="530"/>
      <c r="HW7" s="530"/>
      <c r="HX7" s="530"/>
      <c r="HY7" s="530"/>
    </row>
    <row r="8" spans="1:233" s="529" customFormat="1" ht="24.6" customHeight="1">
      <c r="A8" s="885" t="s">
        <v>379</v>
      </c>
      <c r="B8" s="885"/>
      <c r="C8" s="885"/>
      <c r="D8" s="885"/>
      <c r="E8" s="885"/>
      <c r="F8" s="885"/>
      <c r="G8" s="885"/>
      <c r="H8" s="885"/>
      <c r="I8" s="885"/>
      <c r="J8" s="885"/>
      <c r="K8" s="885"/>
      <c r="L8" s="885"/>
      <c r="M8" s="885"/>
      <c r="N8" s="885"/>
      <c r="O8" s="885"/>
      <c r="P8" s="885"/>
      <c r="Q8" s="885"/>
      <c r="R8" s="885"/>
      <c r="S8" s="885"/>
      <c r="T8" s="885"/>
      <c r="U8" s="885"/>
      <c r="V8" s="885"/>
      <c r="W8" s="885"/>
      <c r="X8" s="885"/>
      <c r="Y8" s="885"/>
      <c r="Z8" s="885"/>
      <c r="AA8" s="885"/>
      <c r="AB8" s="121"/>
      <c r="AC8" s="121"/>
      <c r="AD8" s="121"/>
      <c r="AE8" s="122"/>
      <c r="AF8" s="121"/>
      <c r="AG8" s="121"/>
    </row>
    <row r="9" spans="1:233" s="529" customFormat="1" ht="27" customHeight="1">
      <c r="A9" s="884" t="s">
        <v>380</v>
      </c>
      <c r="B9" s="885"/>
      <c r="C9" s="885"/>
      <c r="D9" s="885"/>
      <c r="E9" s="885"/>
      <c r="F9" s="885"/>
      <c r="G9" s="885"/>
      <c r="H9" s="885"/>
      <c r="I9" s="885"/>
      <c r="J9" s="885"/>
      <c r="K9" s="885"/>
      <c r="L9" s="885"/>
      <c r="M9" s="885"/>
      <c r="N9" s="885"/>
      <c r="O9" s="885"/>
      <c r="P9" s="885"/>
      <c r="Q9" s="885"/>
      <c r="R9" s="885"/>
      <c r="S9" s="885"/>
      <c r="T9" s="885"/>
      <c r="U9" s="885"/>
      <c r="V9" s="885"/>
      <c r="W9" s="885"/>
      <c r="X9" s="885"/>
      <c r="Y9" s="885"/>
      <c r="Z9" s="885"/>
      <c r="AA9" s="885"/>
      <c r="AB9" s="121"/>
      <c r="AC9" s="121"/>
      <c r="AD9" s="121"/>
      <c r="AE9" s="121"/>
      <c r="AF9" s="121"/>
      <c r="AG9" s="121"/>
    </row>
    <row r="10" spans="1:233" s="529" customFormat="1" ht="11.25" customHeight="1">
      <c r="A10" s="117"/>
      <c r="B10" s="117"/>
      <c r="C10" s="255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310"/>
      <c r="V10" s="310"/>
      <c r="W10" s="310"/>
      <c r="X10" s="310"/>
      <c r="Y10" s="310"/>
      <c r="Z10" s="117"/>
      <c r="AA10" s="117"/>
      <c r="AB10" s="117"/>
      <c r="AC10" s="117"/>
      <c r="AD10" s="123"/>
      <c r="AE10" s="117"/>
      <c r="AF10" s="117"/>
      <c r="AG10" s="117"/>
    </row>
    <row r="11" spans="1:233" s="240" customFormat="1" ht="120.75" customHeight="1">
      <c r="A11" s="882" t="s">
        <v>241</v>
      </c>
      <c r="B11" s="893" t="s">
        <v>242</v>
      </c>
      <c r="C11" s="893"/>
      <c r="D11" s="893" t="s">
        <v>245</v>
      </c>
      <c r="E11" s="893"/>
      <c r="F11" s="894" t="s">
        <v>248</v>
      </c>
      <c r="G11" s="894"/>
      <c r="H11" s="881" t="s">
        <v>249</v>
      </c>
      <c r="I11" s="881"/>
      <c r="J11" s="881" t="s">
        <v>250</v>
      </c>
      <c r="K11" s="881"/>
      <c r="L11" s="881" t="s">
        <v>251</v>
      </c>
      <c r="M11" s="881"/>
      <c r="N11" s="881" t="s">
        <v>252</v>
      </c>
      <c r="O11" s="881"/>
      <c r="P11" s="881" t="s">
        <v>253</v>
      </c>
      <c r="Q11" s="881"/>
      <c r="R11" s="881" t="s">
        <v>254</v>
      </c>
      <c r="S11" s="881"/>
      <c r="T11" s="881" t="s">
        <v>272</v>
      </c>
      <c r="U11" s="881"/>
      <c r="V11" s="899" t="s">
        <v>350</v>
      </c>
      <c r="W11" s="900"/>
      <c r="X11" s="899" t="s">
        <v>53</v>
      </c>
      <c r="Y11" s="900"/>
      <c r="Z11" s="882" t="s">
        <v>255</v>
      </c>
      <c r="AA11" s="882" t="s">
        <v>323</v>
      </c>
      <c r="AB11" s="898"/>
    </row>
    <row r="12" spans="1:233" s="240" customFormat="1" ht="76.5" customHeight="1">
      <c r="A12" s="883"/>
      <c r="B12" s="528" t="s">
        <v>243</v>
      </c>
      <c r="C12" s="527" t="s">
        <v>244</v>
      </c>
      <c r="D12" s="588" t="s">
        <v>246</v>
      </c>
      <c r="E12" s="588" t="s">
        <v>247</v>
      </c>
      <c r="F12" s="588" t="s">
        <v>246</v>
      </c>
      <c r="G12" s="588" t="s">
        <v>247</v>
      </c>
      <c r="H12" s="588" t="s">
        <v>246</v>
      </c>
      <c r="I12" s="588" t="s">
        <v>247</v>
      </c>
      <c r="J12" s="588" t="s">
        <v>246</v>
      </c>
      <c r="K12" s="588" t="s">
        <v>247</v>
      </c>
      <c r="L12" s="588" t="s">
        <v>246</v>
      </c>
      <c r="M12" s="588" t="s">
        <v>247</v>
      </c>
      <c r="N12" s="588" t="s">
        <v>246</v>
      </c>
      <c r="O12" s="588" t="s">
        <v>247</v>
      </c>
      <c r="P12" s="588" t="s">
        <v>246</v>
      </c>
      <c r="Q12" s="588" t="s">
        <v>247</v>
      </c>
      <c r="R12" s="588" t="s">
        <v>246</v>
      </c>
      <c r="S12" s="588" t="s">
        <v>247</v>
      </c>
      <c r="T12" s="588" t="s">
        <v>246</v>
      </c>
      <c r="U12" s="588" t="s">
        <v>247</v>
      </c>
      <c r="V12" s="588" t="s">
        <v>246</v>
      </c>
      <c r="W12" s="588" t="s">
        <v>247</v>
      </c>
      <c r="X12" s="588" t="s">
        <v>246</v>
      </c>
      <c r="Y12" s="588" t="s">
        <v>247</v>
      </c>
      <c r="Z12" s="882"/>
      <c r="AA12" s="882"/>
      <c r="AB12" s="898"/>
      <c r="AD12" s="526"/>
    </row>
    <row r="13" spans="1:233" s="240" customFormat="1" ht="27.95" customHeight="1">
      <c r="A13" s="523">
        <v>1</v>
      </c>
      <c r="B13" s="545" t="s">
        <v>55</v>
      </c>
      <c r="C13" s="332" t="s">
        <v>56</v>
      </c>
      <c r="D13" s="520"/>
      <c r="E13" s="520"/>
      <c r="F13" s="520"/>
      <c r="G13" s="520"/>
      <c r="H13" s="346">
        <f>'[5]BCC D1(26)'!V12</f>
        <v>10.5</v>
      </c>
      <c r="I13" s="346">
        <f>ROUND(H13*1.2486,2)</f>
        <v>13.11</v>
      </c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8"/>
      <c r="W13" s="336"/>
      <c r="X13" s="341"/>
      <c r="Y13" s="341"/>
      <c r="Z13" s="333">
        <f t="shared" ref="Z13:Z76" si="0">SUM(G13,E13,S13,Q13,O13,M13,K13,I13,U13,W13,Y13)</f>
        <v>13.11</v>
      </c>
      <c r="AA13" s="350"/>
      <c r="AB13" s="589"/>
    </row>
    <row r="14" spans="1:233" s="240" customFormat="1" ht="27.95" customHeight="1">
      <c r="A14" s="523">
        <f t="shared" ref="A14:A77" si="1">+A13+1</f>
        <v>2</v>
      </c>
      <c r="B14" s="332" t="s">
        <v>57</v>
      </c>
      <c r="C14" s="546" t="s">
        <v>58</v>
      </c>
      <c r="D14" s="520"/>
      <c r="E14" s="520"/>
      <c r="F14" s="520"/>
      <c r="G14" s="520"/>
      <c r="H14" s="347"/>
      <c r="I14" s="347"/>
      <c r="J14" s="525">
        <f>'[5]BCC D1(26)'!V13+'[5]BCC D1(26)'!V14</f>
        <v>16</v>
      </c>
      <c r="K14" s="335">
        <f>ROUND(J14*1.0563,2)</f>
        <v>16.899999999999999</v>
      </c>
      <c r="L14" s="347"/>
      <c r="M14" s="347"/>
      <c r="N14" s="347"/>
      <c r="O14" s="347"/>
      <c r="P14" s="347"/>
      <c r="Q14" s="347"/>
      <c r="R14" s="336">
        <f>'[5]BCC D1(26)'!V93</f>
        <v>3.5</v>
      </c>
      <c r="S14" s="336">
        <f>ROUND(R14*0.9391,2)</f>
        <v>3.29</v>
      </c>
      <c r="T14" s="336"/>
      <c r="U14" s="336"/>
      <c r="V14" s="348"/>
      <c r="W14" s="336"/>
      <c r="X14" s="348"/>
      <c r="Y14" s="348"/>
      <c r="Z14" s="333">
        <f t="shared" si="0"/>
        <v>20.189999999999998</v>
      </c>
      <c r="AA14" s="350"/>
      <c r="AB14" s="589"/>
      <c r="AD14" s="516" t="s">
        <v>59</v>
      </c>
    </row>
    <row r="15" spans="1:233" s="240" customFormat="1" ht="27.95" customHeight="1">
      <c r="A15" s="523">
        <f t="shared" si="1"/>
        <v>3</v>
      </c>
      <c r="B15" s="545" t="s">
        <v>60</v>
      </c>
      <c r="C15" s="332" t="s">
        <v>61</v>
      </c>
      <c r="D15" s="520"/>
      <c r="E15" s="520"/>
      <c r="F15" s="520"/>
      <c r="G15" s="520"/>
      <c r="H15" s="347"/>
      <c r="I15" s="347"/>
      <c r="J15" s="525"/>
      <c r="K15" s="335"/>
      <c r="L15" s="347"/>
      <c r="M15" s="347"/>
      <c r="N15" s="348">
        <f>'[5]BCC D1(26)'!V15</f>
        <v>12.5</v>
      </c>
      <c r="O15" s="335">
        <f>ROUND(N15*0.9776,2)</f>
        <v>12.22</v>
      </c>
      <c r="P15" s="347"/>
      <c r="Q15" s="347"/>
      <c r="R15" s="336"/>
      <c r="S15" s="336"/>
      <c r="T15" s="336"/>
      <c r="U15" s="336"/>
      <c r="V15" s="348"/>
      <c r="W15" s="336"/>
      <c r="X15" s="348"/>
      <c r="Y15" s="348"/>
      <c r="Z15" s="333">
        <f t="shared" si="0"/>
        <v>12.22</v>
      </c>
      <c r="AA15" s="350"/>
      <c r="AB15" s="589"/>
      <c r="AD15" s="516"/>
    </row>
    <row r="16" spans="1:233" s="240" customFormat="1" ht="27.95" customHeight="1">
      <c r="A16" s="523">
        <f t="shared" si="1"/>
        <v>4</v>
      </c>
      <c r="B16" s="547" t="s">
        <v>62</v>
      </c>
      <c r="C16" s="548" t="s">
        <v>63</v>
      </c>
      <c r="D16" s="524"/>
      <c r="E16" s="524"/>
      <c r="F16" s="524"/>
      <c r="G16" s="524"/>
      <c r="H16" s="347"/>
      <c r="I16" s="347"/>
      <c r="J16" s="347"/>
      <c r="K16" s="347"/>
      <c r="L16" s="336">
        <f>SUM('[5]BCC D1(26)'!V16:V17)</f>
        <v>17.5</v>
      </c>
      <c r="M16" s="338">
        <f>ROUND(L16*1.4667,2)-0.01</f>
        <v>25.66</v>
      </c>
      <c r="N16" s="347"/>
      <c r="O16" s="347"/>
      <c r="P16" s="347"/>
      <c r="Q16" s="347"/>
      <c r="R16" s="348"/>
      <c r="S16" s="348"/>
      <c r="T16" s="348"/>
      <c r="U16" s="348"/>
      <c r="V16" s="348"/>
      <c r="W16" s="336"/>
      <c r="X16" s="348"/>
      <c r="Y16" s="348"/>
      <c r="Z16" s="333">
        <f t="shared" si="0"/>
        <v>25.66</v>
      </c>
      <c r="AA16" s="350"/>
      <c r="AB16" s="589"/>
      <c r="AD16" s="516"/>
    </row>
    <row r="17" spans="1:30" s="240" customFormat="1" ht="27.95" customHeight="1">
      <c r="A17" s="523">
        <f t="shared" si="1"/>
        <v>5</v>
      </c>
      <c r="B17" s="545" t="s">
        <v>64</v>
      </c>
      <c r="C17" s="332" t="s">
        <v>65</v>
      </c>
      <c r="D17" s="520"/>
      <c r="E17" s="520"/>
      <c r="F17" s="520"/>
      <c r="G17" s="520"/>
      <c r="H17" s="347"/>
      <c r="I17" s="347"/>
      <c r="J17" s="347"/>
      <c r="K17" s="347"/>
      <c r="L17" s="336">
        <f>SUM('[5]BCC D1(26)'!V18:V19)</f>
        <v>11</v>
      </c>
      <c r="M17" s="338">
        <f>ROUND(L17*1.4779,2)</f>
        <v>16.260000000000002</v>
      </c>
      <c r="N17" s="347"/>
      <c r="O17" s="347"/>
      <c r="P17" s="348"/>
      <c r="Q17" s="348"/>
      <c r="R17" s="348"/>
      <c r="S17" s="348"/>
      <c r="T17" s="348"/>
      <c r="U17" s="348"/>
      <c r="V17" s="348"/>
      <c r="W17" s="336"/>
      <c r="X17" s="348"/>
      <c r="Y17" s="348"/>
      <c r="Z17" s="333">
        <f t="shared" si="0"/>
        <v>16.260000000000002</v>
      </c>
      <c r="AA17" s="350"/>
      <c r="AB17" s="589"/>
      <c r="AD17" s="516"/>
    </row>
    <row r="18" spans="1:30" s="240" customFormat="1" ht="27.95" customHeight="1">
      <c r="A18" s="523">
        <f t="shared" si="1"/>
        <v>6</v>
      </c>
      <c r="B18" s="549" t="s">
        <v>66</v>
      </c>
      <c r="C18" s="550" t="s">
        <v>67</v>
      </c>
      <c r="D18" s="520"/>
      <c r="E18" s="520"/>
      <c r="F18" s="520"/>
      <c r="G18" s="520"/>
      <c r="H18" s="333"/>
      <c r="I18" s="333"/>
      <c r="J18" s="520"/>
      <c r="K18" s="520"/>
      <c r="L18" s="520"/>
      <c r="M18" s="520"/>
      <c r="N18" s="520"/>
      <c r="O18" s="520"/>
      <c r="P18" s="336">
        <f>SUM('[5]BCC D1(26)'!V20:V21)</f>
        <v>17.5</v>
      </c>
      <c r="Q18" s="336">
        <f>ROUND(P18*1.4608,2)</f>
        <v>25.56</v>
      </c>
      <c r="R18" s="348"/>
      <c r="S18" s="348"/>
      <c r="T18" s="348"/>
      <c r="U18" s="348"/>
      <c r="V18" s="348"/>
      <c r="W18" s="336"/>
      <c r="X18" s="348"/>
      <c r="Y18" s="348"/>
      <c r="Z18" s="333">
        <f t="shared" si="0"/>
        <v>25.56</v>
      </c>
      <c r="AA18" s="350"/>
      <c r="AB18" s="589"/>
      <c r="AD18" s="516"/>
    </row>
    <row r="19" spans="1:30" s="240" customFormat="1" ht="27.95" customHeight="1">
      <c r="A19" s="523">
        <f t="shared" si="1"/>
        <v>7</v>
      </c>
      <c r="B19" s="453" t="s">
        <v>68</v>
      </c>
      <c r="C19" s="551" t="s">
        <v>69</v>
      </c>
      <c r="D19" s="518">
        <f>ROUND(VLOOKUP(B19,'[5]BPHAN CHIA '!$B$100:$T$110,19,0)*1.1,2)</f>
        <v>9.82</v>
      </c>
      <c r="E19" s="518">
        <f t="shared" ref="E19:E20" si="2">ROUND(0.7199*D19,2)</f>
        <v>7.07</v>
      </c>
      <c r="F19" s="520">
        <f>ROUND(1.15*VLOOKUP(B19,'[5]BPHAN CHIA '!$B$179:$T$200,19,0),2)</f>
        <v>13.75</v>
      </c>
      <c r="G19" s="520">
        <f t="shared" ref="G19:G40" si="3">ROUND(F19*1.0956,2)</f>
        <v>15.06</v>
      </c>
      <c r="H19" s="333"/>
      <c r="I19" s="333"/>
      <c r="J19" s="520"/>
      <c r="K19" s="520"/>
      <c r="L19" s="520"/>
      <c r="M19" s="520"/>
      <c r="N19" s="520"/>
      <c r="O19" s="520"/>
      <c r="P19" s="336"/>
      <c r="Q19" s="336"/>
      <c r="R19" s="348"/>
      <c r="S19" s="348"/>
      <c r="T19" s="348"/>
      <c r="U19" s="338">
        <f>ROUND(T19*0.9391,2)</f>
        <v>0</v>
      </c>
      <c r="V19" s="348"/>
      <c r="W19" s="336"/>
      <c r="X19" s="348"/>
      <c r="Y19" s="348"/>
      <c r="Z19" s="333">
        <f t="shared" si="0"/>
        <v>22.130000000000003</v>
      </c>
      <c r="AA19" s="350"/>
      <c r="AB19" s="589"/>
      <c r="AD19" s="516"/>
    </row>
    <row r="20" spans="1:30" s="240" customFormat="1" ht="27.95" customHeight="1">
      <c r="A20" s="523">
        <f t="shared" si="1"/>
        <v>8</v>
      </c>
      <c r="B20" s="552" t="s">
        <v>70</v>
      </c>
      <c r="C20" s="455" t="s">
        <v>71</v>
      </c>
      <c r="D20" s="518">
        <f>ROUND(VLOOKUP(B20,'[5]BPHAN CHIA '!$B$100:$T$110,19,0),2)</f>
        <v>12.55</v>
      </c>
      <c r="E20" s="518">
        <f t="shared" si="2"/>
        <v>9.0299999999999994</v>
      </c>
      <c r="F20" s="520">
        <f>ROUND(VLOOKUP(B20,'[5]BPHAN CHIA '!$B$179:$T$200,19,0),2)</f>
        <v>10.35</v>
      </c>
      <c r="G20" s="520">
        <f t="shared" si="3"/>
        <v>11.34</v>
      </c>
      <c r="H20" s="333"/>
      <c r="I20" s="333"/>
      <c r="J20" s="520"/>
      <c r="K20" s="520"/>
      <c r="L20" s="520"/>
      <c r="M20" s="520"/>
      <c r="N20" s="520"/>
      <c r="O20" s="520"/>
      <c r="P20" s="336"/>
      <c r="Q20" s="336"/>
      <c r="R20" s="348"/>
      <c r="S20" s="348"/>
      <c r="T20" s="348"/>
      <c r="U20" s="348"/>
      <c r="V20" s="348"/>
      <c r="W20" s="336"/>
      <c r="X20" s="348"/>
      <c r="Y20" s="348"/>
      <c r="Z20" s="333">
        <f t="shared" si="0"/>
        <v>20.369999999999997</v>
      </c>
      <c r="AA20" s="350"/>
      <c r="AB20" s="589"/>
      <c r="AD20" s="516"/>
    </row>
    <row r="21" spans="1:30" s="240" customFormat="1" ht="27.95" customHeight="1">
      <c r="A21" s="523">
        <f t="shared" si="1"/>
        <v>9</v>
      </c>
      <c r="B21" s="552" t="s">
        <v>74</v>
      </c>
      <c r="C21" s="553" t="s">
        <v>75</v>
      </c>
      <c r="D21" s="518"/>
      <c r="E21" s="522"/>
      <c r="F21" s="520">
        <f>ROUND(VLOOKUP(B21,'[5]BPHAN CHIA '!$B$179:$T$200,19,0),2)</f>
        <v>11.95</v>
      </c>
      <c r="G21" s="520">
        <f t="shared" si="3"/>
        <v>13.09</v>
      </c>
      <c r="H21" s="333"/>
      <c r="I21" s="333"/>
      <c r="J21" s="520"/>
      <c r="K21" s="520"/>
      <c r="L21" s="520"/>
      <c r="M21" s="520"/>
      <c r="N21" s="520"/>
      <c r="O21" s="520"/>
      <c r="P21" s="336"/>
      <c r="Q21" s="336"/>
      <c r="R21" s="348"/>
      <c r="S21" s="348"/>
      <c r="T21" s="348"/>
      <c r="U21" s="348"/>
      <c r="V21" s="348"/>
      <c r="W21" s="336"/>
      <c r="X21" s="341"/>
      <c r="Y21" s="341"/>
      <c r="Z21" s="333">
        <f t="shared" si="0"/>
        <v>13.09</v>
      </c>
      <c r="AA21" s="350"/>
      <c r="AB21" s="589"/>
      <c r="AD21" s="516"/>
    </row>
    <row r="22" spans="1:30" s="240" customFormat="1" ht="27.95" customHeight="1">
      <c r="A22" s="523">
        <f t="shared" si="1"/>
        <v>10</v>
      </c>
      <c r="B22" s="552" t="s">
        <v>76</v>
      </c>
      <c r="C22" s="554" t="s">
        <v>77</v>
      </c>
      <c r="D22" s="518"/>
      <c r="E22" s="522"/>
      <c r="F22" s="520">
        <f>ROUND(VLOOKUP(B22,'[5]BPHAN CHIA '!$B$179:$T$200,19,0),2)</f>
        <v>9.9600000000000009</v>
      </c>
      <c r="G22" s="520">
        <f t="shared" si="3"/>
        <v>10.91</v>
      </c>
      <c r="H22" s="333"/>
      <c r="I22" s="333"/>
      <c r="J22" s="520"/>
      <c r="K22" s="520"/>
      <c r="L22" s="520"/>
      <c r="M22" s="520"/>
      <c r="N22" s="520"/>
      <c r="O22" s="520"/>
      <c r="P22" s="336"/>
      <c r="Q22" s="336"/>
      <c r="R22" s="348"/>
      <c r="S22" s="348"/>
      <c r="T22" s="348"/>
      <c r="U22" s="348"/>
      <c r="V22" s="348"/>
      <c r="W22" s="336"/>
      <c r="X22" s="348"/>
      <c r="Y22" s="348"/>
      <c r="Z22" s="333">
        <f t="shared" si="0"/>
        <v>10.91</v>
      </c>
      <c r="AA22" s="350"/>
      <c r="AB22" s="589"/>
      <c r="AD22" s="516"/>
    </row>
    <row r="23" spans="1:30" s="240" customFormat="1" ht="27.95" customHeight="1">
      <c r="A23" s="523">
        <f t="shared" si="1"/>
        <v>11</v>
      </c>
      <c r="B23" s="552" t="s">
        <v>78</v>
      </c>
      <c r="C23" s="555" t="s">
        <v>79</v>
      </c>
      <c r="D23" s="518">
        <f>ROUND(VLOOKUP(B23,'[5]BPHAN CHIA '!$B$100:$T$110,19,0),2)</f>
        <v>12.55</v>
      </c>
      <c r="E23" s="518">
        <f t="shared" ref="E23:E24" si="4">ROUND(0.7199*D23,2)</f>
        <v>9.0299999999999994</v>
      </c>
      <c r="F23" s="520">
        <f>ROUND(VLOOKUP(B23,'[5]BPHAN CHIA '!$B$179:$T$200,19,0),2)</f>
        <v>11.95</v>
      </c>
      <c r="G23" s="520">
        <f t="shared" si="3"/>
        <v>13.09</v>
      </c>
      <c r="H23" s="333"/>
      <c r="I23" s="333"/>
      <c r="J23" s="520"/>
      <c r="K23" s="520"/>
      <c r="L23" s="520"/>
      <c r="M23" s="520"/>
      <c r="N23" s="520"/>
      <c r="O23" s="520"/>
      <c r="P23" s="336"/>
      <c r="Q23" s="336"/>
      <c r="R23" s="348"/>
      <c r="S23" s="348"/>
      <c r="T23" s="348"/>
      <c r="U23" s="348"/>
      <c r="V23" s="348"/>
      <c r="W23" s="336"/>
      <c r="X23" s="341"/>
      <c r="Y23" s="341"/>
      <c r="Z23" s="333">
        <f t="shared" si="0"/>
        <v>22.119999999999997</v>
      </c>
      <c r="AA23" s="350"/>
      <c r="AB23" s="589"/>
      <c r="AD23" s="516"/>
    </row>
    <row r="24" spans="1:30" s="240" customFormat="1" ht="27.95" customHeight="1">
      <c r="A24" s="523">
        <f t="shared" si="1"/>
        <v>12</v>
      </c>
      <c r="B24" s="552" t="s">
        <v>80</v>
      </c>
      <c r="C24" s="555" t="s">
        <v>81</v>
      </c>
      <c r="D24" s="518">
        <f>ROUND(VLOOKUP(B24,'[5]BPHAN CHIA '!$B$100:$T$110,19,0),2)</f>
        <v>3.62</v>
      </c>
      <c r="E24" s="518">
        <f t="shared" si="4"/>
        <v>2.61</v>
      </c>
      <c r="F24" s="520">
        <f>ROUND(VLOOKUP(B24,'[5]BPHAN CHIA '!$B$179:$T$200,19,0),2)</f>
        <v>11.95</v>
      </c>
      <c r="G24" s="520">
        <f t="shared" si="3"/>
        <v>13.09</v>
      </c>
      <c r="H24" s="333"/>
      <c r="I24" s="333"/>
      <c r="J24" s="520"/>
      <c r="K24" s="520"/>
      <c r="L24" s="520"/>
      <c r="M24" s="520"/>
      <c r="N24" s="520"/>
      <c r="O24" s="520"/>
      <c r="P24" s="336"/>
      <c r="Q24" s="336"/>
      <c r="R24" s="348"/>
      <c r="S24" s="348"/>
      <c r="T24" s="348"/>
      <c r="U24" s="348"/>
      <c r="V24" s="348"/>
      <c r="W24" s="336"/>
      <c r="X24" s="348"/>
      <c r="Y24" s="348"/>
      <c r="Z24" s="333">
        <f t="shared" si="0"/>
        <v>15.7</v>
      </c>
      <c r="AA24" s="350"/>
      <c r="AB24" s="589"/>
      <c r="AD24" s="516"/>
    </row>
    <row r="25" spans="1:30" s="240" customFormat="1" ht="27.95" customHeight="1">
      <c r="A25" s="523">
        <f t="shared" si="1"/>
        <v>13</v>
      </c>
      <c r="B25" s="552" t="s">
        <v>82</v>
      </c>
      <c r="C25" s="555" t="s">
        <v>83</v>
      </c>
      <c r="D25" s="518"/>
      <c r="E25" s="520"/>
      <c r="F25" s="520">
        <f>ROUND(VLOOKUP(B25,'[5]BPHAN CHIA '!$B$179:$T$200,19,0),2)</f>
        <v>11.95</v>
      </c>
      <c r="G25" s="520">
        <f t="shared" si="3"/>
        <v>13.09</v>
      </c>
      <c r="H25" s="333"/>
      <c r="I25" s="333"/>
      <c r="J25" s="520"/>
      <c r="K25" s="520"/>
      <c r="L25" s="520"/>
      <c r="M25" s="520"/>
      <c r="N25" s="520"/>
      <c r="O25" s="520"/>
      <c r="P25" s="336"/>
      <c r="Q25" s="336"/>
      <c r="R25" s="348"/>
      <c r="S25" s="348"/>
      <c r="T25" s="348"/>
      <c r="U25" s="348"/>
      <c r="V25" s="348"/>
      <c r="W25" s="336"/>
      <c r="X25" s="348"/>
      <c r="Y25" s="348"/>
      <c r="Z25" s="333">
        <f t="shared" si="0"/>
        <v>13.09</v>
      </c>
      <c r="AA25" s="350"/>
      <c r="AB25" s="589"/>
      <c r="AD25" s="516"/>
    </row>
    <row r="26" spans="1:30" s="240" customFormat="1" ht="27.95" customHeight="1">
      <c r="A26" s="523">
        <f t="shared" si="1"/>
        <v>14</v>
      </c>
      <c r="B26" s="556" t="s">
        <v>84</v>
      </c>
      <c r="C26" s="557" t="s">
        <v>85</v>
      </c>
      <c r="D26" s="518"/>
      <c r="E26" s="522"/>
      <c r="F26" s="520">
        <f>ROUND(VLOOKUP(B26,'[5]BPHAN CHIA '!$B$179:$T$200,19,0),2)</f>
        <v>8.99</v>
      </c>
      <c r="G26" s="520">
        <f t="shared" si="3"/>
        <v>9.85</v>
      </c>
      <c r="H26" s="333"/>
      <c r="I26" s="333"/>
      <c r="J26" s="520"/>
      <c r="K26" s="520"/>
      <c r="L26" s="520"/>
      <c r="M26" s="520"/>
      <c r="N26" s="520"/>
      <c r="O26" s="520"/>
      <c r="P26" s="336"/>
      <c r="Q26" s="336"/>
      <c r="R26" s="348"/>
      <c r="S26" s="348"/>
      <c r="T26" s="348"/>
      <c r="U26" s="348"/>
      <c r="V26" s="348"/>
      <c r="W26" s="336"/>
      <c r="X26" s="348"/>
      <c r="Y26" s="348"/>
      <c r="Z26" s="333">
        <f t="shared" si="0"/>
        <v>9.85</v>
      </c>
      <c r="AA26" s="350"/>
      <c r="AB26" s="589"/>
      <c r="AD26" s="516"/>
    </row>
    <row r="27" spans="1:30" s="240" customFormat="1" ht="27.95" customHeight="1">
      <c r="A27" s="523">
        <f t="shared" si="1"/>
        <v>15</v>
      </c>
      <c r="B27" s="558" t="s">
        <v>86</v>
      </c>
      <c r="C27" s="559" t="s">
        <v>87</v>
      </c>
      <c r="D27" s="518"/>
      <c r="E27" s="520"/>
      <c r="F27" s="520">
        <f>ROUND(VLOOKUP(B27,'[5]BPHAN CHIA '!$B$179:$T$200,19,0),2)</f>
        <v>10.35</v>
      </c>
      <c r="G27" s="520">
        <f t="shared" si="3"/>
        <v>11.34</v>
      </c>
      <c r="H27" s="333"/>
      <c r="I27" s="333"/>
      <c r="J27" s="520"/>
      <c r="K27" s="520"/>
      <c r="L27" s="520"/>
      <c r="M27" s="520"/>
      <c r="N27" s="520"/>
      <c r="O27" s="520"/>
      <c r="P27" s="336"/>
      <c r="Q27" s="336"/>
      <c r="R27" s="348"/>
      <c r="S27" s="348"/>
      <c r="T27" s="348"/>
      <c r="U27" s="348"/>
      <c r="V27" s="348"/>
      <c r="W27" s="336"/>
      <c r="X27" s="341"/>
      <c r="Y27" s="341"/>
      <c r="Z27" s="333">
        <f t="shared" si="0"/>
        <v>11.34</v>
      </c>
      <c r="AA27" s="350"/>
      <c r="AB27" s="589"/>
      <c r="AD27" s="516"/>
    </row>
    <row r="28" spans="1:30" s="240" customFormat="1" ht="27.95" customHeight="1">
      <c r="A28" s="523">
        <f t="shared" si="1"/>
        <v>16</v>
      </c>
      <c r="B28" s="558" t="s">
        <v>88</v>
      </c>
      <c r="C28" s="559" t="s">
        <v>89</v>
      </c>
      <c r="D28" s="518">
        <f>ROUND(VLOOKUP(B28,'[5]BPHAN CHIA '!$B$100:$T$110,19,0),2)</f>
        <v>12.55</v>
      </c>
      <c r="E28" s="518">
        <f t="shared" ref="E28" si="5">ROUND(0.7199*D28,2)</f>
        <v>9.0299999999999994</v>
      </c>
      <c r="F28" s="520">
        <f>ROUND(VLOOKUP(B28,'[5]BPHAN CHIA '!$B$179:$T$200,19,0),2)</f>
        <v>10.58</v>
      </c>
      <c r="G28" s="520">
        <f t="shared" si="3"/>
        <v>11.59</v>
      </c>
      <c r="H28" s="333"/>
      <c r="I28" s="333"/>
      <c r="J28" s="520"/>
      <c r="K28" s="520"/>
      <c r="L28" s="520"/>
      <c r="M28" s="520"/>
      <c r="N28" s="520"/>
      <c r="O28" s="520"/>
      <c r="P28" s="336"/>
      <c r="Q28" s="336"/>
      <c r="R28" s="348"/>
      <c r="S28" s="348"/>
      <c r="T28" s="348"/>
      <c r="U28" s="348"/>
      <c r="V28" s="348"/>
      <c r="W28" s="336"/>
      <c r="X28" s="348"/>
      <c r="Y28" s="348"/>
      <c r="Z28" s="333">
        <f t="shared" si="0"/>
        <v>20.619999999999997</v>
      </c>
      <c r="AA28" s="350"/>
      <c r="AB28" s="589"/>
      <c r="AD28" s="516"/>
    </row>
    <row r="29" spans="1:30" s="296" customFormat="1" ht="27.95" customHeight="1">
      <c r="A29" s="523">
        <f t="shared" si="1"/>
        <v>17</v>
      </c>
      <c r="B29" s="456" t="s">
        <v>90</v>
      </c>
      <c r="C29" s="455" t="s">
        <v>91</v>
      </c>
      <c r="D29" s="518"/>
      <c r="E29" s="522"/>
      <c r="F29" s="520">
        <f>ROUND(VLOOKUP(B29,'[5]BPHAN CHIA '!$B$179:$T$200,19,0),2)</f>
        <v>6.65</v>
      </c>
      <c r="G29" s="520">
        <f t="shared" si="3"/>
        <v>7.29</v>
      </c>
      <c r="H29" s="333"/>
      <c r="I29" s="333"/>
      <c r="J29" s="520"/>
      <c r="K29" s="520"/>
      <c r="L29" s="520"/>
      <c r="M29" s="520"/>
      <c r="N29" s="520"/>
      <c r="O29" s="520"/>
      <c r="P29" s="336"/>
      <c r="Q29" s="336"/>
      <c r="R29" s="348"/>
      <c r="S29" s="348"/>
      <c r="T29" s="348"/>
      <c r="U29" s="348"/>
      <c r="V29" s="348"/>
      <c r="W29" s="336"/>
      <c r="X29" s="348"/>
      <c r="Y29" s="348"/>
      <c r="Z29" s="333">
        <f t="shared" si="0"/>
        <v>7.29</v>
      </c>
      <c r="AA29" s="350"/>
      <c r="AB29" s="342"/>
      <c r="AD29" s="521"/>
    </row>
    <row r="30" spans="1:30" s="240" customFormat="1" ht="27.95" customHeight="1">
      <c r="A30" s="519">
        <f t="shared" si="1"/>
        <v>18</v>
      </c>
      <c r="B30" s="560" t="s">
        <v>92</v>
      </c>
      <c r="C30" s="561" t="s">
        <v>93</v>
      </c>
      <c r="D30" s="518"/>
      <c r="E30" s="517"/>
      <c r="F30" s="520">
        <f>ROUND(VLOOKUP(B30,'[5]BPHAN CHIA '!$B$179:$T$200,19,0),2)</f>
        <v>11.95</v>
      </c>
      <c r="G30" s="520">
        <f t="shared" si="3"/>
        <v>13.09</v>
      </c>
      <c r="H30" s="333"/>
      <c r="I30" s="333"/>
      <c r="J30" s="517"/>
      <c r="K30" s="517"/>
      <c r="L30" s="517"/>
      <c r="M30" s="517"/>
      <c r="N30" s="517"/>
      <c r="O30" s="517"/>
      <c r="P30" s="338"/>
      <c r="Q30" s="338"/>
      <c r="R30" s="337"/>
      <c r="S30" s="337"/>
      <c r="T30" s="337"/>
      <c r="U30" s="337"/>
      <c r="V30" s="348"/>
      <c r="W30" s="336"/>
      <c r="X30" s="341"/>
      <c r="Y30" s="341"/>
      <c r="Z30" s="333">
        <f t="shared" si="0"/>
        <v>13.09</v>
      </c>
      <c r="AA30" s="334"/>
      <c r="AB30" s="589"/>
      <c r="AD30" s="516"/>
    </row>
    <row r="31" spans="1:30" s="240" customFormat="1" ht="27.95" customHeight="1">
      <c r="A31" s="519">
        <f t="shared" si="1"/>
        <v>19</v>
      </c>
      <c r="B31" s="560" t="s">
        <v>94</v>
      </c>
      <c r="C31" s="562" t="s">
        <v>95</v>
      </c>
      <c r="D31" s="518">
        <f>ROUND(VLOOKUP(B31,'[5]BPHAN CHIA '!$B$100:$T$110,19,0),2)</f>
        <v>12.55</v>
      </c>
      <c r="E31" s="518">
        <f t="shared" ref="E31:E33" si="6">ROUND(0.7199*D31,2)</f>
        <v>9.0299999999999994</v>
      </c>
      <c r="F31" s="520">
        <f>ROUND(VLOOKUP(B31,'[5]BPHAN CHIA '!$B$179:$T$200,19,0),2)</f>
        <v>10.01</v>
      </c>
      <c r="G31" s="520">
        <f t="shared" si="3"/>
        <v>10.97</v>
      </c>
      <c r="H31" s="333"/>
      <c r="I31" s="333"/>
      <c r="J31" s="517"/>
      <c r="K31" s="517"/>
      <c r="L31" s="517"/>
      <c r="M31" s="517"/>
      <c r="N31" s="517"/>
      <c r="O31" s="517"/>
      <c r="P31" s="338"/>
      <c r="Q31" s="338"/>
      <c r="R31" s="337"/>
      <c r="S31" s="337"/>
      <c r="T31" s="348">
        <f>'[5]BCC D1(26)'!V95</f>
        <v>4</v>
      </c>
      <c r="U31" s="338">
        <f>ROUND(T31*0.9391,2)</f>
        <v>3.76</v>
      </c>
      <c r="V31" s="348"/>
      <c r="W31" s="336"/>
      <c r="X31" s="348"/>
      <c r="Y31" s="348"/>
      <c r="Z31" s="333">
        <f t="shared" si="0"/>
        <v>23.759999999999998</v>
      </c>
      <c r="AA31" s="334"/>
      <c r="AB31" s="589"/>
      <c r="AD31" s="516"/>
    </row>
    <row r="32" spans="1:30" s="240" customFormat="1" ht="27.95" customHeight="1">
      <c r="A32" s="519">
        <f t="shared" si="1"/>
        <v>20</v>
      </c>
      <c r="B32" s="560" t="s">
        <v>96</v>
      </c>
      <c r="C32" s="562" t="s">
        <v>97</v>
      </c>
      <c r="D32" s="518">
        <f>ROUND(VLOOKUP(B32,'[5]BPHAN CHIA '!$B$100:$T$110,19,0),2)</f>
        <v>12.55</v>
      </c>
      <c r="E32" s="518">
        <f t="shared" si="6"/>
        <v>9.0299999999999994</v>
      </c>
      <c r="F32" s="520">
        <f>ROUND(VLOOKUP(B32,'[5]BPHAN CHIA '!$B$179:$T$200,19,0),2)</f>
        <v>8.39</v>
      </c>
      <c r="G32" s="520">
        <f t="shared" si="3"/>
        <v>9.19</v>
      </c>
      <c r="H32" s="333"/>
      <c r="I32" s="333"/>
      <c r="J32" s="517"/>
      <c r="K32" s="517"/>
      <c r="L32" s="517"/>
      <c r="M32" s="517"/>
      <c r="N32" s="517"/>
      <c r="O32" s="517"/>
      <c r="P32" s="338"/>
      <c r="Q32" s="338"/>
      <c r="R32" s="337"/>
      <c r="S32" s="337"/>
      <c r="T32" s="337"/>
      <c r="U32" s="337"/>
      <c r="V32" s="348"/>
      <c r="W32" s="336"/>
      <c r="X32" s="341"/>
      <c r="Y32" s="341"/>
      <c r="Z32" s="333">
        <f t="shared" si="0"/>
        <v>18.22</v>
      </c>
      <c r="AA32" s="334"/>
      <c r="AB32" s="589"/>
      <c r="AD32" s="516"/>
    </row>
    <row r="33" spans="1:30" s="240" customFormat="1" ht="27.95" customHeight="1">
      <c r="A33" s="519">
        <f t="shared" si="1"/>
        <v>21</v>
      </c>
      <c r="B33" s="560" t="s">
        <v>98</v>
      </c>
      <c r="C33" s="458" t="s">
        <v>99</v>
      </c>
      <c r="D33" s="518">
        <f>ROUND(VLOOKUP(B33,'[5]BPHAN CHIA '!$B$100:$T$110,19,0),2)</f>
        <v>6.33</v>
      </c>
      <c r="E33" s="518">
        <f t="shared" si="6"/>
        <v>4.5599999999999996</v>
      </c>
      <c r="F33" s="520">
        <f>ROUND(VLOOKUP(B33,'[5]BPHAN CHIA '!$B$179:$T$200,19,0),2)</f>
        <v>9.9600000000000009</v>
      </c>
      <c r="G33" s="520">
        <f t="shared" si="3"/>
        <v>10.91</v>
      </c>
      <c r="H33" s="333"/>
      <c r="I33" s="333"/>
      <c r="J33" s="517"/>
      <c r="K33" s="517"/>
      <c r="L33" s="517"/>
      <c r="M33" s="517"/>
      <c r="N33" s="517"/>
      <c r="O33" s="517"/>
      <c r="P33" s="338"/>
      <c r="Q33" s="338"/>
      <c r="R33" s="337"/>
      <c r="S33" s="337"/>
      <c r="T33" s="348"/>
      <c r="U33" s="338">
        <f>ROUND(T33*0.9391,2)</f>
        <v>0</v>
      </c>
      <c r="V33" s="348"/>
      <c r="W33" s="336"/>
      <c r="X33" s="348"/>
      <c r="Y33" s="348"/>
      <c r="Z33" s="333">
        <f t="shared" si="0"/>
        <v>15.469999999999999</v>
      </c>
      <c r="AA33" s="334"/>
      <c r="AB33" s="589"/>
      <c r="AD33" s="516"/>
    </row>
    <row r="34" spans="1:30" s="240" customFormat="1" ht="27.95" customHeight="1">
      <c r="A34" s="519">
        <f t="shared" si="1"/>
        <v>22</v>
      </c>
      <c r="B34" s="560" t="s">
        <v>100</v>
      </c>
      <c r="C34" s="458" t="s">
        <v>101</v>
      </c>
      <c r="D34" s="518"/>
      <c r="E34" s="517"/>
      <c r="F34" s="520">
        <f>ROUND(VLOOKUP(B34,'[5]BPHAN CHIA '!$B$179:$T$200,19,0),2)</f>
        <v>11.95</v>
      </c>
      <c r="G34" s="520">
        <f t="shared" si="3"/>
        <v>13.09</v>
      </c>
      <c r="H34" s="333"/>
      <c r="I34" s="333"/>
      <c r="J34" s="517"/>
      <c r="K34" s="517"/>
      <c r="L34" s="517"/>
      <c r="M34" s="517"/>
      <c r="N34" s="517"/>
      <c r="O34" s="517"/>
      <c r="P34" s="338"/>
      <c r="Q34" s="338"/>
      <c r="R34" s="337"/>
      <c r="S34" s="337"/>
      <c r="T34" s="337"/>
      <c r="U34" s="337"/>
      <c r="V34" s="348"/>
      <c r="W34" s="336"/>
      <c r="X34" s="348"/>
      <c r="Y34" s="348"/>
      <c r="Z34" s="333">
        <f t="shared" si="0"/>
        <v>13.09</v>
      </c>
      <c r="AA34" s="334"/>
      <c r="AB34" s="589"/>
      <c r="AD34" s="516"/>
    </row>
    <row r="35" spans="1:30" s="240" customFormat="1" ht="27.95" customHeight="1">
      <c r="A35" s="519">
        <f t="shared" si="1"/>
        <v>23</v>
      </c>
      <c r="B35" s="560" t="s">
        <v>102</v>
      </c>
      <c r="C35" s="458" t="s">
        <v>103</v>
      </c>
      <c r="D35" s="518"/>
      <c r="E35" s="518"/>
      <c r="F35" s="520">
        <f>ROUND(VLOOKUP(B35,'[5]BPHAN CHIA '!$B$179:$T$200,19,0),2)</f>
        <v>11.95</v>
      </c>
      <c r="G35" s="520">
        <f t="shared" si="3"/>
        <v>13.09</v>
      </c>
      <c r="H35" s="333"/>
      <c r="I35" s="333"/>
      <c r="J35" s="517"/>
      <c r="K35" s="517"/>
      <c r="L35" s="517"/>
      <c r="M35" s="517"/>
      <c r="N35" s="517"/>
      <c r="O35" s="517"/>
      <c r="P35" s="338"/>
      <c r="Q35" s="338"/>
      <c r="R35" s="337"/>
      <c r="S35" s="337"/>
      <c r="T35" s="337"/>
      <c r="U35" s="337"/>
      <c r="V35" s="348"/>
      <c r="W35" s="336"/>
      <c r="X35" s="341"/>
      <c r="Y35" s="341"/>
      <c r="Z35" s="333">
        <f t="shared" si="0"/>
        <v>13.09</v>
      </c>
      <c r="AA35" s="334"/>
      <c r="AB35" s="589"/>
      <c r="AD35" s="516"/>
    </row>
    <row r="36" spans="1:30" s="240" customFormat="1" ht="27.95" customHeight="1">
      <c r="A36" s="519">
        <f t="shared" si="1"/>
        <v>24</v>
      </c>
      <c r="B36" s="560" t="s">
        <v>104</v>
      </c>
      <c r="C36" s="563" t="s">
        <v>105</v>
      </c>
      <c r="D36" s="518"/>
      <c r="E36" s="518"/>
      <c r="F36" s="520">
        <f>ROUND(VLOOKUP(B36,'[5]BPHAN CHIA '!$B$179:$T$200,19,0),2)</f>
        <v>11.95</v>
      </c>
      <c r="G36" s="520">
        <f t="shared" si="3"/>
        <v>13.09</v>
      </c>
      <c r="H36" s="333"/>
      <c r="I36" s="333"/>
      <c r="J36" s="517"/>
      <c r="K36" s="517"/>
      <c r="L36" s="517"/>
      <c r="M36" s="517"/>
      <c r="N36" s="517"/>
      <c r="O36" s="517"/>
      <c r="P36" s="338"/>
      <c r="Q36" s="338"/>
      <c r="R36" s="337"/>
      <c r="S36" s="337"/>
      <c r="T36" s="337"/>
      <c r="U36" s="337"/>
      <c r="V36" s="348"/>
      <c r="W36" s="336"/>
      <c r="X36" s="341"/>
      <c r="Y36" s="341"/>
      <c r="Z36" s="333">
        <f t="shared" si="0"/>
        <v>13.09</v>
      </c>
      <c r="AA36" s="334"/>
      <c r="AB36" s="589"/>
      <c r="AD36" s="516"/>
    </row>
    <row r="37" spans="1:30" s="240" customFormat="1" ht="27.95" customHeight="1">
      <c r="A37" s="519">
        <f t="shared" si="1"/>
        <v>25</v>
      </c>
      <c r="B37" s="558" t="s">
        <v>219</v>
      </c>
      <c r="C37" s="563" t="s">
        <v>220</v>
      </c>
      <c r="D37" s="518"/>
      <c r="E37" s="517"/>
      <c r="F37" s="520">
        <f>ROUND(VLOOKUP(B37,'[5]BPHAN CHIA '!$B$179:$T$200,19,0),2)</f>
        <v>11.95</v>
      </c>
      <c r="G37" s="520">
        <f t="shared" si="3"/>
        <v>13.09</v>
      </c>
      <c r="H37" s="333"/>
      <c r="I37" s="333"/>
      <c r="J37" s="517"/>
      <c r="K37" s="517"/>
      <c r="L37" s="517"/>
      <c r="M37" s="517"/>
      <c r="N37" s="517"/>
      <c r="O37" s="517"/>
      <c r="P37" s="338"/>
      <c r="Q37" s="338"/>
      <c r="R37" s="337"/>
      <c r="S37" s="337"/>
      <c r="T37" s="337"/>
      <c r="U37" s="337"/>
      <c r="V37" s="348"/>
      <c r="W37" s="336"/>
      <c r="X37" s="348"/>
      <c r="Y37" s="348"/>
      <c r="Z37" s="333">
        <f t="shared" si="0"/>
        <v>13.09</v>
      </c>
      <c r="AA37" s="334"/>
      <c r="AB37" s="589"/>
      <c r="AD37" s="516"/>
    </row>
    <row r="38" spans="1:30" s="240" customFormat="1" ht="27.95" customHeight="1">
      <c r="A38" s="519">
        <f t="shared" si="1"/>
        <v>26</v>
      </c>
      <c r="B38" s="564" t="s">
        <v>278</v>
      </c>
      <c r="C38" s="563" t="s">
        <v>279</v>
      </c>
      <c r="D38" s="518">
        <f>ROUND(VLOOKUP(B38,'[5]BPHAN CHIA '!$B$100:$T$110,19,0),2)</f>
        <v>12.54</v>
      </c>
      <c r="E38" s="518">
        <f t="shared" ref="E38:E49" si="7">ROUND(0.7199*D38,2)</f>
        <v>9.0299999999999994</v>
      </c>
      <c r="F38" s="520">
        <f>ROUND(VLOOKUP(B38,'[5]BPHAN CHIA '!$B$179:$T$200,19,0),2)</f>
        <v>5.22</v>
      </c>
      <c r="G38" s="520">
        <f t="shared" si="3"/>
        <v>5.72</v>
      </c>
      <c r="H38" s="333"/>
      <c r="I38" s="333"/>
      <c r="J38" s="517"/>
      <c r="K38" s="517"/>
      <c r="L38" s="517"/>
      <c r="M38" s="517"/>
      <c r="N38" s="517"/>
      <c r="O38" s="517"/>
      <c r="P38" s="338"/>
      <c r="Q38" s="338"/>
      <c r="R38" s="337"/>
      <c r="S38" s="337"/>
      <c r="T38" s="348">
        <f>'[5]BCC D1(26)'!V96</f>
        <v>4</v>
      </c>
      <c r="U38" s="338">
        <f>ROUND(T38*0.9391,2)</f>
        <v>3.76</v>
      </c>
      <c r="V38" s="348"/>
      <c r="W38" s="336"/>
      <c r="X38" s="348"/>
      <c r="Y38" s="348"/>
      <c r="Z38" s="333">
        <f t="shared" si="0"/>
        <v>18.509999999999998</v>
      </c>
      <c r="AA38" s="334"/>
      <c r="AB38" s="589"/>
      <c r="AD38" s="516"/>
    </row>
    <row r="39" spans="1:30" s="240" customFormat="1" ht="27.95" customHeight="1">
      <c r="A39" s="519">
        <f t="shared" si="1"/>
        <v>27</v>
      </c>
      <c r="B39" s="558" t="s">
        <v>280</v>
      </c>
      <c r="C39" s="563" t="s">
        <v>281</v>
      </c>
      <c r="D39" s="518">
        <f>ROUND(VLOOKUP(B39,'[5]BPHAN CHIA '!$B$100:$T$110,19,0),2)</f>
        <v>1.63</v>
      </c>
      <c r="E39" s="518">
        <f t="shared" si="7"/>
        <v>1.17</v>
      </c>
      <c r="F39" s="520">
        <f>ROUND(VLOOKUP(B39,'[5]BPHAN CHIA '!$B$179:$T$200,19,0),2)</f>
        <v>8.5299999999999994</v>
      </c>
      <c r="G39" s="520">
        <f t="shared" si="3"/>
        <v>9.35</v>
      </c>
      <c r="H39" s="333"/>
      <c r="I39" s="333"/>
      <c r="J39" s="517"/>
      <c r="K39" s="517"/>
      <c r="L39" s="517"/>
      <c r="M39" s="517"/>
      <c r="N39" s="517"/>
      <c r="O39" s="517"/>
      <c r="P39" s="338"/>
      <c r="Q39" s="338"/>
      <c r="R39" s="337"/>
      <c r="S39" s="337"/>
      <c r="T39" s="337"/>
      <c r="U39" s="337"/>
      <c r="V39" s="348"/>
      <c r="W39" s="336"/>
      <c r="X39" s="341"/>
      <c r="Y39" s="341"/>
      <c r="Z39" s="333">
        <f t="shared" si="0"/>
        <v>10.52</v>
      </c>
      <c r="AA39" s="334"/>
      <c r="AB39" s="589"/>
      <c r="AD39" s="516"/>
    </row>
    <row r="40" spans="1:30" s="240" customFormat="1" ht="27.95" customHeight="1">
      <c r="A40" s="519">
        <f t="shared" si="1"/>
        <v>28</v>
      </c>
      <c r="B40" s="453" t="s">
        <v>135</v>
      </c>
      <c r="C40" s="454" t="s">
        <v>136</v>
      </c>
      <c r="D40" s="518">
        <f>ROUND(VLOOKUP(B40,'[5]BPHAN CHIA '!$B$100:$T$110,19,0),2)</f>
        <v>5.67</v>
      </c>
      <c r="E40" s="518">
        <f t="shared" si="7"/>
        <v>4.08</v>
      </c>
      <c r="F40" s="520">
        <f>ROUND(VLOOKUP(B40,'[5]BPHAN CHIA '!$B$179:$T$200,19,0),2)</f>
        <v>11.95</v>
      </c>
      <c r="G40" s="520">
        <f t="shared" si="3"/>
        <v>13.09</v>
      </c>
      <c r="H40" s="333"/>
      <c r="I40" s="333"/>
      <c r="J40" s="517"/>
      <c r="K40" s="517"/>
      <c r="L40" s="517"/>
      <c r="M40" s="517"/>
      <c r="N40" s="517"/>
      <c r="O40" s="517"/>
      <c r="P40" s="338"/>
      <c r="Q40" s="338"/>
      <c r="R40" s="337"/>
      <c r="S40" s="337"/>
      <c r="T40" s="337"/>
      <c r="U40" s="337"/>
      <c r="V40" s="348"/>
      <c r="W40" s="336"/>
      <c r="X40" s="341"/>
      <c r="Y40" s="341"/>
      <c r="Z40" s="333">
        <f t="shared" si="0"/>
        <v>17.170000000000002</v>
      </c>
      <c r="AA40" s="334"/>
      <c r="AB40" s="589"/>
      <c r="AD40" s="516"/>
    </row>
    <row r="41" spans="1:30" s="240" customFormat="1" ht="27" customHeight="1">
      <c r="A41" s="519">
        <f t="shared" si="1"/>
        <v>29</v>
      </c>
      <c r="B41" s="249" t="s">
        <v>106</v>
      </c>
      <c r="C41" s="467" t="s">
        <v>107</v>
      </c>
      <c r="D41" s="518">
        <f>ROUND(VLOOKUP(B41,'[5]BPHAN CHIA '!$B$11:$T$19,19,0)*1.1,2)</f>
        <v>52.34</v>
      </c>
      <c r="E41" s="518">
        <f t="shared" si="7"/>
        <v>37.68</v>
      </c>
      <c r="F41" s="517"/>
      <c r="G41" s="517"/>
      <c r="H41" s="333"/>
      <c r="I41" s="333"/>
      <c r="J41" s="517"/>
      <c r="K41" s="517"/>
      <c r="L41" s="517"/>
      <c r="M41" s="517"/>
      <c r="N41" s="517"/>
      <c r="O41" s="517"/>
      <c r="P41" s="338"/>
      <c r="Q41" s="338"/>
      <c r="R41" s="337"/>
      <c r="S41" s="337"/>
      <c r="T41" s="337"/>
      <c r="U41" s="337"/>
      <c r="V41" s="348"/>
      <c r="W41" s="336"/>
      <c r="X41" s="348"/>
      <c r="Y41" s="348"/>
      <c r="Z41" s="333">
        <f t="shared" si="0"/>
        <v>37.68</v>
      </c>
      <c r="AA41" s="334"/>
      <c r="AB41" s="589"/>
      <c r="AD41" s="516"/>
    </row>
    <row r="42" spans="1:30" s="240" customFormat="1" ht="27" customHeight="1">
      <c r="A42" s="519">
        <f t="shared" si="1"/>
        <v>30</v>
      </c>
      <c r="B42" s="249" t="s">
        <v>108</v>
      </c>
      <c r="C42" s="469" t="s">
        <v>109</v>
      </c>
      <c r="D42" s="518">
        <f>ROUND(VLOOKUP(B42,'[5]BPHAN CHIA '!$B$11:$T$19,19,0),2)</f>
        <v>47.58</v>
      </c>
      <c r="E42" s="518">
        <f t="shared" si="7"/>
        <v>34.25</v>
      </c>
      <c r="F42" s="517"/>
      <c r="G42" s="517"/>
      <c r="H42" s="333"/>
      <c r="I42" s="333"/>
      <c r="J42" s="517"/>
      <c r="K42" s="517"/>
      <c r="L42" s="517"/>
      <c r="M42" s="517"/>
      <c r="N42" s="517"/>
      <c r="O42" s="517"/>
      <c r="P42" s="338"/>
      <c r="Q42" s="338"/>
      <c r="R42" s="337"/>
      <c r="S42" s="337"/>
      <c r="T42" s="337"/>
      <c r="U42" s="337"/>
      <c r="V42" s="348"/>
      <c r="W42" s="336"/>
      <c r="X42" s="348"/>
      <c r="Y42" s="348"/>
      <c r="Z42" s="333">
        <f t="shared" si="0"/>
        <v>34.25</v>
      </c>
      <c r="AA42" s="334"/>
      <c r="AB42" s="589"/>
      <c r="AD42" s="516"/>
    </row>
    <row r="43" spans="1:30" s="240" customFormat="1" ht="27" customHeight="1">
      <c r="A43" s="519">
        <f t="shared" si="1"/>
        <v>31</v>
      </c>
      <c r="B43" s="552" t="s">
        <v>110</v>
      </c>
      <c r="C43" s="555" t="s">
        <v>111</v>
      </c>
      <c r="D43" s="518">
        <f>ROUND(VLOOKUP(B43,'[5]BPHAN CHIA '!$B$11:$T$19,19,0),2)</f>
        <v>47.58</v>
      </c>
      <c r="E43" s="518">
        <f t="shared" si="7"/>
        <v>34.25</v>
      </c>
      <c r="F43" s="517"/>
      <c r="G43" s="517"/>
      <c r="H43" s="333"/>
      <c r="I43" s="333"/>
      <c r="J43" s="517"/>
      <c r="K43" s="517"/>
      <c r="L43" s="517"/>
      <c r="M43" s="517"/>
      <c r="N43" s="517"/>
      <c r="O43" s="517"/>
      <c r="P43" s="338"/>
      <c r="Q43" s="338"/>
      <c r="R43" s="337"/>
      <c r="S43" s="337"/>
      <c r="T43" s="337"/>
      <c r="U43" s="337"/>
      <c r="V43" s="348"/>
      <c r="W43" s="336"/>
      <c r="X43" s="348"/>
      <c r="Y43" s="348"/>
      <c r="Z43" s="333">
        <f t="shared" si="0"/>
        <v>34.25</v>
      </c>
      <c r="AA43" s="334"/>
      <c r="AB43" s="589"/>
      <c r="AD43" s="516"/>
    </row>
    <row r="44" spans="1:30" s="240" customFormat="1" ht="27" customHeight="1">
      <c r="A44" s="519">
        <f t="shared" si="1"/>
        <v>32</v>
      </c>
      <c r="B44" s="249" t="s">
        <v>112</v>
      </c>
      <c r="C44" s="467" t="s">
        <v>113</v>
      </c>
      <c r="D44" s="518">
        <f>ROUND(VLOOKUP(B44,'[5]BPHAN CHIA '!$B$11:$T$19,19,0),2)</f>
        <v>47.58</v>
      </c>
      <c r="E44" s="518">
        <f t="shared" si="7"/>
        <v>34.25</v>
      </c>
      <c r="F44" s="517"/>
      <c r="G44" s="517"/>
      <c r="H44" s="333"/>
      <c r="I44" s="333"/>
      <c r="J44" s="517"/>
      <c r="K44" s="517"/>
      <c r="L44" s="517"/>
      <c r="M44" s="517"/>
      <c r="N44" s="517"/>
      <c r="O44" s="517"/>
      <c r="P44" s="338"/>
      <c r="Q44" s="338"/>
      <c r="R44" s="337"/>
      <c r="S44" s="337"/>
      <c r="T44" s="337"/>
      <c r="U44" s="337"/>
      <c r="V44" s="348"/>
      <c r="W44" s="336"/>
      <c r="X44" s="348"/>
      <c r="Y44" s="348"/>
      <c r="Z44" s="333">
        <f t="shared" si="0"/>
        <v>34.25</v>
      </c>
      <c r="AA44" s="334"/>
      <c r="AB44" s="589"/>
      <c r="AD44" s="516"/>
    </row>
    <row r="45" spans="1:30" s="240" customFormat="1" ht="27" customHeight="1">
      <c r="A45" s="519">
        <f t="shared" si="1"/>
        <v>33</v>
      </c>
      <c r="B45" s="249" t="s">
        <v>114</v>
      </c>
      <c r="C45" s="471" t="s">
        <v>115</v>
      </c>
      <c r="D45" s="518">
        <f>ROUND(VLOOKUP(B45,'[5]BPHAN CHIA '!$B$11:$T$19,19,0),2)</f>
        <v>47.58</v>
      </c>
      <c r="E45" s="518">
        <f t="shared" si="7"/>
        <v>34.25</v>
      </c>
      <c r="F45" s="517"/>
      <c r="G45" s="517"/>
      <c r="H45" s="333"/>
      <c r="I45" s="333"/>
      <c r="J45" s="517"/>
      <c r="K45" s="517"/>
      <c r="L45" s="517"/>
      <c r="M45" s="517"/>
      <c r="N45" s="517"/>
      <c r="O45" s="517"/>
      <c r="P45" s="338"/>
      <c r="Q45" s="338"/>
      <c r="R45" s="337"/>
      <c r="S45" s="337"/>
      <c r="T45" s="337"/>
      <c r="U45" s="337"/>
      <c r="V45" s="348"/>
      <c r="W45" s="336"/>
      <c r="X45" s="348"/>
      <c r="Y45" s="348"/>
      <c r="Z45" s="333">
        <f t="shared" si="0"/>
        <v>34.25</v>
      </c>
      <c r="AA45" s="334"/>
      <c r="AB45" s="589"/>
      <c r="AD45" s="516"/>
    </row>
    <row r="46" spans="1:30" s="240" customFormat="1" ht="27" customHeight="1">
      <c r="A46" s="519">
        <f t="shared" si="1"/>
        <v>34</v>
      </c>
      <c r="B46" s="249" t="s">
        <v>116</v>
      </c>
      <c r="C46" s="472" t="s">
        <v>117</v>
      </c>
      <c r="D46" s="518">
        <f>ROUND(VLOOKUP(B46,'[5]BPHAN CHIA '!$B$11:$T$19,19,0),2)</f>
        <v>43.55</v>
      </c>
      <c r="E46" s="518">
        <f t="shared" si="7"/>
        <v>31.35</v>
      </c>
      <c r="F46" s="517"/>
      <c r="G46" s="517"/>
      <c r="H46" s="333"/>
      <c r="I46" s="333"/>
      <c r="J46" s="517"/>
      <c r="K46" s="517"/>
      <c r="L46" s="517"/>
      <c r="M46" s="517"/>
      <c r="N46" s="517"/>
      <c r="O46" s="517"/>
      <c r="P46" s="338"/>
      <c r="Q46" s="338"/>
      <c r="R46" s="337"/>
      <c r="S46" s="337"/>
      <c r="T46" s="337"/>
      <c r="U46" s="337"/>
      <c r="V46" s="348"/>
      <c r="W46" s="336"/>
      <c r="X46" s="348"/>
      <c r="Y46" s="348"/>
      <c r="Z46" s="333">
        <f t="shared" si="0"/>
        <v>31.35</v>
      </c>
      <c r="AA46" s="334"/>
      <c r="AB46" s="589"/>
      <c r="AD46" s="516"/>
    </row>
    <row r="47" spans="1:30" s="240" customFormat="1" ht="27" customHeight="1">
      <c r="A47" s="519">
        <f t="shared" si="1"/>
        <v>35</v>
      </c>
      <c r="B47" s="249" t="s">
        <v>118</v>
      </c>
      <c r="C47" s="472" t="s">
        <v>119</v>
      </c>
      <c r="D47" s="518">
        <f>ROUND(VLOOKUP(B47,'[5]BPHAN CHIA '!$B$11:$T$19,19,0),2)</f>
        <v>47.58</v>
      </c>
      <c r="E47" s="518">
        <f t="shared" si="7"/>
        <v>34.25</v>
      </c>
      <c r="F47" s="517"/>
      <c r="G47" s="517"/>
      <c r="H47" s="333"/>
      <c r="I47" s="333"/>
      <c r="J47" s="517"/>
      <c r="K47" s="517"/>
      <c r="L47" s="517"/>
      <c r="M47" s="517"/>
      <c r="N47" s="517"/>
      <c r="O47" s="517"/>
      <c r="P47" s="338"/>
      <c r="Q47" s="338"/>
      <c r="R47" s="337"/>
      <c r="S47" s="337"/>
      <c r="T47" s="337"/>
      <c r="U47" s="337"/>
      <c r="V47" s="348"/>
      <c r="W47" s="336"/>
      <c r="X47" s="348"/>
      <c r="Y47" s="348"/>
      <c r="Z47" s="333">
        <f t="shared" si="0"/>
        <v>34.25</v>
      </c>
      <c r="AA47" s="334"/>
      <c r="AB47" s="589"/>
      <c r="AD47" s="516"/>
    </row>
    <row r="48" spans="1:30" s="240" customFormat="1" ht="27" customHeight="1">
      <c r="A48" s="519">
        <f t="shared" si="1"/>
        <v>36</v>
      </c>
      <c r="B48" s="249" t="s">
        <v>120</v>
      </c>
      <c r="C48" s="472" t="s">
        <v>121</v>
      </c>
      <c r="D48" s="518">
        <f>ROUND(VLOOKUP(B48,'[5]BPHAN CHIA '!$B$11:$T$19,19,0),2)</f>
        <v>47.58</v>
      </c>
      <c r="E48" s="518">
        <f t="shared" si="7"/>
        <v>34.25</v>
      </c>
      <c r="F48" s="517"/>
      <c r="G48" s="517"/>
      <c r="H48" s="333"/>
      <c r="I48" s="333"/>
      <c r="J48" s="517"/>
      <c r="K48" s="517"/>
      <c r="L48" s="517"/>
      <c r="M48" s="517"/>
      <c r="N48" s="517"/>
      <c r="O48" s="517"/>
      <c r="P48" s="338"/>
      <c r="Q48" s="338"/>
      <c r="R48" s="337"/>
      <c r="S48" s="337"/>
      <c r="T48" s="337"/>
      <c r="U48" s="337"/>
      <c r="V48" s="348"/>
      <c r="W48" s="336"/>
      <c r="X48" s="348"/>
      <c r="Y48" s="348"/>
      <c r="Z48" s="333">
        <f t="shared" si="0"/>
        <v>34.25</v>
      </c>
      <c r="AA48" s="334"/>
      <c r="AB48" s="589"/>
      <c r="AD48" s="516"/>
    </row>
    <row r="49" spans="1:30" s="240" customFormat="1" ht="27" customHeight="1">
      <c r="A49" s="519">
        <f t="shared" si="1"/>
        <v>37</v>
      </c>
      <c r="B49" s="249" t="s">
        <v>122</v>
      </c>
      <c r="C49" s="471" t="s">
        <v>123</v>
      </c>
      <c r="D49" s="518">
        <f>ROUND(VLOOKUP(B49,'[5]BPHAN CHIA '!$B$11:$T$19,19,0),2)</f>
        <v>47.58</v>
      </c>
      <c r="E49" s="518">
        <f t="shared" si="7"/>
        <v>34.25</v>
      </c>
      <c r="F49" s="517"/>
      <c r="G49" s="517"/>
      <c r="H49" s="333"/>
      <c r="I49" s="333"/>
      <c r="J49" s="517"/>
      <c r="K49" s="517"/>
      <c r="L49" s="517"/>
      <c r="M49" s="517"/>
      <c r="N49" s="517"/>
      <c r="O49" s="517"/>
      <c r="P49" s="338"/>
      <c r="Q49" s="338"/>
      <c r="R49" s="337"/>
      <c r="S49" s="337"/>
      <c r="T49" s="337"/>
      <c r="U49" s="337"/>
      <c r="V49" s="348"/>
      <c r="W49" s="336"/>
      <c r="X49" s="348"/>
      <c r="Y49" s="348"/>
      <c r="Z49" s="333">
        <f t="shared" si="0"/>
        <v>34.25</v>
      </c>
      <c r="AA49" s="334"/>
      <c r="AB49" s="589"/>
      <c r="AD49" s="516"/>
    </row>
    <row r="50" spans="1:30" s="240" customFormat="1" ht="27" customHeight="1">
      <c r="A50" s="519">
        <f t="shared" si="1"/>
        <v>38</v>
      </c>
      <c r="B50" s="249" t="s">
        <v>333</v>
      </c>
      <c r="C50" s="471" t="s">
        <v>332</v>
      </c>
      <c r="D50" s="517"/>
      <c r="E50" s="517"/>
      <c r="F50" s="517"/>
      <c r="G50" s="517"/>
      <c r="H50" s="333"/>
      <c r="I50" s="333"/>
      <c r="J50" s="517">
        <f>'[5]BCC D1(26)'!V53</f>
        <v>10</v>
      </c>
      <c r="K50" s="335">
        <f>ROUND(J50*1.014,2)</f>
        <v>10.14</v>
      </c>
      <c r="L50" s="517"/>
      <c r="M50" s="517"/>
      <c r="N50" s="517"/>
      <c r="O50" s="517"/>
      <c r="P50" s="338"/>
      <c r="Q50" s="338"/>
      <c r="R50" s="337">
        <f>'[6]BCC D1 (26)'!X93</f>
        <v>2</v>
      </c>
      <c r="S50" s="336">
        <f>ROUND(R50*0.9391,2)</f>
        <v>1.88</v>
      </c>
      <c r="T50" s="336"/>
      <c r="U50" s="336"/>
      <c r="V50" s="348"/>
      <c r="W50" s="336"/>
      <c r="X50" s="348"/>
      <c r="Y50" s="348"/>
      <c r="Z50" s="333">
        <f t="shared" si="0"/>
        <v>12.02</v>
      </c>
      <c r="AA50" s="334"/>
      <c r="AB50" s="589"/>
      <c r="AD50" s="516"/>
    </row>
    <row r="51" spans="1:30" s="240" customFormat="1" ht="27" customHeight="1">
      <c r="A51" s="519">
        <f t="shared" si="1"/>
        <v>39</v>
      </c>
      <c r="B51" s="249" t="s">
        <v>124</v>
      </c>
      <c r="C51" s="471" t="s">
        <v>125</v>
      </c>
      <c r="D51" s="517"/>
      <c r="E51" s="517"/>
      <c r="F51" s="517"/>
      <c r="G51" s="517"/>
      <c r="H51" s="333"/>
      <c r="I51" s="333"/>
      <c r="J51" s="517"/>
      <c r="K51" s="517"/>
      <c r="L51" s="517"/>
      <c r="M51" s="517"/>
      <c r="N51" s="337">
        <f>'[5]BCC D1(26)'!V55</f>
        <v>13</v>
      </c>
      <c r="O51" s="335">
        <f>ROUND(N51*0.9776,2)</f>
        <v>12.71</v>
      </c>
      <c r="P51" s="338"/>
      <c r="Q51" s="338"/>
      <c r="R51" s="337"/>
      <c r="S51" s="337"/>
      <c r="T51" s="337"/>
      <c r="U51" s="337"/>
      <c r="V51" s="348"/>
      <c r="W51" s="336"/>
      <c r="X51" s="348"/>
      <c r="Y51" s="348"/>
      <c r="Z51" s="333">
        <f t="shared" si="0"/>
        <v>12.71</v>
      </c>
      <c r="AA51" s="334"/>
      <c r="AB51" s="589"/>
      <c r="AD51" s="516"/>
    </row>
    <row r="52" spans="1:30" s="240" customFormat="1" ht="27" customHeight="1">
      <c r="A52" s="519">
        <f t="shared" si="1"/>
        <v>40</v>
      </c>
      <c r="B52" s="249" t="s">
        <v>126</v>
      </c>
      <c r="C52" s="471" t="s">
        <v>127</v>
      </c>
      <c r="D52" s="517"/>
      <c r="E52" s="517"/>
      <c r="F52" s="517"/>
      <c r="G52" s="517"/>
      <c r="H52" s="333"/>
      <c r="I52" s="333"/>
      <c r="J52" s="517"/>
      <c r="K52" s="517"/>
      <c r="L52" s="336">
        <f>SUM('[5]BCC D1(26)'!V56:V57)</f>
        <v>18.5</v>
      </c>
      <c r="M52" s="338">
        <f>ROUND(L52*1.4889,2)</f>
        <v>27.54</v>
      </c>
      <c r="N52" s="517"/>
      <c r="O52" s="517"/>
      <c r="P52" s="338"/>
      <c r="Q52" s="338"/>
      <c r="R52" s="337"/>
      <c r="S52" s="337"/>
      <c r="T52" s="337"/>
      <c r="U52" s="337"/>
      <c r="V52" s="348"/>
      <c r="W52" s="336"/>
      <c r="X52" s="348"/>
      <c r="Y52" s="348"/>
      <c r="Z52" s="333">
        <f t="shared" si="0"/>
        <v>27.54</v>
      </c>
      <c r="AA52" s="334"/>
      <c r="AB52" s="589"/>
      <c r="AD52" s="516"/>
    </row>
    <row r="53" spans="1:30" s="240" customFormat="1" ht="27" customHeight="1">
      <c r="A53" s="519">
        <f t="shared" si="1"/>
        <v>41</v>
      </c>
      <c r="B53" s="249" t="s">
        <v>128</v>
      </c>
      <c r="C53" s="471" t="s">
        <v>129</v>
      </c>
      <c r="D53" s="517"/>
      <c r="E53" s="517"/>
      <c r="F53" s="517"/>
      <c r="G53" s="517"/>
      <c r="H53" s="333"/>
      <c r="I53" s="333"/>
      <c r="J53" s="517"/>
      <c r="K53" s="517"/>
      <c r="L53" s="336">
        <f>SUM('[5]BCC D1(26)'!V58:V59)</f>
        <v>14</v>
      </c>
      <c r="M53" s="338">
        <f t="shared" ref="M53" si="8">ROUND(L53*1.4779,2)</f>
        <v>20.69</v>
      </c>
      <c r="N53" s="517"/>
      <c r="O53" s="517"/>
      <c r="P53" s="338"/>
      <c r="Q53" s="338"/>
      <c r="R53" s="337"/>
      <c r="S53" s="337"/>
      <c r="T53" s="337"/>
      <c r="U53" s="337"/>
      <c r="V53" s="348"/>
      <c r="W53" s="336"/>
      <c r="X53" s="348"/>
      <c r="Y53" s="348"/>
      <c r="Z53" s="333">
        <f t="shared" si="0"/>
        <v>20.69</v>
      </c>
      <c r="AA53" s="334"/>
      <c r="AB53" s="589"/>
      <c r="AD53" s="516"/>
    </row>
    <row r="54" spans="1:30" s="240" customFormat="1" ht="27" customHeight="1">
      <c r="A54" s="519">
        <f t="shared" si="1"/>
        <v>42</v>
      </c>
      <c r="B54" s="249" t="s">
        <v>188</v>
      </c>
      <c r="C54" s="471" t="s">
        <v>130</v>
      </c>
      <c r="D54" s="517"/>
      <c r="E54" s="517"/>
      <c r="F54" s="517"/>
      <c r="G54" s="517"/>
      <c r="H54" s="333"/>
      <c r="I54" s="333"/>
      <c r="J54" s="517"/>
      <c r="K54" s="517"/>
      <c r="L54" s="517"/>
      <c r="M54" s="517"/>
      <c r="N54" s="517"/>
      <c r="O54" s="517"/>
      <c r="P54" s="336">
        <f>SUM('[5]BCC D1(26)'!V60:V61)</f>
        <v>18.5</v>
      </c>
      <c r="Q54" s="338">
        <f>ROUND(P54*1.4608,2)+0.01</f>
        <v>27.03</v>
      </c>
      <c r="R54" s="337"/>
      <c r="S54" s="337"/>
      <c r="T54" s="337"/>
      <c r="U54" s="337"/>
      <c r="V54" s="348"/>
      <c r="W54" s="336"/>
      <c r="X54" s="348"/>
      <c r="Y54" s="348"/>
      <c r="Z54" s="333">
        <f t="shared" si="0"/>
        <v>27.03</v>
      </c>
      <c r="AA54" s="334"/>
      <c r="AB54" s="589"/>
      <c r="AD54" s="516"/>
    </row>
    <row r="55" spans="1:30" s="240" customFormat="1" ht="27" customHeight="1">
      <c r="A55" s="519">
        <f t="shared" si="1"/>
        <v>43</v>
      </c>
      <c r="B55" s="453" t="s">
        <v>131</v>
      </c>
      <c r="C55" s="565" t="s">
        <v>132</v>
      </c>
      <c r="D55" s="518">
        <f>ROUND(VLOOKUP(B55,'[5]BPHAN CHIA '!$B$136:$T$148,19,0)*1.1,2)</f>
        <v>11.94</v>
      </c>
      <c r="E55" s="518">
        <f t="shared" ref="E55:E73" si="9">ROUND(0.7199*D55,2)</f>
        <v>8.6</v>
      </c>
      <c r="F55" s="520">
        <f>ROUND(1.15*VLOOKUP(B55,'[5]BPHAN CHIA '!$B$222:$T$241,19,0),2)</f>
        <v>12.37</v>
      </c>
      <c r="G55" s="517">
        <f t="shared" ref="G55:G69" si="10">ROUND(F55*1.0956,2)</f>
        <v>13.55</v>
      </c>
      <c r="H55" s="333"/>
      <c r="I55" s="333"/>
      <c r="J55" s="517"/>
      <c r="K55" s="517"/>
      <c r="L55" s="517"/>
      <c r="M55" s="517"/>
      <c r="N55" s="517"/>
      <c r="O55" s="517"/>
      <c r="P55" s="338"/>
      <c r="Q55" s="338"/>
      <c r="R55" s="337"/>
      <c r="S55" s="337"/>
      <c r="T55" s="337"/>
      <c r="U55" s="338">
        <f>ROUND(T55*0.9391,2)</f>
        <v>0</v>
      </c>
      <c r="V55" s="348">
        <f>VLOOKUP(B55,'[5]BCC D1(26)'!$B$98:$V$101,21,0)</f>
        <v>1.5</v>
      </c>
      <c r="W55" s="338">
        <f>ROUND(V55*1.2521,2)</f>
        <v>1.88</v>
      </c>
      <c r="X55" s="348"/>
      <c r="Y55" s="348"/>
      <c r="Z55" s="333">
        <f t="shared" si="0"/>
        <v>24.029999999999998</v>
      </c>
      <c r="AA55" s="334"/>
      <c r="AB55" s="589"/>
      <c r="AD55" s="516"/>
    </row>
    <row r="56" spans="1:30" s="240" customFormat="1" ht="27" customHeight="1">
      <c r="A56" s="519">
        <f t="shared" si="1"/>
        <v>44</v>
      </c>
      <c r="B56" s="453" t="s">
        <v>133</v>
      </c>
      <c r="C56" s="454" t="s">
        <v>134</v>
      </c>
      <c r="D56" s="518"/>
      <c r="E56" s="518"/>
      <c r="F56" s="520">
        <f>ROUND(VLOOKUP(B56,'[5]BPHAN CHIA '!$B$222:$T$241,19,0),2)</f>
        <v>10.76</v>
      </c>
      <c r="G56" s="517">
        <f t="shared" si="10"/>
        <v>11.79</v>
      </c>
      <c r="H56" s="333"/>
      <c r="I56" s="333"/>
      <c r="J56" s="517"/>
      <c r="K56" s="517"/>
      <c r="L56" s="517"/>
      <c r="M56" s="517"/>
      <c r="N56" s="517"/>
      <c r="O56" s="517"/>
      <c r="P56" s="338"/>
      <c r="Q56" s="338"/>
      <c r="R56" s="337"/>
      <c r="S56" s="337"/>
      <c r="T56" s="337"/>
      <c r="U56" s="337"/>
      <c r="V56" s="348"/>
      <c r="W56" s="336"/>
      <c r="X56" s="348"/>
      <c r="Y56" s="348"/>
      <c r="Z56" s="333">
        <f t="shared" si="0"/>
        <v>11.79</v>
      </c>
      <c r="AA56" s="334"/>
      <c r="AB56" s="589"/>
      <c r="AD56" s="516"/>
    </row>
    <row r="57" spans="1:30" s="240" customFormat="1" ht="27" customHeight="1">
      <c r="A57" s="519">
        <f t="shared" si="1"/>
        <v>45</v>
      </c>
      <c r="B57" s="453" t="s">
        <v>137</v>
      </c>
      <c r="C57" s="454" t="s">
        <v>138</v>
      </c>
      <c r="D57" s="518">
        <f>ROUND(VLOOKUP(B57,'[5]BPHAN CHIA '!$B$136:$T$148,19,0),2)</f>
        <v>3.07</v>
      </c>
      <c r="E57" s="518">
        <f t="shared" si="9"/>
        <v>2.21</v>
      </c>
      <c r="F57" s="520">
        <f>ROUND(VLOOKUP(B57,'[5]BPHAN CHIA '!$B$222:$T$241,19,0),2)</f>
        <v>10.76</v>
      </c>
      <c r="G57" s="517">
        <f t="shared" si="10"/>
        <v>11.79</v>
      </c>
      <c r="H57" s="333"/>
      <c r="I57" s="333"/>
      <c r="J57" s="517"/>
      <c r="K57" s="517"/>
      <c r="L57" s="517"/>
      <c r="M57" s="517"/>
      <c r="N57" s="517"/>
      <c r="O57" s="517"/>
      <c r="P57" s="338"/>
      <c r="Q57" s="338"/>
      <c r="R57" s="337"/>
      <c r="S57" s="337"/>
      <c r="T57" s="337"/>
      <c r="U57" s="337"/>
      <c r="V57" s="348"/>
      <c r="W57" s="336"/>
      <c r="X57" s="348"/>
      <c r="Y57" s="348"/>
      <c r="Z57" s="333">
        <f t="shared" si="0"/>
        <v>14</v>
      </c>
      <c r="AA57" s="334"/>
      <c r="AB57" s="589"/>
      <c r="AD57" s="516"/>
    </row>
    <row r="58" spans="1:30" s="240" customFormat="1" ht="27" customHeight="1">
      <c r="A58" s="519">
        <f t="shared" si="1"/>
        <v>46</v>
      </c>
      <c r="B58" s="453" t="s">
        <v>139</v>
      </c>
      <c r="C58" s="454" t="s">
        <v>140</v>
      </c>
      <c r="D58" s="518"/>
      <c r="E58" s="518"/>
      <c r="F58" s="520">
        <f>ROUND(VLOOKUP(B58,'[5]BPHAN CHIA '!$B$222:$T$241,19,0),2)-0.01</f>
        <v>8.86</v>
      </c>
      <c r="G58" s="517">
        <f t="shared" si="10"/>
        <v>9.7100000000000009</v>
      </c>
      <c r="H58" s="333"/>
      <c r="I58" s="333"/>
      <c r="J58" s="517"/>
      <c r="K58" s="517"/>
      <c r="L58" s="517"/>
      <c r="M58" s="517"/>
      <c r="N58" s="517"/>
      <c r="O58" s="517"/>
      <c r="P58" s="338"/>
      <c r="Q58" s="338"/>
      <c r="R58" s="337"/>
      <c r="S58" s="337"/>
      <c r="T58" s="337"/>
      <c r="U58" s="337"/>
      <c r="V58" s="348"/>
      <c r="W58" s="336"/>
      <c r="X58" s="341"/>
      <c r="Y58" s="341"/>
      <c r="Z58" s="333">
        <f t="shared" si="0"/>
        <v>9.7100000000000009</v>
      </c>
      <c r="AA58" s="334"/>
      <c r="AB58" s="589"/>
      <c r="AD58" s="516"/>
    </row>
    <row r="59" spans="1:30" s="240" customFormat="1" ht="27" customHeight="1">
      <c r="A59" s="519">
        <f t="shared" si="1"/>
        <v>47</v>
      </c>
      <c r="B59" s="453" t="s">
        <v>141</v>
      </c>
      <c r="C59" s="454" t="s">
        <v>142</v>
      </c>
      <c r="D59" s="518">
        <f>ROUND(VLOOKUP(B59,'[5]BPHAN CHIA '!$B$136:$T$148,19,0),2)</f>
        <v>6.82</v>
      </c>
      <c r="E59" s="518">
        <f t="shared" si="9"/>
        <v>4.91</v>
      </c>
      <c r="F59" s="520">
        <f>ROUND(VLOOKUP(B59,'[5]BPHAN CHIA '!$B$222:$T$241,19,0),2)</f>
        <v>10.76</v>
      </c>
      <c r="G59" s="517">
        <f t="shared" si="10"/>
        <v>11.79</v>
      </c>
      <c r="H59" s="333"/>
      <c r="I59" s="333"/>
      <c r="J59" s="517"/>
      <c r="K59" s="517"/>
      <c r="L59" s="517"/>
      <c r="M59" s="517"/>
      <c r="N59" s="517"/>
      <c r="O59" s="517"/>
      <c r="P59" s="338"/>
      <c r="Q59" s="338"/>
      <c r="R59" s="337"/>
      <c r="S59" s="337"/>
      <c r="T59" s="337"/>
      <c r="U59" s="337"/>
      <c r="V59" s="348"/>
      <c r="W59" s="336"/>
      <c r="X59" s="348"/>
      <c r="Y59" s="348"/>
      <c r="Z59" s="333">
        <f t="shared" si="0"/>
        <v>16.7</v>
      </c>
      <c r="AA59" s="334"/>
      <c r="AB59" s="589"/>
      <c r="AD59" s="516"/>
    </row>
    <row r="60" spans="1:30" s="240" customFormat="1" ht="27" customHeight="1">
      <c r="A60" s="519">
        <f t="shared" si="1"/>
        <v>48</v>
      </c>
      <c r="B60" s="453" t="s">
        <v>143</v>
      </c>
      <c r="C60" s="454" t="s">
        <v>144</v>
      </c>
      <c r="D60" s="518">
        <f>ROUND(VLOOKUP(B60,'[5]BPHAN CHIA '!$B$136:$T$148,19,0),2)</f>
        <v>10.86</v>
      </c>
      <c r="E60" s="518">
        <f t="shared" si="9"/>
        <v>7.82</v>
      </c>
      <c r="F60" s="520">
        <f>ROUND(VLOOKUP(B60,'[5]BPHAN CHIA '!$B$222:$T$241,19,0),2)</f>
        <v>10.76</v>
      </c>
      <c r="G60" s="517">
        <f t="shared" si="10"/>
        <v>11.79</v>
      </c>
      <c r="H60" s="333"/>
      <c r="I60" s="333"/>
      <c r="J60" s="517"/>
      <c r="K60" s="517"/>
      <c r="L60" s="517"/>
      <c r="M60" s="517"/>
      <c r="N60" s="517"/>
      <c r="O60" s="517"/>
      <c r="P60" s="338"/>
      <c r="Q60" s="338"/>
      <c r="R60" s="337"/>
      <c r="S60" s="337"/>
      <c r="T60" s="337"/>
      <c r="U60" s="338">
        <f>ROUND(T60*0.9391,2)</f>
        <v>0</v>
      </c>
      <c r="V60" s="348"/>
      <c r="W60" s="336"/>
      <c r="X60" s="341"/>
      <c r="Y60" s="348"/>
      <c r="Z60" s="333">
        <f t="shared" si="0"/>
        <v>19.61</v>
      </c>
      <c r="AA60" s="334"/>
      <c r="AB60" s="589"/>
      <c r="AD60" s="516"/>
    </row>
    <row r="61" spans="1:30" s="240" customFormat="1" ht="27" customHeight="1">
      <c r="A61" s="519">
        <f t="shared" si="1"/>
        <v>49</v>
      </c>
      <c r="B61" s="453" t="s">
        <v>145</v>
      </c>
      <c r="C61" s="454" t="s">
        <v>146</v>
      </c>
      <c r="D61" s="518">
        <f>ROUND(VLOOKUP(B61,'[5]BPHAN CHIA '!$B$136:$T$148,19,0),2)</f>
        <v>6.82</v>
      </c>
      <c r="E61" s="518">
        <f t="shared" si="9"/>
        <v>4.91</v>
      </c>
      <c r="F61" s="520">
        <f>ROUND(VLOOKUP(B61,'[5]BPHAN CHIA '!$B$222:$T$241,19,0),2)</f>
        <v>10.76</v>
      </c>
      <c r="G61" s="517">
        <f t="shared" si="10"/>
        <v>11.79</v>
      </c>
      <c r="H61" s="333"/>
      <c r="I61" s="333"/>
      <c r="J61" s="517"/>
      <c r="K61" s="517"/>
      <c r="L61" s="517"/>
      <c r="M61" s="517"/>
      <c r="N61" s="517"/>
      <c r="O61" s="517"/>
      <c r="P61" s="338"/>
      <c r="Q61" s="338"/>
      <c r="R61" s="337"/>
      <c r="S61" s="337"/>
      <c r="T61" s="337"/>
      <c r="U61" s="338"/>
      <c r="V61" s="348"/>
      <c r="W61" s="336"/>
      <c r="X61" s="348"/>
      <c r="Y61" s="348"/>
      <c r="Z61" s="333">
        <f t="shared" si="0"/>
        <v>16.7</v>
      </c>
      <c r="AA61" s="334"/>
      <c r="AB61" s="589"/>
      <c r="AD61" s="516"/>
    </row>
    <row r="62" spans="1:30" s="240" customFormat="1" ht="27" customHeight="1">
      <c r="A62" s="519">
        <f t="shared" si="1"/>
        <v>50</v>
      </c>
      <c r="B62" s="456" t="s">
        <v>147</v>
      </c>
      <c r="C62" s="566" t="s">
        <v>148</v>
      </c>
      <c r="D62" s="518">
        <f>ROUND(VLOOKUP(B62,'[5]BPHAN CHIA '!$B$136:$T$148,19,0),2)</f>
        <v>10.86</v>
      </c>
      <c r="E62" s="518">
        <f t="shared" si="9"/>
        <v>7.82</v>
      </c>
      <c r="F62" s="520">
        <f>ROUND(VLOOKUP(B62,'[5]BPHAN CHIA '!$B$222:$T$241,19,0),2)</f>
        <v>10.76</v>
      </c>
      <c r="G62" s="517">
        <f t="shared" si="10"/>
        <v>11.79</v>
      </c>
      <c r="H62" s="333"/>
      <c r="I62" s="333"/>
      <c r="J62" s="517"/>
      <c r="K62" s="517"/>
      <c r="L62" s="517"/>
      <c r="M62" s="517"/>
      <c r="N62" s="517"/>
      <c r="O62" s="517"/>
      <c r="P62" s="338"/>
      <c r="Q62" s="338"/>
      <c r="R62" s="337"/>
      <c r="S62" s="337"/>
      <c r="T62" s="337"/>
      <c r="U62" s="338">
        <f>ROUND(T62*0.9391,2)</f>
        <v>0</v>
      </c>
      <c r="V62" s="348">
        <f>VLOOKUP(B62,'[5]BCC D1(26)'!$B$98:$V$101,21,0)</f>
        <v>1.5</v>
      </c>
      <c r="W62" s="338">
        <f>ROUND(V62*1.2521,2)</f>
        <v>1.88</v>
      </c>
      <c r="X62" s="341"/>
      <c r="Y62" s="348"/>
      <c r="Z62" s="333">
        <f t="shared" si="0"/>
        <v>21.49</v>
      </c>
      <c r="AA62" s="334"/>
      <c r="AB62" s="589"/>
      <c r="AD62" s="516"/>
    </row>
    <row r="63" spans="1:30" s="240" customFormat="1" ht="27" customHeight="1">
      <c r="A63" s="519">
        <f t="shared" si="1"/>
        <v>51</v>
      </c>
      <c r="B63" s="453" t="s">
        <v>149</v>
      </c>
      <c r="C63" s="454" t="s">
        <v>150</v>
      </c>
      <c r="D63" s="518">
        <f>ROUND(VLOOKUP(B63,'[5]BPHAN CHIA '!$B$136:$T$148,19,0),2)</f>
        <v>4.04</v>
      </c>
      <c r="E63" s="518">
        <f t="shared" si="9"/>
        <v>2.91</v>
      </c>
      <c r="F63" s="520">
        <f>ROUND(VLOOKUP(B63,'[5]BPHAN CHIA '!$B$222:$T$241,19,0),2)</f>
        <v>10.76</v>
      </c>
      <c r="G63" s="517">
        <f t="shared" si="10"/>
        <v>11.79</v>
      </c>
      <c r="H63" s="333"/>
      <c r="I63" s="333"/>
      <c r="J63" s="517"/>
      <c r="K63" s="517"/>
      <c r="L63" s="517"/>
      <c r="M63" s="517"/>
      <c r="N63" s="517"/>
      <c r="O63" s="517"/>
      <c r="P63" s="338"/>
      <c r="Q63" s="338"/>
      <c r="R63" s="337"/>
      <c r="S63" s="337"/>
      <c r="T63" s="337"/>
      <c r="U63" s="338">
        <f>ROUND(T63*0.9391,2)</f>
        <v>0</v>
      </c>
      <c r="V63" s="348"/>
      <c r="W63" s="336"/>
      <c r="X63" s="348"/>
      <c r="Y63" s="348"/>
      <c r="Z63" s="333">
        <f t="shared" si="0"/>
        <v>14.7</v>
      </c>
      <c r="AA63" s="334"/>
      <c r="AB63" s="589"/>
      <c r="AD63" s="516"/>
    </row>
    <row r="64" spans="1:30" s="240" customFormat="1" ht="27" customHeight="1">
      <c r="A64" s="519">
        <f t="shared" si="1"/>
        <v>52</v>
      </c>
      <c r="B64" s="457" t="s">
        <v>151</v>
      </c>
      <c r="C64" s="458" t="s">
        <v>152</v>
      </c>
      <c r="D64" s="518"/>
      <c r="E64" s="518"/>
      <c r="F64" s="520">
        <f>ROUND(VLOOKUP(B64,'[5]BPHAN CHIA '!$B$222:$T$241,19,0),2)</f>
        <v>10.76</v>
      </c>
      <c r="G64" s="517">
        <f t="shared" si="10"/>
        <v>11.79</v>
      </c>
      <c r="H64" s="333"/>
      <c r="I64" s="333"/>
      <c r="J64" s="517"/>
      <c r="K64" s="517"/>
      <c r="L64" s="517"/>
      <c r="M64" s="517"/>
      <c r="N64" s="517"/>
      <c r="O64" s="517"/>
      <c r="P64" s="338"/>
      <c r="Q64" s="338"/>
      <c r="R64" s="337"/>
      <c r="S64" s="337"/>
      <c r="T64" s="337"/>
      <c r="U64" s="338"/>
      <c r="V64" s="348"/>
      <c r="W64" s="336"/>
      <c r="X64" s="348"/>
      <c r="Y64" s="348"/>
      <c r="Z64" s="333">
        <f t="shared" si="0"/>
        <v>11.79</v>
      </c>
      <c r="AA64" s="334"/>
      <c r="AB64" s="589"/>
      <c r="AD64" s="516"/>
    </row>
    <row r="65" spans="1:30" s="240" customFormat="1" ht="27" customHeight="1">
      <c r="A65" s="519">
        <f t="shared" si="1"/>
        <v>53</v>
      </c>
      <c r="B65" s="457" t="s">
        <v>153</v>
      </c>
      <c r="C65" s="458" t="s">
        <v>154</v>
      </c>
      <c r="D65" s="518">
        <f>ROUND(VLOOKUP(B65,'[5]BPHAN CHIA '!$B$136:$T$148,19,0),2)</f>
        <v>4.04</v>
      </c>
      <c r="E65" s="518">
        <f t="shared" si="9"/>
        <v>2.91</v>
      </c>
      <c r="F65" s="520">
        <f>ROUND(VLOOKUP(B65,'[5]BPHAN CHIA '!$B$222:$T$241,19,0),2)</f>
        <v>10.76</v>
      </c>
      <c r="G65" s="517">
        <f t="shared" si="10"/>
        <v>11.79</v>
      </c>
      <c r="H65" s="333"/>
      <c r="I65" s="333"/>
      <c r="J65" s="517"/>
      <c r="K65" s="517"/>
      <c r="L65" s="517"/>
      <c r="M65" s="517"/>
      <c r="N65" s="517"/>
      <c r="O65" s="517"/>
      <c r="P65" s="338"/>
      <c r="Q65" s="338"/>
      <c r="R65" s="337"/>
      <c r="S65" s="337"/>
      <c r="T65" s="337"/>
      <c r="U65" s="336"/>
      <c r="V65" s="348"/>
      <c r="W65" s="336"/>
      <c r="X65" s="348"/>
      <c r="Y65" s="348"/>
      <c r="Z65" s="333">
        <f t="shared" si="0"/>
        <v>14.7</v>
      </c>
      <c r="AA65" s="334"/>
      <c r="AB65" s="589"/>
      <c r="AD65" s="516"/>
    </row>
    <row r="66" spans="1:30" s="240" customFormat="1" ht="27" customHeight="1">
      <c r="A66" s="519">
        <f t="shared" si="1"/>
        <v>54</v>
      </c>
      <c r="B66" s="457" t="s">
        <v>155</v>
      </c>
      <c r="C66" s="458" t="s">
        <v>156</v>
      </c>
      <c r="D66" s="518">
        <f>ROUND(VLOOKUP(B66,'[5]BPHAN CHIA '!$B$136:$T$148,19,0),2)</f>
        <v>4.04</v>
      </c>
      <c r="E66" s="518">
        <f t="shared" si="9"/>
        <v>2.91</v>
      </c>
      <c r="F66" s="520">
        <f>ROUND(VLOOKUP(B66,'[5]BPHAN CHIA '!$B$222:$T$241,19,0),2)</f>
        <v>10.76</v>
      </c>
      <c r="G66" s="517">
        <f t="shared" si="10"/>
        <v>11.79</v>
      </c>
      <c r="H66" s="333"/>
      <c r="I66" s="333"/>
      <c r="J66" s="517"/>
      <c r="K66" s="517"/>
      <c r="L66" s="517"/>
      <c r="M66" s="517"/>
      <c r="N66" s="517"/>
      <c r="O66" s="517"/>
      <c r="P66" s="338"/>
      <c r="Q66" s="338"/>
      <c r="R66" s="337"/>
      <c r="S66" s="337"/>
      <c r="T66" s="337"/>
      <c r="U66" s="337"/>
      <c r="V66" s="348"/>
      <c r="W66" s="336"/>
      <c r="X66" s="341"/>
      <c r="Y66" s="348"/>
      <c r="Z66" s="333">
        <f t="shared" si="0"/>
        <v>14.7</v>
      </c>
      <c r="AA66" s="334"/>
      <c r="AB66" s="589"/>
      <c r="AD66" s="516"/>
    </row>
    <row r="67" spans="1:30" s="240" customFormat="1" ht="27" customHeight="1">
      <c r="A67" s="519">
        <f t="shared" si="1"/>
        <v>55</v>
      </c>
      <c r="B67" s="457" t="s">
        <v>157</v>
      </c>
      <c r="C67" s="458" t="s">
        <v>158</v>
      </c>
      <c r="D67" s="518">
        <f>ROUND(VLOOKUP(B67,'[5]BPHAN CHIA '!$B$136:$T$148,19,0),2)</f>
        <v>6.82</v>
      </c>
      <c r="E67" s="518">
        <f t="shared" si="9"/>
        <v>4.91</v>
      </c>
      <c r="F67" s="520">
        <f>ROUND(VLOOKUP(B67,'[5]BPHAN CHIA '!$B$222:$T$241,19,0),2)</f>
        <v>10.76</v>
      </c>
      <c r="G67" s="517">
        <f t="shared" si="10"/>
        <v>11.79</v>
      </c>
      <c r="H67" s="333"/>
      <c r="I67" s="333"/>
      <c r="J67" s="517"/>
      <c r="K67" s="517"/>
      <c r="L67" s="517"/>
      <c r="M67" s="517"/>
      <c r="N67" s="517"/>
      <c r="O67" s="517"/>
      <c r="P67" s="338"/>
      <c r="Q67" s="338"/>
      <c r="R67" s="337"/>
      <c r="S67" s="337"/>
      <c r="T67" s="337"/>
      <c r="U67" s="336"/>
      <c r="V67" s="348"/>
      <c r="W67" s="336"/>
      <c r="X67" s="348"/>
      <c r="Y67" s="348"/>
      <c r="Z67" s="333">
        <f t="shared" si="0"/>
        <v>16.7</v>
      </c>
      <c r="AA67" s="334"/>
      <c r="AB67" s="589"/>
      <c r="AD67" s="516"/>
    </row>
    <row r="68" spans="1:30" s="240" customFormat="1" ht="27" customHeight="1">
      <c r="A68" s="519">
        <f t="shared" si="1"/>
        <v>56</v>
      </c>
      <c r="B68" s="457" t="s">
        <v>221</v>
      </c>
      <c r="C68" s="458" t="s">
        <v>222</v>
      </c>
      <c r="D68" s="518"/>
      <c r="E68" s="518"/>
      <c r="F68" s="520">
        <f>ROUND(VLOOKUP(B68,'[5]BPHAN CHIA '!$B$222:$T$241,19,0),2)</f>
        <v>10.76</v>
      </c>
      <c r="G68" s="517">
        <f t="shared" si="10"/>
        <v>11.79</v>
      </c>
      <c r="H68" s="333"/>
      <c r="I68" s="333"/>
      <c r="J68" s="517"/>
      <c r="K68" s="517"/>
      <c r="L68" s="517"/>
      <c r="M68" s="517"/>
      <c r="N68" s="517"/>
      <c r="O68" s="517"/>
      <c r="P68" s="338"/>
      <c r="Q68" s="338"/>
      <c r="R68" s="337"/>
      <c r="S68" s="337"/>
      <c r="T68" s="337"/>
      <c r="U68" s="337"/>
      <c r="V68" s="348"/>
      <c r="W68" s="336"/>
      <c r="X68" s="348"/>
      <c r="Y68" s="348"/>
      <c r="Z68" s="333">
        <f t="shared" si="0"/>
        <v>11.79</v>
      </c>
      <c r="AA68" s="334"/>
      <c r="AB68" s="589"/>
      <c r="AD68" s="516"/>
    </row>
    <row r="69" spans="1:30" s="240" customFormat="1" ht="27" customHeight="1">
      <c r="A69" s="519">
        <f t="shared" si="1"/>
        <v>57</v>
      </c>
      <c r="B69" s="457" t="s">
        <v>265</v>
      </c>
      <c r="C69" s="458" t="s">
        <v>266</v>
      </c>
      <c r="D69" s="518"/>
      <c r="E69" s="518"/>
      <c r="F69" s="520">
        <f>ROUND(VLOOKUP(B69,'[5]BPHAN CHIA '!$B$222:$T$241,19,0),2)</f>
        <v>10.76</v>
      </c>
      <c r="G69" s="517">
        <f t="shared" si="10"/>
        <v>11.79</v>
      </c>
      <c r="H69" s="333"/>
      <c r="I69" s="333"/>
      <c r="J69" s="517"/>
      <c r="K69" s="517"/>
      <c r="L69" s="517"/>
      <c r="M69" s="517"/>
      <c r="N69" s="517"/>
      <c r="O69" s="517"/>
      <c r="P69" s="338"/>
      <c r="Q69" s="338"/>
      <c r="R69" s="337"/>
      <c r="S69" s="337"/>
      <c r="T69" s="337"/>
      <c r="U69" s="338">
        <f>ROUND(T69*0.9391,2)</f>
        <v>0</v>
      </c>
      <c r="V69" s="348"/>
      <c r="W69" s="336"/>
      <c r="X69" s="348"/>
      <c r="Y69" s="348"/>
      <c r="Z69" s="333">
        <f t="shared" si="0"/>
        <v>11.79</v>
      </c>
      <c r="AA69" s="334"/>
      <c r="AB69" s="589"/>
      <c r="AD69" s="516"/>
    </row>
    <row r="70" spans="1:30" s="240" customFormat="1" ht="27" customHeight="1">
      <c r="A70" s="519">
        <f t="shared" si="1"/>
        <v>58</v>
      </c>
      <c r="B70" s="457" t="s">
        <v>282</v>
      </c>
      <c r="C70" s="567" t="s">
        <v>283</v>
      </c>
      <c r="D70" s="518">
        <f>ROUND(VLOOKUP(B70,'[5]BPHAN CHIA '!$B$136:$T$148,19,0),2)</f>
        <v>6.82</v>
      </c>
      <c r="E70" s="518">
        <f t="shared" si="9"/>
        <v>4.91</v>
      </c>
      <c r="F70" s="520">
        <f>ROUND(VLOOKUP(B70,'[5]BPHAN CHIA '!$B$222:$T$241,19,0),2)</f>
        <v>10.76</v>
      </c>
      <c r="G70" s="517">
        <f>ROUND(F70*1.0956,2)-0.01</f>
        <v>11.78</v>
      </c>
      <c r="H70" s="333"/>
      <c r="I70" s="333"/>
      <c r="J70" s="517"/>
      <c r="K70" s="517"/>
      <c r="L70" s="517"/>
      <c r="M70" s="517"/>
      <c r="N70" s="517"/>
      <c r="O70" s="517"/>
      <c r="P70" s="338"/>
      <c r="Q70" s="338"/>
      <c r="R70" s="337"/>
      <c r="S70" s="337"/>
      <c r="T70" s="337"/>
      <c r="U70" s="336"/>
      <c r="V70" s="348">
        <f>VLOOKUP(B70,'[5]BCC D1(26)'!$B$98:$V$101,21,0)</f>
        <v>1.5</v>
      </c>
      <c r="W70" s="338">
        <f>ROUND(V70*1.2521,2)</f>
        <v>1.88</v>
      </c>
      <c r="X70" s="348"/>
      <c r="Y70" s="348"/>
      <c r="Z70" s="333">
        <f t="shared" si="0"/>
        <v>18.569999999999997</v>
      </c>
      <c r="AA70" s="334"/>
      <c r="AB70" s="589"/>
      <c r="AD70" s="516"/>
    </row>
    <row r="71" spans="1:30" s="240" customFormat="1" ht="27" customHeight="1">
      <c r="A71" s="519">
        <f t="shared" si="1"/>
        <v>59</v>
      </c>
      <c r="B71" s="457" t="s">
        <v>284</v>
      </c>
      <c r="C71" s="459" t="s">
        <v>285</v>
      </c>
      <c r="D71" s="518">
        <f>ROUND(VLOOKUP(B71,'[5]BPHAN CHIA '!$B$136:$T$148,19,0),2)</f>
        <v>10.86</v>
      </c>
      <c r="E71" s="518">
        <f t="shared" si="9"/>
        <v>7.82</v>
      </c>
      <c r="F71" s="520">
        <f>ROUND(VLOOKUP(B71,'[5]BPHAN CHIA '!$B$222:$T$241,19,0),2)-0.01</f>
        <v>8.8800000000000008</v>
      </c>
      <c r="G71" s="517">
        <f>ROUND(F71*1.0956,2)</f>
        <v>9.73</v>
      </c>
      <c r="H71" s="333"/>
      <c r="I71" s="333"/>
      <c r="J71" s="517"/>
      <c r="K71" s="517"/>
      <c r="L71" s="517"/>
      <c r="M71" s="517"/>
      <c r="N71" s="517"/>
      <c r="O71" s="517"/>
      <c r="P71" s="338"/>
      <c r="Q71" s="338"/>
      <c r="R71" s="337"/>
      <c r="S71" s="337"/>
      <c r="T71" s="337"/>
      <c r="U71" s="337"/>
      <c r="V71" s="348"/>
      <c r="W71" s="336"/>
      <c r="X71" s="348"/>
      <c r="Y71" s="348"/>
      <c r="Z71" s="333">
        <f t="shared" si="0"/>
        <v>17.55</v>
      </c>
      <c r="AA71" s="334"/>
      <c r="AB71" s="589"/>
      <c r="AD71" s="516"/>
    </row>
    <row r="72" spans="1:30" s="240" customFormat="1" ht="27" customHeight="1">
      <c r="A72" s="519">
        <f t="shared" si="1"/>
        <v>60</v>
      </c>
      <c r="B72" s="457" t="s">
        <v>286</v>
      </c>
      <c r="C72" s="459" t="s">
        <v>287</v>
      </c>
      <c r="D72" s="518"/>
      <c r="E72" s="518"/>
      <c r="F72" s="520">
        <f>ROUND(VLOOKUP(B72,'[5]BPHAN CHIA '!$B$222:$T$241,19,0),2)-0.01</f>
        <v>8.8800000000000008</v>
      </c>
      <c r="G72" s="517">
        <f>ROUND(F72*1.0956,2)-0.01</f>
        <v>9.7200000000000006</v>
      </c>
      <c r="H72" s="333"/>
      <c r="I72" s="333"/>
      <c r="J72" s="517"/>
      <c r="K72" s="517"/>
      <c r="L72" s="517"/>
      <c r="M72" s="517"/>
      <c r="N72" s="517"/>
      <c r="O72" s="517"/>
      <c r="P72" s="338"/>
      <c r="Q72" s="338"/>
      <c r="R72" s="337"/>
      <c r="S72" s="337"/>
      <c r="T72" s="337"/>
      <c r="U72" s="337"/>
      <c r="V72" s="348"/>
      <c r="W72" s="336"/>
      <c r="X72" s="348"/>
      <c r="Y72" s="348"/>
      <c r="Z72" s="333">
        <f t="shared" si="0"/>
        <v>9.7200000000000006</v>
      </c>
      <c r="AA72" s="334"/>
      <c r="AB72" s="589"/>
      <c r="AD72" s="516"/>
    </row>
    <row r="73" spans="1:30" s="240" customFormat="1" ht="23.1" customHeight="1">
      <c r="A73" s="519">
        <f t="shared" si="1"/>
        <v>61</v>
      </c>
      <c r="B73" s="457" t="s">
        <v>324</v>
      </c>
      <c r="C73" s="567" t="s">
        <v>325</v>
      </c>
      <c r="D73" s="518">
        <f>ROUND(VLOOKUP(B73,'[5]BPHAN CHIA '!$B$136:$T$148,19,0),2)</f>
        <v>4.03</v>
      </c>
      <c r="E73" s="518">
        <f t="shared" si="9"/>
        <v>2.9</v>
      </c>
      <c r="F73" s="520">
        <f>ROUND(VLOOKUP(B73,'[5]BPHAN CHIA '!$B$222:$T$241,19,0),2)-0.01</f>
        <v>8.86</v>
      </c>
      <c r="G73" s="517">
        <f>ROUND(F73*1.0956,2)+0.01</f>
        <v>9.7200000000000006</v>
      </c>
      <c r="H73" s="333"/>
      <c r="I73" s="333"/>
      <c r="J73" s="517"/>
      <c r="K73" s="517"/>
      <c r="L73" s="517"/>
      <c r="M73" s="517"/>
      <c r="N73" s="517"/>
      <c r="O73" s="517"/>
      <c r="P73" s="338"/>
      <c r="Q73" s="338"/>
      <c r="R73" s="337"/>
      <c r="S73" s="337"/>
      <c r="T73" s="337"/>
      <c r="U73" s="338">
        <f>ROUND(T73*0.9391,2)</f>
        <v>0</v>
      </c>
      <c r="V73" s="348">
        <f>VLOOKUP(B73,'[5]BCC D1(26)'!$B$98:$V$101,21,0)</f>
        <v>1.5</v>
      </c>
      <c r="W73" s="338">
        <f>ROUND(V73*1.2521,2)</f>
        <v>1.88</v>
      </c>
      <c r="X73" s="341"/>
      <c r="Y73" s="348"/>
      <c r="Z73" s="333">
        <f t="shared" si="0"/>
        <v>14.5</v>
      </c>
      <c r="AA73" s="334"/>
      <c r="AB73" s="589"/>
      <c r="AD73" s="516"/>
    </row>
    <row r="74" spans="1:30" s="240" customFormat="1" ht="23.1" customHeight="1">
      <c r="A74" s="519">
        <f t="shared" si="1"/>
        <v>62</v>
      </c>
      <c r="B74" s="457" t="s">
        <v>339</v>
      </c>
      <c r="C74" s="459" t="s">
        <v>340</v>
      </c>
      <c r="D74" s="518"/>
      <c r="E74" s="518"/>
      <c r="F74" s="520">
        <f>ROUND(VLOOKUP(B74,'[5]BPHAN CHIA '!$B$222:$T$241,19,0),2)</f>
        <v>7.2</v>
      </c>
      <c r="G74" s="517">
        <f>ROUND(F74*1.0956,2)+0.01</f>
        <v>7.8999999999999995</v>
      </c>
      <c r="H74" s="333"/>
      <c r="I74" s="333"/>
      <c r="J74" s="517"/>
      <c r="K74" s="517"/>
      <c r="L74" s="517"/>
      <c r="M74" s="517"/>
      <c r="N74" s="517"/>
      <c r="O74" s="517"/>
      <c r="P74" s="338"/>
      <c r="Q74" s="338"/>
      <c r="R74" s="337"/>
      <c r="S74" s="337"/>
      <c r="T74" s="337"/>
      <c r="U74" s="337"/>
      <c r="V74" s="348"/>
      <c r="W74" s="336"/>
      <c r="X74" s="348"/>
      <c r="Y74" s="348"/>
      <c r="Z74" s="333">
        <f t="shared" si="0"/>
        <v>7.8999999999999995</v>
      </c>
      <c r="AA74" s="334"/>
      <c r="AB74" s="589"/>
      <c r="AD74" s="516"/>
    </row>
    <row r="75" spans="1:30" s="240" customFormat="1" ht="23.1" customHeight="1">
      <c r="A75" s="519">
        <f t="shared" si="1"/>
        <v>63</v>
      </c>
      <c r="B75" s="249" t="s">
        <v>159</v>
      </c>
      <c r="C75" s="472" t="s">
        <v>160</v>
      </c>
      <c r="D75" s="518">
        <f>ROUND(VLOOKUP(B75,'[5]BPHAN CHIA '!$B$64:$T$72,19,0)*1.1,2)</f>
        <v>48.43</v>
      </c>
      <c r="E75" s="518">
        <f t="shared" ref="E75:E83" si="11">ROUND(0.7199*D75,2)</f>
        <v>34.86</v>
      </c>
      <c r="F75" s="520"/>
      <c r="G75" s="517"/>
      <c r="H75" s="333"/>
      <c r="I75" s="333"/>
      <c r="J75" s="517"/>
      <c r="K75" s="517"/>
      <c r="L75" s="517"/>
      <c r="M75" s="517"/>
      <c r="N75" s="517"/>
      <c r="O75" s="517"/>
      <c r="P75" s="338"/>
      <c r="Q75" s="338"/>
      <c r="R75" s="337"/>
      <c r="S75" s="337"/>
      <c r="T75" s="337"/>
      <c r="U75" s="337"/>
      <c r="V75" s="348"/>
      <c r="W75" s="336"/>
      <c r="X75" s="348"/>
      <c r="Y75" s="348"/>
      <c r="Z75" s="333">
        <f t="shared" si="0"/>
        <v>34.86</v>
      </c>
      <c r="AA75" s="334"/>
      <c r="AB75" s="589"/>
      <c r="AD75" s="516"/>
    </row>
    <row r="76" spans="1:30" s="240" customFormat="1" ht="24" customHeight="1">
      <c r="A76" s="519">
        <f t="shared" si="1"/>
        <v>64</v>
      </c>
      <c r="B76" s="249" t="s">
        <v>161</v>
      </c>
      <c r="C76" s="469" t="s">
        <v>162</v>
      </c>
      <c r="D76" s="518">
        <f>ROUND(VLOOKUP(B76,'[5]BPHAN CHIA '!$B$64:$T$72,19,0),2)</f>
        <v>44.03</v>
      </c>
      <c r="E76" s="518">
        <f t="shared" si="11"/>
        <v>31.7</v>
      </c>
      <c r="F76" s="520"/>
      <c r="G76" s="517"/>
      <c r="H76" s="333"/>
      <c r="I76" s="333"/>
      <c r="J76" s="517"/>
      <c r="K76" s="517"/>
      <c r="L76" s="517"/>
      <c r="M76" s="517"/>
      <c r="N76" s="517"/>
      <c r="O76" s="517"/>
      <c r="P76" s="338"/>
      <c r="Q76" s="338"/>
      <c r="R76" s="337"/>
      <c r="S76" s="337"/>
      <c r="T76" s="337"/>
      <c r="U76" s="337"/>
      <c r="V76" s="348"/>
      <c r="W76" s="336"/>
      <c r="X76" s="348"/>
      <c r="Y76" s="348"/>
      <c r="Z76" s="333">
        <f t="shared" si="0"/>
        <v>31.7</v>
      </c>
      <c r="AA76" s="334"/>
      <c r="AB76" s="589"/>
      <c r="AD76" s="516"/>
    </row>
    <row r="77" spans="1:30" s="240" customFormat="1" ht="24" customHeight="1">
      <c r="A77" s="519">
        <f t="shared" si="1"/>
        <v>65</v>
      </c>
      <c r="B77" s="474" t="s">
        <v>163</v>
      </c>
      <c r="C77" s="472" t="s">
        <v>164</v>
      </c>
      <c r="D77" s="518">
        <f>ROUND(VLOOKUP(B77,'[5]BPHAN CHIA '!$B$64:$T$72,19,0),2)</f>
        <v>44.03</v>
      </c>
      <c r="E77" s="518">
        <f t="shared" si="11"/>
        <v>31.7</v>
      </c>
      <c r="F77" s="520"/>
      <c r="G77" s="517"/>
      <c r="H77" s="333"/>
      <c r="I77" s="333"/>
      <c r="J77" s="517"/>
      <c r="K77" s="517"/>
      <c r="L77" s="517"/>
      <c r="M77" s="517"/>
      <c r="N77" s="517"/>
      <c r="O77" s="517"/>
      <c r="P77" s="338"/>
      <c r="Q77" s="338"/>
      <c r="R77" s="337"/>
      <c r="S77" s="337"/>
      <c r="T77" s="337"/>
      <c r="U77" s="337"/>
      <c r="V77" s="348"/>
      <c r="W77" s="336"/>
      <c r="X77" s="341"/>
      <c r="Y77" s="341"/>
      <c r="Z77" s="333">
        <f t="shared" ref="Z77:Z83" si="12">SUM(G77,E77,S77,Q77,O77,M77,K77,I77,U77,W77,Y77)</f>
        <v>31.7</v>
      </c>
      <c r="AA77" s="334"/>
      <c r="AB77" s="589"/>
      <c r="AD77" s="516"/>
    </row>
    <row r="78" spans="1:30" s="240" customFormat="1" ht="24" customHeight="1">
      <c r="A78" s="519">
        <f t="shared" ref="A78:A83" si="13">+A77+1</f>
        <v>66</v>
      </c>
      <c r="B78" s="474" t="s">
        <v>217</v>
      </c>
      <c r="C78" s="568" t="s">
        <v>218</v>
      </c>
      <c r="D78" s="518">
        <f>ROUND(VLOOKUP(B78,'[5]BPHAN CHIA '!$B$64:$T$72,19,0),2)-0.01</f>
        <v>32.200000000000003</v>
      </c>
      <c r="E78" s="518">
        <f>ROUND(0.7199*D78,2)+0.01</f>
        <v>23.19</v>
      </c>
      <c r="F78" s="520"/>
      <c r="G78" s="517"/>
      <c r="H78" s="333"/>
      <c r="I78" s="333"/>
      <c r="J78" s="517"/>
      <c r="K78" s="517"/>
      <c r="L78" s="517"/>
      <c r="M78" s="517"/>
      <c r="N78" s="517"/>
      <c r="O78" s="517"/>
      <c r="P78" s="338"/>
      <c r="Q78" s="338"/>
      <c r="R78" s="337"/>
      <c r="S78" s="337"/>
      <c r="T78" s="337"/>
      <c r="U78" s="337"/>
      <c r="V78" s="348"/>
      <c r="W78" s="336"/>
      <c r="X78" s="341"/>
      <c r="Y78" s="341"/>
      <c r="Z78" s="333">
        <f t="shared" si="12"/>
        <v>23.19</v>
      </c>
      <c r="AA78" s="334"/>
      <c r="AB78" s="589"/>
      <c r="AD78" s="516"/>
    </row>
    <row r="79" spans="1:30" s="240" customFormat="1" ht="24" customHeight="1">
      <c r="A79" s="519">
        <f t="shared" si="13"/>
        <v>67</v>
      </c>
      <c r="B79" s="249" t="s">
        <v>165</v>
      </c>
      <c r="C79" s="467" t="s">
        <v>191</v>
      </c>
      <c r="D79" s="518">
        <f>ROUND(VLOOKUP(B79,'[5]BPHAN CHIA '!$B$64:$T$72,19,0),2)</f>
        <v>44.03</v>
      </c>
      <c r="E79" s="518">
        <f t="shared" si="11"/>
        <v>31.7</v>
      </c>
      <c r="F79" s="520"/>
      <c r="G79" s="517"/>
      <c r="H79" s="333"/>
      <c r="I79" s="333"/>
      <c r="J79" s="517"/>
      <c r="K79" s="517"/>
      <c r="L79" s="517"/>
      <c r="M79" s="517"/>
      <c r="N79" s="517"/>
      <c r="O79" s="517"/>
      <c r="P79" s="338"/>
      <c r="Q79" s="338"/>
      <c r="R79" s="337"/>
      <c r="S79" s="337"/>
      <c r="T79" s="337"/>
      <c r="U79" s="337"/>
      <c r="V79" s="348"/>
      <c r="W79" s="336"/>
      <c r="X79" s="341"/>
      <c r="Y79" s="341"/>
      <c r="Z79" s="333">
        <f t="shared" si="12"/>
        <v>31.7</v>
      </c>
      <c r="AA79" s="334"/>
      <c r="AB79" s="589"/>
      <c r="AD79" s="516"/>
    </row>
    <row r="80" spans="1:30" s="240" customFormat="1" ht="24" customHeight="1">
      <c r="A80" s="519">
        <f t="shared" si="13"/>
        <v>68</v>
      </c>
      <c r="B80" s="249" t="s">
        <v>166</v>
      </c>
      <c r="C80" s="467" t="s">
        <v>167</v>
      </c>
      <c r="D80" s="518">
        <f>ROUND(VLOOKUP(B80,'[5]BPHAN CHIA '!$B$64:$T$72,19,0),2)</f>
        <v>44.03</v>
      </c>
      <c r="E80" s="518">
        <f t="shared" si="11"/>
        <v>31.7</v>
      </c>
      <c r="F80" s="520"/>
      <c r="G80" s="517"/>
      <c r="H80" s="333"/>
      <c r="I80" s="333"/>
      <c r="J80" s="517"/>
      <c r="K80" s="517"/>
      <c r="L80" s="517"/>
      <c r="M80" s="517"/>
      <c r="N80" s="517"/>
      <c r="O80" s="517"/>
      <c r="P80" s="338"/>
      <c r="Q80" s="338"/>
      <c r="R80" s="337"/>
      <c r="S80" s="337"/>
      <c r="T80" s="337"/>
      <c r="U80" s="337"/>
      <c r="V80" s="348"/>
      <c r="W80" s="336"/>
      <c r="X80" s="348"/>
      <c r="Y80" s="348"/>
      <c r="Z80" s="333">
        <f t="shared" si="12"/>
        <v>31.7</v>
      </c>
      <c r="AA80" s="334"/>
      <c r="AB80" s="589"/>
      <c r="AD80" s="516"/>
    </row>
    <row r="81" spans="1:38" s="240" customFormat="1" ht="24" customHeight="1">
      <c r="A81" s="519">
        <f t="shared" si="13"/>
        <v>69</v>
      </c>
      <c r="B81" s="475" t="s">
        <v>168</v>
      </c>
      <c r="C81" s="476" t="s">
        <v>169</v>
      </c>
      <c r="D81" s="518">
        <f>ROUND(VLOOKUP(B81,'[5]BPHAN CHIA '!$B$64:$T$72,19,0),2)-0.01</f>
        <v>39.980000000000004</v>
      </c>
      <c r="E81" s="518">
        <f>ROUND(0.7199*D81,2)+0.01</f>
        <v>28.790000000000003</v>
      </c>
      <c r="F81" s="520"/>
      <c r="G81" s="517"/>
      <c r="H81" s="333"/>
      <c r="I81" s="333"/>
      <c r="J81" s="517"/>
      <c r="K81" s="517"/>
      <c r="L81" s="517"/>
      <c r="M81" s="517"/>
      <c r="N81" s="517"/>
      <c r="O81" s="517"/>
      <c r="P81" s="338"/>
      <c r="Q81" s="338"/>
      <c r="R81" s="337"/>
      <c r="S81" s="337"/>
      <c r="T81" s="337"/>
      <c r="U81" s="337"/>
      <c r="V81" s="348"/>
      <c r="W81" s="336"/>
      <c r="X81" s="348"/>
      <c r="Y81" s="348"/>
      <c r="Z81" s="333">
        <f t="shared" si="12"/>
        <v>28.790000000000003</v>
      </c>
      <c r="AA81" s="334"/>
      <c r="AB81" s="589"/>
      <c r="AD81" s="516"/>
    </row>
    <row r="82" spans="1:38" s="240" customFormat="1" ht="24" customHeight="1">
      <c r="A82" s="519">
        <f t="shared" si="13"/>
        <v>70</v>
      </c>
      <c r="B82" s="552" t="s">
        <v>72</v>
      </c>
      <c r="C82" s="555" t="s">
        <v>73</v>
      </c>
      <c r="D82" s="518">
        <f>ROUND(VLOOKUP(B82,'[5]BPHAN CHIA '!$B$64:$T$72,19,0),2)</f>
        <v>44.03</v>
      </c>
      <c r="E82" s="518">
        <f t="shared" si="11"/>
        <v>31.7</v>
      </c>
      <c r="F82" s="520"/>
      <c r="G82" s="517"/>
      <c r="H82" s="333"/>
      <c r="I82" s="333"/>
      <c r="J82" s="517"/>
      <c r="K82" s="517"/>
      <c r="L82" s="517"/>
      <c r="M82" s="517"/>
      <c r="N82" s="517"/>
      <c r="O82" s="517"/>
      <c r="P82" s="338"/>
      <c r="Q82" s="338"/>
      <c r="R82" s="337"/>
      <c r="S82" s="337"/>
      <c r="T82" s="337"/>
      <c r="U82" s="337"/>
      <c r="V82" s="348"/>
      <c r="W82" s="336"/>
      <c r="X82" s="341"/>
      <c r="Y82" s="341"/>
      <c r="Z82" s="333">
        <f t="shared" si="12"/>
        <v>31.7</v>
      </c>
      <c r="AA82" s="334"/>
      <c r="AB82" s="589"/>
      <c r="AD82" s="516"/>
    </row>
    <row r="83" spans="1:38" s="240" customFormat="1" ht="24" customHeight="1">
      <c r="A83" s="519">
        <f t="shared" si="13"/>
        <v>71</v>
      </c>
      <c r="B83" s="249" t="s">
        <v>170</v>
      </c>
      <c r="C83" s="467" t="s">
        <v>171</v>
      </c>
      <c r="D83" s="518">
        <f>ROUND(VLOOKUP(B83,'[5]BPHAN CHIA '!$B$64:$T$72,19,0),2)</f>
        <v>44.03</v>
      </c>
      <c r="E83" s="518">
        <f t="shared" si="11"/>
        <v>31.7</v>
      </c>
      <c r="F83" s="517"/>
      <c r="G83" s="517"/>
      <c r="H83" s="333"/>
      <c r="I83" s="333"/>
      <c r="J83" s="517"/>
      <c r="K83" s="517"/>
      <c r="L83" s="517"/>
      <c r="M83" s="517"/>
      <c r="N83" s="517"/>
      <c r="O83" s="517"/>
      <c r="P83" s="338"/>
      <c r="Q83" s="338"/>
      <c r="R83" s="337"/>
      <c r="S83" s="337"/>
      <c r="T83" s="337"/>
      <c r="U83" s="337"/>
      <c r="V83" s="348"/>
      <c r="W83" s="336"/>
      <c r="X83" s="341"/>
      <c r="Y83" s="341"/>
      <c r="Z83" s="333">
        <f t="shared" si="12"/>
        <v>31.7</v>
      </c>
      <c r="AA83" s="334"/>
      <c r="AB83" s="589"/>
      <c r="AD83" s="516"/>
    </row>
    <row r="84" spans="1:38" s="275" customFormat="1" ht="24" customHeight="1">
      <c r="A84" s="309"/>
      <c r="B84" s="891" t="s">
        <v>172</v>
      </c>
      <c r="C84" s="892"/>
      <c r="D84" s="571">
        <f t="shared" ref="D84:Z84" si="14">SUM(D13:D83)</f>
        <v>1007.12</v>
      </c>
      <c r="E84" s="572">
        <f t="shared" si="14"/>
        <v>725.03000000000043</v>
      </c>
      <c r="F84" s="571">
        <f t="shared" si="14"/>
        <v>437.92999999999984</v>
      </c>
      <c r="G84" s="572">
        <f t="shared" si="14"/>
        <v>479.8000000000003</v>
      </c>
      <c r="H84" s="571">
        <f t="shared" si="14"/>
        <v>10.5</v>
      </c>
      <c r="I84" s="572">
        <f t="shared" si="14"/>
        <v>13.11</v>
      </c>
      <c r="J84" s="571">
        <f t="shared" si="14"/>
        <v>26</v>
      </c>
      <c r="K84" s="572">
        <f t="shared" si="14"/>
        <v>27.04</v>
      </c>
      <c r="L84" s="571">
        <f t="shared" si="14"/>
        <v>61</v>
      </c>
      <c r="M84" s="572">
        <f t="shared" si="14"/>
        <v>90.15</v>
      </c>
      <c r="N84" s="571">
        <f t="shared" si="14"/>
        <v>25.5</v>
      </c>
      <c r="O84" s="572">
        <f t="shared" si="14"/>
        <v>24.93</v>
      </c>
      <c r="P84" s="571">
        <f t="shared" si="14"/>
        <v>36</v>
      </c>
      <c r="Q84" s="572">
        <f t="shared" si="14"/>
        <v>52.59</v>
      </c>
      <c r="R84" s="571">
        <f t="shared" si="14"/>
        <v>5.5</v>
      </c>
      <c r="S84" s="572">
        <f t="shared" si="14"/>
        <v>5.17</v>
      </c>
      <c r="T84" s="571">
        <f t="shared" si="14"/>
        <v>8</v>
      </c>
      <c r="U84" s="571">
        <f t="shared" si="14"/>
        <v>7.52</v>
      </c>
      <c r="V84" s="571">
        <f t="shared" si="14"/>
        <v>6</v>
      </c>
      <c r="W84" s="571">
        <f t="shared" si="14"/>
        <v>7.52</v>
      </c>
      <c r="X84" s="571">
        <f t="shared" si="14"/>
        <v>0</v>
      </c>
      <c r="Y84" s="571">
        <f t="shared" si="14"/>
        <v>0</v>
      </c>
      <c r="Z84" s="571">
        <f t="shared" si="14"/>
        <v>1432.8600000000001</v>
      </c>
      <c r="AA84" s="515"/>
      <c r="AB84" s="514"/>
      <c r="AC84" s="514"/>
      <c r="AD84" s="514" t="e">
        <f>#REF!+#REF!+#REF!+I84+K84+M84+O84+Q84+#REF!+S84</f>
        <v>#REF!</v>
      </c>
      <c r="AE84" s="513"/>
      <c r="AG84" s="512"/>
    </row>
    <row r="85" spans="1:38" s="486" customFormat="1" ht="18" customHeight="1">
      <c r="A85" s="356"/>
      <c r="B85" s="356"/>
      <c r="C85" s="511"/>
      <c r="D85" s="510"/>
      <c r="E85" s="510"/>
      <c r="F85" s="510"/>
      <c r="G85" s="510"/>
      <c r="H85" s="509"/>
      <c r="I85" s="509"/>
      <c r="J85" s="509"/>
      <c r="K85" s="509"/>
      <c r="L85" s="509"/>
      <c r="M85" s="485"/>
      <c r="N85" s="485"/>
      <c r="O85" s="485"/>
      <c r="P85" s="485"/>
      <c r="Q85" s="485"/>
      <c r="R85" s="485"/>
      <c r="S85" s="485"/>
      <c r="T85" s="485"/>
      <c r="U85" s="484"/>
      <c r="V85" s="484"/>
      <c r="W85" s="484"/>
      <c r="X85" s="484"/>
      <c r="Y85" s="484"/>
      <c r="Z85" s="507"/>
      <c r="AA85" s="356"/>
      <c r="AB85" s="508"/>
      <c r="AC85" s="507"/>
      <c r="AD85" s="356"/>
      <c r="AE85" s="356"/>
      <c r="AF85" s="502"/>
      <c r="AG85" s="502"/>
      <c r="AH85" s="506"/>
      <c r="AI85" s="506"/>
      <c r="AJ85" s="506"/>
      <c r="AK85" s="506"/>
      <c r="AL85" s="506"/>
    </row>
    <row r="86" spans="1:38" s="486" customFormat="1">
      <c r="A86" s="896" t="s">
        <v>173</v>
      </c>
      <c r="B86" s="896"/>
      <c r="C86" s="896"/>
      <c r="D86" s="896"/>
      <c r="E86" s="896"/>
      <c r="F86" s="896"/>
      <c r="G86" s="896"/>
      <c r="H86" s="896"/>
      <c r="I86" s="896"/>
      <c r="J86" s="505"/>
      <c r="K86" s="505"/>
      <c r="L86" s="505"/>
      <c r="M86" s="505"/>
      <c r="N86" s="505"/>
      <c r="O86" s="505"/>
      <c r="P86" s="505"/>
      <c r="Q86" s="493"/>
      <c r="R86" s="854" t="s">
        <v>193</v>
      </c>
      <c r="S86" s="854"/>
      <c r="T86" s="854"/>
      <c r="U86" s="854"/>
      <c r="V86" s="854"/>
      <c r="W86" s="854"/>
      <c r="X86" s="854"/>
      <c r="Y86" s="854"/>
      <c r="Z86" s="854"/>
      <c r="AA86" s="854"/>
      <c r="AB86" s="503"/>
      <c r="AC86" s="504"/>
      <c r="AD86" s="503"/>
      <c r="AE86" s="503"/>
      <c r="AF86" s="502"/>
      <c r="AG86" s="502"/>
      <c r="AH86" s="587"/>
      <c r="AI86" s="587"/>
      <c r="AJ86" s="587"/>
      <c r="AK86" s="587"/>
      <c r="AL86" s="587"/>
    </row>
    <row r="87" spans="1:38" s="486" customFormat="1" ht="29.25" customHeight="1">
      <c r="C87" s="500"/>
      <c r="D87" s="493"/>
      <c r="E87" s="493"/>
      <c r="F87" s="493"/>
      <c r="G87" s="493"/>
      <c r="H87" s="499"/>
      <c r="I87" s="499"/>
      <c r="J87" s="499"/>
      <c r="K87" s="499"/>
      <c r="L87" s="499"/>
      <c r="M87" s="499"/>
      <c r="N87" s="499"/>
      <c r="O87" s="499"/>
      <c r="P87" s="499"/>
      <c r="Q87" s="493"/>
      <c r="R87" s="358"/>
      <c r="S87" s="585"/>
      <c r="T87" s="101"/>
      <c r="U87" s="358"/>
      <c r="V87" s="358"/>
      <c r="W87" s="358"/>
      <c r="X87" s="358"/>
      <c r="Y87" s="358"/>
      <c r="Z87" s="585"/>
      <c r="AA87" s="101"/>
      <c r="AB87" s="498"/>
      <c r="AC87" s="497"/>
      <c r="AD87" s="497"/>
      <c r="AE87" s="497"/>
    </row>
    <row r="88" spans="1:38" s="486" customFormat="1" ht="27.75" customHeight="1">
      <c r="A88" s="895"/>
      <c r="B88" s="895"/>
      <c r="C88" s="895"/>
      <c r="D88" s="496"/>
      <c r="E88" s="496"/>
      <c r="F88" s="496"/>
      <c r="G88" s="496"/>
      <c r="H88" s="495"/>
      <c r="I88" s="495"/>
      <c r="J88" s="495"/>
      <c r="K88" s="495"/>
      <c r="L88" s="495"/>
      <c r="M88" s="495"/>
      <c r="N88" s="495"/>
      <c r="O88" s="495"/>
      <c r="P88" s="495"/>
      <c r="Q88" s="493"/>
      <c r="R88" s="494"/>
      <c r="S88" s="494"/>
      <c r="T88" s="494"/>
      <c r="U88" s="494"/>
      <c r="V88" s="494"/>
      <c r="W88" s="494"/>
      <c r="X88" s="494"/>
      <c r="Y88" s="494"/>
      <c r="Z88" s="494"/>
      <c r="AA88" s="494"/>
      <c r="AB88" s="895"/>
      <c r="AC88" s="895"/>
      <c r="AD88" s="895"/>
      <c r="AE88" s="895"/>
    </row>
    <row r="89" spans="1:38" s="486" customFormat="1">
      <c r="A89" s="259"/>
      <c r="B89" s="259"/>
      <c r="C89" s="491"/>
      <c r="D89" s="490"/>
      <c r="E89" s="490"/>
      <c r="F89" s="490"/>
      <c r="G89" s="490"/>
      <c r="H89" s="490"/>
      <c r="I89" s="490"/>
      <c r="J89" s="490"/>
      <c r="K89" s="490"/>
      <c r="L89" s="490"/>
      <c r="M89" s="490"/>
      <c r="N89" s="490"/>
      <c r="O89" s="490"/>
      <c r="P89" s="490"/>
      <c r="Q89" s="490"/>
      <c r="R89" s="897" t="s">
        <v>17</v>
      </c>
      <c r="S89" s="897"/>
      <c r="T89" s="897"/>
      <c r="U89" s="897"/>
      <c r="V89" s="897"/>
      <c r="W89" s="897"/>
      <c r="X89" s="897"/>
      <c r="Y89" s="897"/>
      <c r="Z89" s="897"/>
      <c r="AA89" s="897"/>
      <c r="AB89" s="259"/>
      <c r="AF89" s="259"/>
      <c r="AG89" s="259"/>
    </row>
    <row r="90" spans="1:38" s="486" customFormat="1">
      <c r="A90" s="259"/>
      <c r="B90" s="259"/>
      <c r="C90" s="491"/>
      <c r="D90" s="490"/>
      <c r="E90" s="490"/>
      <c r="F90" s="490"/>
      <c r="G90" s="490"/>
      <c r="H90" s="490"/>
      <c r="I90" s="490"/>
      <c r="J90" s="490"/>
      <c r="K90" s="490"/>
      <c r="L90" s="490"/>
      <c r="M90" s="490"/>
      <c r="N90" s="490"/>
      <c r="O90" s="490"/>
      <c r="P90" s="490"/>
      <c r="Q90" s="493"/>
      <c r="R90" s="493"/>
      <c r="S90" s="493"/>
      <c r="T90" s="493"/>
      <c r="U90" s="492"/>
      <c r="V90" s="492"/>
      <c r="W90" s="492"/>
      <c r="X90" s="492"/>
      <c r="Y90" s="492"/>
      <c r="Z90" s="858"/>
      <c r="AA90" s="858"/>
      <c r="AB90" s="259"/>
      <c r="AC90" s="590"/>
      <c r="AD90" s="590"/>
      <c r="AE90" s="259"/>
      <c r="AF90" s="259"/>
      <c r="AG90" s="259"/>
    </row>
    <row r="91" spans="1:38" s="486" customFormat="1">
      <c r="A91" s="259"/>
      <c r="B91" s="259"/>
      <c r="C91" s="491"/>
      <c r="D91" s="490"/>
      <c r="E91" s="490"/>
      <c r="F91" s="490"/>
      <c r="G91" s="490"/>
      <c r="H91" s="490"/>
      <c r="I91" s="490"/>
      <c r="J91" s="490"/>
      <c r="K91" s="490"/>
      <c r="L91" s="490"/>
      <c r="M91" s="490"/>
      <c r="N91" s="490"/>
      <c r="O91" s="490"/>
      <c r="P91" s="490"/>
      <c r="Q91" s="490"/>
      <c r="R91" s="490"/>
      <c r="S91" s="490"/>
      <c r="T91" s="490"/>
      <c r="U91" s="393"/>
      <c r="V91" s="393"/>
      <c r="W91" s="393"/>
      <c r="X91" s="393"/>
      <c r="Y91" s="393"/>
      <c r="AB91" s="259"/>
      <c r="AC91" s="590"/>
      <c r="AD91" s="590"/>
      <c r="AE91" s="259"/>
      <c r="AF91" s="259"/>
      <c r="AG91" s="259"/>
    </row>
    <row r="92" spans="1:38" s="486" customFormat="1">
      <c r="A92" s="259"/>
      <c r="B92" s="259"/>
      <c r="C92" s="491"/>
      <c r="D92" s="490"/>
      <c r="E92" s="490"/>
      <c r="F92" s="490"/>
      <c r="G92" s="490"/>
      <c r="H92" s="490"/>
      <c r="I92" s="490"/>
      <c r="J92" s="490"/>
      <c r="K92" s="490"/>
      <c r="L92" s="490"/>
      <c r="M92" s="490"/>
      <c r="N92" s="490"/>
      <c r="O92" s="490"/>
      <c r="P92" s="490"/>
      <c r="Q92" s="858"/>
      <c r="R92" s="858"/>
      <c r="S92" s="858"/>
      <c r="T92" s="858"/>
      <c r="U92" s="858"/>
      <c r="V92" s="858"/>
      <c r="W92" s="858"/>
      <c r="X92" s="858"/>
      <c r="Y92" s="858"/>
      <c r="Z92" s="858"/>
      <c r="AA92" s="858"/>
      <c r="AB92" s="259"/>
      <c r="AC92" s="590"/>
      <c r="AD92" s="590"/>
      <c r="AE92" s="259"/>
      <c r="AF92" s="259"/>
      <c r="AG92" s="259"/>
    </row>
    <row r="93" spans="1:38" s="486" customFormat="1">
      <c r="A93" s="259"/>
      <c r="B93" s="259"/>
      <c r="C93" s="491"/>
      <c r="D93" s="490"/>
      <c r="E93" s="490"/>
      <c r="F93" s="490"/>
      <c r="G93" s="490"/>
      <c r="H93" s="490"/>
      <c r="I93" s="490"/>
      <c r="J93" s="490"/>
      <c r="K93" s="490"/>
      <c r="L93" s="490"/>
      <c r="M93" s="490"/>
      <c r="N93" s="490"/>
      <c r="O93" s="490"/>
      <c r="P93" s="490"/>
      <c r="Q93" s="493"/>
      <c r="R93" s="493"/>
      <c r="S93" s="493"/>
      <c r="T93" s="493"/>
      <c r="U93" s="492"/>
      <c r="V93" s="492"/>
      <c r="W93" s="492"/>
      <c r="X93" s="492"/>
      <c r="Y93" s="492"/>
      <c r="AB93" s="259"/>
      <c r="AC93" s="590"/>
      <c r="AD93" s="590"/>
      <c r="AE93" s="259"/>
      <c r="AF93" s="259"/>
      <c r="AG93" s="259"/>
    </row>
    <row r="94" spans="1:38" s="486" customFormat="1">
      <c r="A94" s="259"/>
      <c r="B94" s="259"/>
      <c r="C94" s="491"/>
      <c r="D94" s="490"/>
      <c r="E94" s="490"/>
      <c r="F94" s="490"/>
      <c r="G94" s="490"/>
      <c r="H94" s="490"/>
      <c r="I94" s="490"/>
      <c r="J94" s="490"/>
      <c r="K94" s="490"/>
      <c r="L94" s="490"/>
      <c r="M94" s="490"/>
      <c r="N94" s="490"/>
      <c r="O94" s="490"/>
      <c r="P94" s="490"/>
      <c r="Q94" s="490"/>
      <c r="R94" s="490"/>
      <c r="S94" s="490"/>
      <c r="T94" s="490"/>
      <c r="U94" s="393"/>
      <c r="V94" s="393"/>
      <c r="W94" s="393"/>
      <c r="X94" s="393"/>
      <c r="Y94" s="393"/>
      <c r="Z94" s="259"/>
      <c r="AA94" s="259"/>
      <c r="AB94" s="259"/>
      <c r="AC94" s="590"/>
      <c r="AD94" s="590"/>
      <c r="AE94" s="259"/>
      <c r="AF94" s="259"/>
      <c r="AG94" s="259"/>
    </row>
    <row r="95" spans="1:38" s="486" customFormat="1">
      <c r="A95" s="259"/>
      <c r="B95" s="259"/>
      <c r="C95" s="491"/>
      <c r="D95" s="490"/>
      <c r="E95" s="490"/>
      <c r="F95" s="490"/>
      <c r="G95" s="490"/>
      <c r="H95" s="490"/>
      <c r="I95" s="490"/>
      <c r="J95" s="490"/>
      <c r="K95" s="490"/>
      <c r="L95" s="490"/>
      <c r="M95" s="490"/>
      <c r="N95" s="490"/>
      <c r="O95" s="490"/>
      <c r="P95" s="490"/>
      <c r="Q95" s="490"/>
      <c r="R95" s="490"/>
      <c r="S95" s="490"/>
      <c r="T95" s="490"/>
      <c r="U95" s="393"/>
      <c r="V95" s="393"/>
      <c r="W95" s="393"/>
      <c r="X95" s="393"/>
      <c r="Y95" s="393"/>
      <c r="Z95" s="259"/>
      <c r="AA95" s="259"/>
      <c r="AB95" s="259"/>
      <c r="AC95" s="590"/>
      <c r="AD95" s="590"/>
      <c r="AE95" s="259"/>
      <c r="AF95" s="259"/>
      <c r="AG95" s="259"/>
    </row>
    <row r="96" spans="1:38" s="486" customFormat="1">
      <c r="A96" s="584"/>
      <c r="B96" s="584"/>
      <c r="C96" s="586"/>
      <c r="D96" s="488"/>
      <c r="E96" s="488"/>
      <c r="F96" s="488"/>
      <c r="G96" s="488"/>
      <c r="H96" s="488"/>
      <c r="I96" s="488"/>
      <c r="J96" s="488"/>
      <c r="K96" s="488"/>
      <c r="L96" s="488"/>
      <c r="M96" s="488"/>
      <c r="N96" s="488"/>
      <c r="O96" s="488"/>
      <c r="P96" s="488"/>
      <c r="Q96" s="488"/>
      <c r="R96" s="488"/>
      <c r="S96" s="488"/>
      <c r="T96" s="488"/>
      <c r="U96" s="487"/>
      <c r="V96" s="487"/>
      <c r="W96" s="487"/>
      <c r="X96" s="487"/>
      <c r="Y96" s="487"/>
      <c r="Z96" s="584"/>
      <c r="AA96" s="584"/>
      <c r="AB96" s="584"/>
      <c r="AC96" s="487"/>
      <c r="AD96" s="584"/>
      <c r="AE96" s="259"/>
      <c r="AF96" s="259"/>
      <c r="AG96" s="259"/>
    </row>
    <row r="97" spans="1:33" s="486" customFormat="1">
      <c r="A97" s="584"/>
      <c r="B97" s="584"/>
      <c r="C97" s="586"/>
      <c r="D97" s="488"/>
      <c r="E97" s="488"/>
      <c r="F97" s="488"/>
      <c r="G97" s="488"/>
      <c r="H97" s="488"/>
      <c r="I97" s="488"/>
      <c r="J97" s="488"/>
      <c r="K97" s="488"/>
      <c r="L97" s="488"/>
      <c r="M97" s="488"/>
      <c r="N97" s="488"/>
      <c r="O97" s="488"/>
      <c r="P97" s="488"/>
      <c r="Q97" s="488"/>
      <c r="R97" s="488"/>
      <c r="S97" s="488"/>
      <c r="T97" s="488"/>
      <c r="U97" s="487"/>
      <c r="V97" s="487"/>
      <c r="W97" s="487"/>
      <c r="X97" s="487"/>
      <c r="Y97" s="487"/>
      <c r="Z97" s="584"/>
      <c r="AA97" s="584"/>
      <c r="AB97" s="584"/>
      <c r="AC97" s="487"/>
      <c r="AD97" s="584"/>
      <c r="AE97" s="259"/>
      <c r="AF97" s="259"/>
      <c r="AG97" s="259"/>
    </row>
  </sheetData>
  <autoFilter ref="A11:AA84"/>
  <mergeCells count="36">
    <mergeCell ref="Z90:AA90"/>
    <mergeCell ref="Q92:AA92"/>
    <mergeCell ref="AA11:AA12"/>
    <mergeCell ref="AB11:AB12"/>
    <mergeCell ref="V11:W11"/>
    <mergeCell ref="X11:Y11"/>
    <mergeCell ref="Z11:Z12"/>
    <mergeCell ref="T11:U11"/>
    <mergeCell ref="P11:Q11"/>
    <mergeCell ref="R11:S11"/>
    <mergeCell ref="A88:C88"/>
    <mergeCell ref="AB88:AE88"/>
    <mergeCell ref="A86:I86"/>
    <mergeCell ref="R86:AA86"/>
    <mergeCell ref="R89:AA89"/>
    <mergeCell ref="B84:C84"/>
    <mergeCell ref="B11:C11"/>
    <mergeCell ref="D11:E11"/>
    <mergeCell ref="F11:G11"/>
    <mergeCell ref="H11:I11"/>
    <mergeCell ref="L11:M11"/>
    <mergeCell ref="J11:K11"/>
    <mergeCell ref="A11:A12"/>
    <mergeCell ref="A9:AA9"/>
    <mergeCell ref="A1:H1"/>
    <mergeCell ref="M1:AA1"/>
    <mergeCell ref="A2:H2"/>
    <mergeCell ref="M2:AA2"/>
    <mergeCell ref="A3:H3"/>
    <mergeCell ref="M3:AA3"/>
    <mergeCell ref="A4:H4"/>
    <mergeCell ref="M4:AA4"/>
    <mergeCell ref="A6:AA6"/>
    <mergeCell ref="A7:AA7"/>
    <mergeCell ref="A8:AA8"/>
    <mergeCell ref="N11:O11"/>
  </mergeCells>
  <printOptions horizontalCentered="1"/>
  <pageMargins left="0.19685039370078741" right="0.19685039370078741" top="0.43307086614173229" bottom="0.43307086614173229" header="0.23622047244094491" footer="0.23622047244094491"/>
  <pageSetup paperSize="9" scale="65" orientation="landscape" r:id="rId1"/>
  <rowBreaks count="2" manualBreakCount="2">
    <brk id="26" max="26" man="1"/>
    <brk id="49" max="2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A97"/>
  <sheetViews>
    <sheetView view="pageBreakPreview" topLeftCell="C76" zoomScale="70" zoomScaleNormal="70" zoomScaleSheetLayoutView="70" zoomScalePageLayoutView="85" workbookViewId="0">
      <selection activeCell="Q55" sqref="Q55"/>
    </sheetView>
  </sheetViews>
  <sheetFormatPr defaultColWidth="9" defaultRowHeight="18.75"/>
  <cols>
    <col min="1" max="1" width="6.75" style="358" customWidth="1"/>
    <col min="2" max="2" width="12.125" style="358" customWidth="1"/>
    <col min="3" max="3" width="17.625" style="284" customWidth="1"/>
    <col min="4" max="4" width="8.5" style="485" customWidth="1"/>
    <col min="5" max="5" width="8.75" style="485" customWidth="1"/>
    <col min="6" max="9" width="7.625" style="485" customWidth="1"/>
    <col min="10" max="10" width="7.125" style="485" customWidth="1"/>
    <col min="11" max="11" width="7" style="485" customWidth="1"/>
    <col min="12" max="12" width="7.125" style="485" customWidth="1"/>
    <col min="13" max="13" width="6.875" style="485" customWidth="1"/>
    <col min="14" max="14" width="7.75" style="485" customWidth="1"/>
    <col min="15" max="15" width="7.125" style="485" customWidth="1"/>
    <col min="16" max="16" width="6.875" style="485" customWidth="1"/>
    <col min="17" max="17" width="7.375" style="485" customWidth="1"/>
    <col min="18" max="18" width="7.25" style="485" customWidth="1"/>
    <col min="19" max="19" width="7.625" style="485" customWidth="1"/>
    <col min="20" max="20" width="6.375" style="485" customWidth="1"/>
    <col min="21" max="21" width="6.5" style="484" bestFit="1" customWidth="1"/>
    <col min="22" max="23" width="6.5" style="484" customWidth="1"/>
    <col min="24" max="24" width="7.125" style="484" customWidth="1"/>
    <col min="25" max="25" width="5.875" style="484" customWidth="1"/>
    <col min="26" max="26" width="7.25" style="484" customWidth="1"/>
    <col min="27" max="27" width="6.5" style="484" bestFit="1" customWidth="1"/>
    <col min="28" max="28" width="8.875" style="358" customWidth="1"/>
    <col min="29" max="29" width="10.25" style="358" customWidth="1"/>
    <col min="30" max="30" width="8.375" style="358" customWidth="1"/>
    <col min="31" max="31" width="9.75" style="358" customWidth="1"/>
    <col min="32" max="32" width="18.625" style="358" customWidth="1"/>
    <col min="33" max="33" width="11" style="358" customWidth="1"/>
    <col min="34" max="34" width="11.25" style="358" customWidth="1"/>
    <col min="35" max="35" width="11.5" style="358" customWidth="1"/>
    <col min="36" max="16384" width="9" style="358"/>
  </cols>
  <sheetData>
    <row r="1" spans="1:235" s="282" customFormat="1" ht="27.95" customHeight="1">
      <c r="A1" s="886" t="s">
        <v>0</v>
      </c>
      <c r="B1" s="886"/>
      <c r="C1" s="886"/>
      <c r="D1" s="886"/>
      <c r="E1" s="886"/>
      <c r="F1" s="886"/>
      <c r="G1" s="886"/>
      <c r="H1" s="886"/>
      <c r="I1" s="536"/>
      <c r="J1" s="536"/>
      <c r="K1" s="536"/>
      <c r="L1" s="536"/>
      <c r="M1" s="887" t="s">
        <v>1</v>
      </c>
      <c r="N1" s="887"/>
      <c r="O1" s="887"/>
      <c r="P1" s="887"/>
      <c r="Q1" s="887"/>
      <c r="R1" s="887"/>
      <c r="S1" s="887"/>
      <c r="T1" s="887"/>
      <c r="U1" s="887"/>
      <c r="V1" s="887"/>
      <c r="W1" s="887"/>
      <c r="X1" s="887"/>
      <c r="Y1" s="887"/>
      <c r="Z1" s="887"/>
      <c r="AA1" s="887"/>
      <c r="AB1" s="887"/>
      <c r="AC1" s="887"/>
      <c r="AD1" s="535"/>
    </row>
    <row r="2" spans="1:235" s="354" customFormat="1" ht="23.45" customHeight="1">
      <c r="A2" s="852" t="s">
        <v>2</v>
      </c>
      <c r="B2" s="852"/>
      <c r="C2" s="852"/>
      <c r="D2" s="852"/>
      <c r="E2" s="852"/>
      <c r="F2" s="852"/>
      <c r="G2" s="852"/>
      <c r="H2" s="852"/>
      <c r="I2" s="537"/>
      <c r="J2" s="537"/>
      <c r="K2" s="534"/>
      <c r="L2" s="534"/>
      <c r="M2" s="858" t="s">
        <v>3</v>
      </c>
      <c r="N2" s="858"/>
      <c r="O2" s="858"/>
      <c r="P2" s="858"/>
      <c r="Q2" s="858"/>
      <c r="R2" s="858"/>
      <c r="S2" s="858"/>
      <c r="T2" s="858"/>
      <c r="U2" s="858"/>
      <c r="V2" s="858"/>
      <c r="W2" s="858"/>
      <c r="X2" s="858"/>
      <c r="Y2" s="858"/>
      <c r="Z2" s="858"/>
      <c r="AA2" s="858"/>
      <c r="AB2" s="858"/>
      <c r="AC2" s="858"/>
      <c r="AD2" s="257"/>
    </row>
    <row r="3" spans="1:235" s="282" customFormat="1" ht="27.95" customHeight="1">
      <c r="A3" s="886" t="s">
        <v>4</v>
      </c>
      <c r="B3" s="886"/>
      <c r="C3" s="886"/>
      <c r="D3" s="886"/>
      <c r="E3" s="886"/>
      <c r="F3" s="886"/>
      <c r="G3" s="886"/>
      <c r="H3" s="886"/>
      <c r="I3" s="537"/>
      <c r="J3" s="537"/>
      <c r="K3" s="536"/>
      <c r="L3" s="536"/>
      <c r="M3" s="887" t="s">
        <v>5</v>
      </c>
      <c r="N3" s="887"/>
      <c r="O3" s="887"/>
      <c r="P3" s="887"/>
      <c r="Q3" s="887"/>
      <c r="R3" s="887"/>
      <c r="S3" s="887"/>
      <c r="T3" s="887"/>
      <c r="U3" s="887"/>
      <c r="V3" s="887"/>
      <c r="W3" s="887"/>
      <c r="X3" s="887"/>
      <c r="Y3" s="887"/>
      <c r="Z3" s="887"/>
      <c r="AA3" s="887"/>
      <c r="AB3" s="887"/>
      <c r="AC3" s="887"/>
      <c r="AD3" s="535"/>
    </row>
    <row r="4" spans="1:235" s="354" customFormat="1" ht="21.6" customHeight="1">
      <c r="A4" s="852" t="s">
        <v>6</v>
      </c>
      <c r="B4" s="852"/>
      <c r="C4" s="852"/>
      <c r="D4" s="852"/>
      <c r="E4" s="852"/>
      <c r="F4" s="852"/>
      <c r="G4" s="852"/>
      <c r="H4" s="852"/>
      <c r="I4" s="534"/>
      <c r="J4" s="534"/>
      <c r="K4" s="534"/>
      <c r="L4" s="534"/>
      <c r="M4" s="853" t="s">
        <v>7</v>
      </c>
      <c r="N4" s="853"/>
      <c r="O4" s="853"/>
      <c r="P4" s="853"/>
      <c r="Q4" s="853"/>
      <c r="R4" s="853"/>
      <c r="S4" s="853"/>
      <c r="T4" s="853"/>
      <c r="U4" s="853"/>
      <c r="V4" s="853"/>
      <c r="W4" s="853"/>
      <c r="X4" s="853"/>
      <c r="Y4" s="853"/>
      <c r="Z4" s="853"/>
      <c r="AA4" s="853"/>
      <c r="AB4" s="853"/>
      <c r="AC4" s="853"/>
      <c r="AD4" s="240"/>
    </row>
    <row r="5" spans="1:235" s="356" customFormat="1" ht="12.75" customHeight="1">
      <c r="A5" s="478"/>
      <c r="B5" s="478"/>
      <c r="C5" s="478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 s="533"/>
      <c r="R5" s="263"/>
      <c r="S5" s="263"/>
      <c r="T5" s="263"/>
      <c r="U5" s="532"/>
      <c r="V5" s="532"/>
      <c r="W5" s="532"/>
      <c r="X5" s="532"/>
      <c r="Y5" s="532"/>
      <c r="Z5" s="532"/>
      <c r="AA5" s="532"/>
      <c r="AB5" s="240"/>
      <c r="AC5" s="240"/>
      <c r="AD5" s="240"/>
    </row>
    <row r="6" spans="1:235" s="529" customFormat="1" ht="33" customHeight="1">
      <c r="A6" s="888" t="s">
        <v>329</v>
      </c>
      <c r="B6" s="888"/>
      <c r="C6" s="888"/>
      <c r="D6" s="888"/>
      <c r="E6" s="888"/>
      <c r="F6" s="888"/>
      <c r="G6" s="888"/>
      <c r="H6" s="888"/>
      <c r="I6" s="888"/>
      <c r="J6" s="888"/>
      <c r="K6" s="888"/>
      <c r="L6" s="888"/>
      <c r="M6" s="888"/>
      <c r="N6" s="888"/>
      <c r="O6" s="888"/>
      <c r="P6" s="888"/>
      <c r="Q6" s="888"/>
      <c r="R6" s="888"/>
      <c r="S6" s="888"/>
      <c r="T6" s="888"/>
      <c r="U6" s="888"/>
      <c r="V6" s="888"/>
      <c r="W6" s="888"/>
      <c r="X6" s="888"/>
      <c r="Y6" s="888"/>
      <c r="Z6" s="888"/>
      <c r="AA6" s="888"/>
      <c r="AB6" s="888"/>
      <c r="AC6" s="888"/>
      <c r="AD6" s="119"/>
      <c r="AE6" s="119"/>
      <c r="AF6" s="119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  <c r="BL6" s="120"/>
      <c r="BM6" s="120"/>
      <c r="BN6" s="120"/>
      <c r="BO6" s="120"/>
      <c r="BP6" s="120"/>
      <c r="BQ6" s="120"/>
      <c r="BR6" s="120"/>
      <c r="BS6" s="120"/>
      <c r="BT6" s="120"/>
      <c r="BU6" s="120"/>
      <c r="BV6" s="120"/>
      <c r="BW6" s="120"/>
      <c r="BX6" s="120"/>
      <c r="BY6" s="120"/>
      <c r="BZ6" s="120"/>
      <c r="CA6" s="120"/>
      <c r="CB6" s="120"/>
      <c r="CC6" s="120"/>
      <c r="CD6" s="120"/>
      <c r="CE6" s="120"/>
      <c r="CF6" s="120"/>
      <c r="CG6" s="120"/>
      <c r="CH6" s="120"/>
      <c r="CI6" s="120"/>
      <c r="CJ6" s="120"/>
      <c r="CK6" s="120"/>
      <c r="CL6" s="120"/>
      <c r="CM6" s="120"/>
      <c r="CN6" s="120"/>
      <c r="CO6" s="120"/>
      <c r="CP6" s="120"/>
      <c r="CQ6" s="120"/>
      <c r="CR6" s="120"/>
      <c r="CS6" s="120"/>
      <c r="CT6" s="120"/>
      <c r="CU6" s="120"/>
      <c r="CV6" s="120"/>
      <c r="CW6" s="120"/>
      <c r="CX6" s="120"/>
      <c r="CY6" s="120"/>
      <c r="CZ6" s="120"/>
      <c r="DA6" s="120"/>
      <c r="DB6" s="120"/>
      <c r="DC6" s="120"/>
      <c r="DD6" s="120"/>
      <c r="DE6" s="120"/>
      <c r="DF6" s="120"/>
      <c r="DG6" s="120"/>
      <c r="DH6" s="120"/>
      <c r="DI6" s="120"/>
      <c r="DJ6" s="120"/>
      <c r="DK6" s="120"/>
      <c r="DL6" s="120"/>
      <c r="DM6" s="120"/>
      <c r="DN6" s="120"/>
      <c r="DO6" s="120"/>
      <c r="DP6" s="120"/>
      <c r="DQ6" s="120"/>
      <c r="DR6" s="120"/>
      <c r="DS6" s="120"/>
      <c r="DT6" s="120"/>
      <c r="DU6" s="120"/>
      <c r="DV6" s="120"/>
      <c r="DW6" s="120"/>
      <c r="DX6" s="120"/>
      <c r="DY6" s="120"/>
      <c r="DZ6" s="120"/>
      <c r="EA6" s="120"/>
      <c r="EB6" s="120"/>
      <c r="EC6" s="120"/>
      <c r="ED6" s="120"/>
      <c r="EE6" s="120"/>
      <c r="EF6" s="120"/>
      <c r="EG6" s="120"/>
      <c r="EH6" s="120"/>
      <c r="EI6" s="120"/>
      <c r="EJ6" s="120"/>
      <c r="EK6" s="120"/>
      <c r="EL6" s="120"/>
      <c r="EM6" s="120"/>
      <c r="EN6" s="120"/>
      <c r="EO6" s="120"/>
      <c r="EP6" s="120"/>
      <c r="EQ6" s="120"/>
      <c r="ER6" s="120"/>
      <c r="ES6" s="120"/>
      <c r="ET6" s="120"/>
      <c r="EU6" s="120"/>
      <c r="EV6" s="120"/>
      <c r="EW6" s="120"/>
      <c r="EX6" s="120"/>
      <c r="EY6" s="120"/>
      <c r="EZ6" s="120"/>
      <c r="FA6" s="120"/>
      <c r="FB6" s="120"/>
      <c r="FC6" s="120"/>
      <c r="FD6" s="120"/>
      <c r="FE6" s="120"/>
      <c r="FF6" s="120"/>
      <c r="FG6" s="120"/>
      <c r="FH6" s="120"/>
      <c r="FI6" s="120"/>
      <c r="FJ6" s="120"/>
      <c r="FK6" s="120"/>
      <c r="FL6" s="120"/>
      <c r="FM6" s="120"/>
      <c r="FN6" s="120"/>
      <c r="FO6" s="120"/>
      <c r="FP6" s="120"/>
      <c r="FQ6" s="120"/>
      <c r="FR6" s="120"/>
      <c r="FS6" s="120"/>
      <c r="FT6" s="120"/>
      <c r="FU6" s="120"/>
      <c r="FV6" s="120"/>
      <c r="FW6" s="120"/>
      <c r="FX6" s="120"/>
      <c r="FY6" s="120"/>
      <c r="FZ6" s="120"/>
      <c r="GA6" s="120"/>
      <c r="GB6" s="120"/>
      <c r="GC6" s="120"/>
      <c r="GD6" s="120"/>
      <c r="GE6" s="120"/>
      <c r="GF6" s="120"/>
      <c r="GG6" s="120"/>
      <c r="GH6" s="120"/>
      <c r="GI6" s="120"/>
      <c r="GJ6" s="120"/>
      <c r="GK6" s="120"/>
      <c r="GL6" s="120"/>
      <c r="GM6" s="120"/>
      <c r="GN6" s="120"/>
      <c r="GO6" s="120"/>
      <c r="GP6" s="120"/>
      <c r="GQ6" s="120"/>
      <c r="GR6" s="120"/>
      <c r="GS6" s="120"/>
      <c r="GT6" s="120"/>
      <c r="GU6" s="120"/>
      <c r="GV6" s="120"/>
      <c r="GW6" s="120"/>
      <c r="GX6" s="120"/>
      <c r="GY6" s="120"/>
      <c r="GZ6" s="120"/>
      <c r="HA6" s="120"/>
      <c r="HB6" s="120"/>
      <c r="HC6" s="120"/>
      <c r="HD6" s="120"/>
      <c r="HE6" s="120"/>
      <c r="HF6" s="120"/>
      <c r="HG6" s="120"/>
      <c r="HH6" s="120"/>
      <c r="HI6" s="120"/>
      <c r="HJ6" s="120"/>
      <c r="HK6" s="120"/>
      <c r="HL6" s="120"/>
      <c r="HM6" s="120"/>
      <c r="HN6" s="120"/>
      <c r="HO6" s="120"/>
      <c r="HP6" s="120"/>
      <c r="HQ6" s="120"/>
      <c r="HR6" s="120"/>
      <c r="HS6" s="120"/>
      <c r="HT6" s="120"/>
      <c r="HU6" s="120"/>
      <c r="HV6" s="120"/>
      <c r="HW6" s="120"/>
      <c r="HX6" s="120"/>
      <c r="HY6" s="120"/>
      <c r="HZ6" s="120"/>
      <c r="IA6" s="120"/>
    </row>
    <row r="7" spans="1:235" s="529" customFormat="1" ht="36.75" customHeight="1">
      <c r="A7" s="889" t="s">
        <v>392</v>
      </c>
      <c r="B7" s="890"/>
      <c r="C7" s="890"/>
      <c r="D7" s="890"/>
      <c r="E7" s="890"/>
      <c r="F7" s="890"/>
      <c r="G7" s="890"/>
      <c r="H7" s="890"/>
      <c r="I7" s="890"/>
      <c r="J7" s="890"/>
      <c r="K7" s="890"/>
      <c r="L7" s="890"/>
      <c r="M7" s="890"/>
      <c r="N7" s="890"/>
      <c r="O7" s="890"/>
      <c r="P7" s="890"/>
      <c r="Q7" s="890"/>
      <c r="R7" s="890"/>
      <c r="S7" s="890"/>
      <c r="T7" s="890"/>
      <c r="U7" s="890"/>
      <c r="V7" s="890"/>
      <c r="W7" s="890"/>
      <c r="X7" s="890"/>
      <c r="Y7" s="890"/>
      <c r="Z7" s="890"/>
      <c r="AA7" s="890"/>
      <c r="AB7" s="890"/>
      <c r="AC7" s="890"/>
      <c r="AD7" s="531"/>
      <c r="AE7" s="531"/>
      <c r="AF7" s="531"/>
      <c r="AG7" s="530"/>
      <c r="AH7" s="530"/>
      <c r="AI7" s="530"/>
      <c r="AJ7" s="530"/>
      <c r="AK7" s="530"/>
      <c r="AL7" s="530"/>
      <c r="AM7" s="530"/>
      <c r="AN7" s="530"/>
      <c r="AO7" s="530"/>
      <c r="AP7" s="530"/>
      <c r="AQ7" s="530"/>
      <c r="AR7" s="530"/>
      <c r="AS7" s="530"/>
      <c r="AT7" s="530"/>
      <c r="AU7" s="530"/>
      <c r="AV7" s="530"/>
      <c r="AW7" s="530"/>
      <c r="AX7" s="530"/>
      <c r="AY7" s="530"/>
      <c r="AZ7" s="530"/>
      <c r="BA7" s="530"/>
      <c r="BB7" s="530"/>
      <c r="BC7" s="530"/>
      <c r="BD7" s="530"/>
      <c r="BE7" s="530"/>
      <c r="BF7" s="530"/>
      <c r="BG7" s="530"/>
      <c r="BH7" s="530"/>
      <c r="BI7" s="530"/>
      <c r="BJ7" s="530"/>
      <c r="BK7" s="530"/>
      <c r="BL7" s="530"/>
      <c r="BM7" s="530"/>
      <c r="BN7" s="530"/>
      <c r="BO7" s="530"/>
      <c r="BP7" s="530"/>
      <c r="BQ7" s="530"/>
      <c r="BR7" s="530"/>
      <c r="BS7" s="530"/>
      <c r="BT7" s="530"/>
      <c r="BU7" s="530"/>
      <c r="BV7" s="530"/>
      <c r="BW7" s="530"/>
      <c r="BX7" s="530"/>
      <c r="BY7" s="530"/>
      <c r="BZ7" s="530"/>
      <c r="CA7" s="530"/>
      <c r="CB7" s="530"/>
      <c r="CC7" s="530"/>
      <c r="CD7" s="530"/>
      <c r="CE7" s="530"/>
      <c r="CF7" s="530"/>
      <c r="CG7" s="530"/>
      <c r="CH7" s="530"/>
      <c r="CI7" s="530"/>
      <c r="CJ7" s="530"/>
      <c r="CK7" s="530"/>
      <c r="CL7" s="530"/>
      <c r="CM7" s="530"/>
      <c r="CN7" s="530"/>
      <c r="CO7" s="530"/>
      <c r="CP7" s="530"/>
      <c r="CQ7" s="530"/>
      <c r="CR7" s="530"/>
      <c r="CS7" s="530"/>
      <c r="CT7" s="530"/>
      <c r="CU7" s="530"/>
      <c r="CV7" s="530"/>
      <c r="CW7" s="530"/>
      <c r="CX7" s="530"/>
      <c r="CY7" s="530"/>
      <c r="CZ7" s="530"/>
      <c r="DA7" s="530"/>
      <c r="DB7" s="530"/>
      <c r="DC7" s="530"/>
      <c r="DD7" s="530"/>
      <c r="DE7" s="530"/>
      <c r="DF7" s="530"/>
      <c r="DG7" s="530"/>
      <c r="DH7" s="530"/>
      <c r="DI7" s="530"/>
      <c r="DJ7" s="530"/>
      <c r="DK7" s="530"/>
      <c r="DL7" s="530"/>
      <c r="DM7" s="530"/>
      <c r="DN7" s="530"/>
      <c r="DO7" s="530"/>
      <c r="DP7" s="530"/>
      <c r="DQ7" s="530"/>
      <c r="DR7" s="530"/>
      <c r="DS7" s="530"/>
      <c r="DT7" s="530"/>
      <c r="DU7" s="530"/>
      <c r="DV7" s="530"/>
      <c r="DW7" s="530"/>
      <c r="DX7" s="530"/>
      <c r="DY7" s="530"/>
      <c r="DZ7" s="530"/>
      <c r="EA7" s="530"/>
      <c r="EB7" s="530"/>
      <c r="EC7" s="530"/>
      <c r="ED7" s="530"/>
      <c r="EE7" s="530"/>
      <c r="EF7" s="530"/>
      <c r="EG7" s="530"/>
      <c r="EH7" s="530"/>
      <c r="EI7" s="530"/>
      <c r="EJ7" s="530"/>
      <c r="EK7" s="530"/>
      <c r="EL7" s="530"/>
      <c r="EM7" s="530"/>
      <c r="EN7" s="530"/>
      <c r="EO7" s="530"/>
      <c r="EP7" s="530"/>
      <c r="EQ7" s="530"/>
      <c r="ER7" s="530"/>
      <c r="ES7" s="530"/>
      <c r="ET7" s="530"/>
      <c r="EU7" s="530"/>
      <c r="EV7" s="530"/>
      <c r="EW7" s="530"/>
      <c r="EX7" s="530"/>
      <c r="EY7" s="530"/>
      <c r="EZ7" s="530"/>
      <c r="FA7" s="530"/>
      <c r="FB7" s="530"/>
      <c r="FC7" s="530"/>
      <c r="FD7" s="530"/>
      <c r="FE7" s="530"/>
      <c r="FF7" s="530"/>
      <c r="FG7" s="530"/>
      <c r="FH7" s="530"/>
      <c r="FI7" s="530"/>
      <c r="FJ7" s="530"/>
      <c r="FK7" s="530"/>
      <c r="FL7" s="530"/>
      <c r="FM7" s="530"/>
      <c r="FN7" s="530"/>
      <c r="FO7" s="530"/>
      <c r="FP7" s="530"/>
      <c r="FQ7" s="530"/>
      <c r="FR7" s="530"/>
      <c r="FS7" s="530"/>
      <c r="FT7" s="530"/>
      <c r="FU7" s="530"/>
      <c r="FV7" s="530"/>
      <c r="FW7" s="530"/>
      <c r="FX7" s="530"/>
      <c r="FY7" s="530"/>
      <c r="FZ7" s="530"/>
      <c r="GA7" s="530"/>
      <c r="GB7" s="530"/>
      <c r="GC7" s="530"/>
      <c r="GD7" s="530"/>
      <c r="GE7" s="530"/>
      <c r="GF7" s="530"/>
      <c r="GG7" s="530"/>
      <c r="GH7" s="530"/>
      <c r="GI7" s="530"/>
      <c r="GJ7" s="530"/>
      <c r="GK7" s="530"/>
      <c r="GL7" s="530"/>
      <c r="GM7" s="530"/>
      <c r="GN7" s="530"/>
      <c r="GO7" s="530"/>
      <c r="GP7" s="530"/>
      <c r="GQ7" s="530"/>
      <c r="GR7" s="530"/>
      <c r="GS7" s="530"/>
      <c r="GT7" s="530"/>
      <c r="GU7" s="530"/>
      <c r="GV7" s="530"/>
      <c r="GW7" s="530"/>
      <c r="GX7" s="530"/>
      <c r="GY7" s="530"/>
      <c r="GZ7" s="530"/>
      <c r="HA7" s="530"/>
      <c r="HB7" s="530"/>
      <c r="HC7" s="530"/>
      <c r="HD7" s="530"/>
      <c r="HE7" s="530"/>
      <c r="HF7" s="530"/>
      <c r="HG7" s="530"/>
      <c r="HH7" s="530"/>
      <c r="HI7" s="530"/>
      <c r="HJ7" s="530"/>
      <c r="HK7" s="530"/>
      <c r="HL7" s="530"/>
      <c r="HM7" s="530"/>
      <c r="HN7" s="530"/>
      <c r="HO7" s="530"/>
      <c r="HP7" s="530"/>
      <c r="HQ7" s="530"/>
      <c r="HR7" s="530"/>
      <c r="HS7" s="530"/>
      <c r="HT7" s="530"/>
      <c r="HU7" s="530"/>
      <c r="HV7" s="530"/>
      <c r="HW7" s="530"/>
      <c r="HX7" s="530"/>
      <c r="HY7" s="530"/>
      <c r="HZ7" s="530"/>
      <c r="IA7" s="530"/>
    </row>
    <row r="8" spans="1:235" s="529" customFormat="1" ht="24.6" customHeight="1">
      <c r="A8" s="885" t="s">
        <v>393</v>
      </c>
      <c r="B8" s="885"/>
      <c r="C8" s="885"/>
      <c r="D8" s="885"/>
      <c r="E8" s="885"/>
      <c r="F8" s="885"/>
      <c r="G8" s="885"/>
      <c r="H8" s="885"/>
      <c r="I8" s="885"/>
      <c r="J8" s="885"/>
      <c r="K8" s="885"/>
      <c r="L8" s="885"/>
      <c r="M8" s="885"/>
      <c r="N8" s="885"/>
      <c r="O8" s="885"/>
      <c r="P8" s="885"/>
      <c r="Q8" s="885"/>
      <c r="R8" s="885"/>
      <c r="S8" s="885"/>
      <c r="T8" s="885"/>
      <c r="U8" s="885"/>
      <c r="V8" s="885"/>
      <c r="W8" s="885"/>
      <c r="X8" s="885"/>
      <c r="Y8" s="885"/>
      <c r="Z8" s="885"/>
      <c r="AA8" s="885"/>
      <c r="AB8" s="885"/>
      <c r="AC8" s="885"/>
      <c r="AD8" s="121"/>
      <c r="AE8" s="121"/>
      <c r="AF8" s="121"/>
      <c r="AG8" s="122"/>
      <c r="AH8" s="121"/>
      <c r="AI8" s="121"/>
    </row>
    <row r="9" spans="1:235" s="529" customFormat="1" ht="27" customHeight="1">
      <c r="A9" s="884" t="s">
        <v>394</v>
      </c>
      <c r="B9" s="885"/>
      <c r="C9" s="885"/>
      <c r="D9" s="885"/>
      <c r="E9" s="885"/>
      <c r="F9" s="885"/>
      <c r="G9" s="885"/>
      <c r="H9" s="885"/>
      <c r="I9" s="885"/>
      <c r="J9" s="885"/>
      <c r="K9" s="885"/>
      <c r="L9" s="885"/>
      <c r="M9" s="885"/>
      <c r="N9" s="885"/>
      <c r="O9" s="885"/>
      <c r="P9" s="885"/>
      <c r="Q9" s="885"/>
      <c r="R9" s="885"/>
      <c r="S9" s="885"/>
      <c r="T9" s="885"/>
      <c r="U9" s="885"/>
      <c r="V9" s="885"/>
      <c r="W9" s="885"/>
      <c r="X9" s="885"/>
      <c r="Y9" s="885"/>
      <c r="Z9" s="885"/>
      <c r="AA9" s="885"/>
      <c r="AB9" s="885"/>
      <c r="AC9" s="885"/>
      <c r="AD9" s="121"/>
      <c r="AE9" s="121"/>
      <c r="AF9" s="121"/>
      <c r="AG9" s="121"/>
      <c r="AH9" s="121"/>
      <c r="AI9" s="121"/>
    </row>
    <row r="10" spans="1:235" s="529" customFormat="1" ht="11.25" customHeight="1">
      <c r="A10" s="117"/>
      <c r="B10" s="117"/>
      <c r="C10" s="255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310"/>
      <c r="V10" s="310"/>
      <c r="W10" s="310"/>
      <c r="X10" s="310"/>
      <c r="Y10" s="310"/>
      <c r="Z10" s="310"/>
      <c r="AA10" s="310"/>
      <c r="AB10" s="117"/>
      <c r="AC10" s="117"/>
      <c r="AD10" s="117"/>
      <c r="AE10" s="117"/>
      <c r="AF10" s="123"/>
      <c r="AG10" s="117"/>
      <c r="AH10" s="117"/>
      <c r="AI10" s="117"/>
    </row>
    <row r="11" spans="1:235" s="240" customFormat="1" ht="144.75" customHeight="1">
      <c r="A11" s="882" t="s">
        <v>241</v>
      </c>
      <c r="B11" s="893" t="s">
        <v>242</v>
      </c>
      <c r="C11" s="893"/>
      <c r="D11" s="893" t="s">
        <v>245</v>
      </c>
      <c r="E11" s="893"/>
      <c r="F11" s="894" t="s">
        <v>248</v>
      </c>
      <c r="G11" s="894"/>
      <c r="H11" s="881" t="s">
        <v>249</v>
      </c>
      <c r="I11" s="881"/>
      <c r="J11" s="881" t="s">
        <v>250</v>
      </c>
      <c r="K11" s="881"/>
      <c r="L11" s="881" t="s">
        <v>251</v>
      </c>
      <c r="M11" s="881"/>
      <c r="N11" s="881" t="s">
        <v>252</v>
      </c>
      <c r="O11" s="881"/>
      <c r="P11" s="881" t="s">
        <v>253</v>
      </c>
      <c r="Q11" s="881"/>
      <c r="R11" s="881" t="s">
        <v>357</v>
      </c>
      <c r="S11" s="881"/>
      <c r="T11" s="881" t="s">
        <v>272</v>
      </c>
      <c r="U11" s="881"/>
      <c r="V11" s="881" t="s">
        <v>356</v>
      </c>
      <c r="W11" s="881"/>
      <c r="X11" s="899" t="s">
        <v>358</v>
      </c>
      <c r="Y11" s="900"/>
      <c r="Z11" s="899" t="s">
        <v>53</v>
      </c>
      <c r="AA11" s="900"/>
      <c r="AB11" s="882" t="s">
        <v>255</v>
      </c>
      <c r="AC11" s="882" t="s">
        <v>323</v>
      </c>
      <c r="AD11" s="898"/>
    </row>
    <row r="12" spans="1:235" s="240" customFormat="1" ht="76.5" customHeight="1">
      <c r="A12" s="883"/>
      <c r="B12" s="528" t="s">
        <v>243</v>
      </c>
      <c r="C12" s="527" t="s">
        <v>244</v>
      </c>
      <c r="D12" s="482" t="s">
        <v>246</v>
      </c>
      <c r="E12" s="482" t="s">
        <v>247</v>
      </c>
      <c r="F12" s="482" t="s">
        <v>246</v>
      </c>
      <c r="G12" s="482" t="s">
        <v>247</v>
      </c>
      <c r="H12" s="482" t="s">
        <v>246</v>
      </c>
      <c r="I12" s="482" t="s">
        <v>247</v>
      </c>
      <c r="J12" s="482" t="s">
        <v>246</v>
      </c>
      <c r="K12" s="482" t="s">
        <v>247</v>
      </c>
      <c r="L12" s="482" t="s">
        <v>246</v>
      </c>
      <c r="M12" s="482" t="s">
        <v>247</v>
      </c>
      <c r="N12" s="482" t="s">
        <v>246</v>
      </c>
      <c r="O12" s="482" t="s">
        <v>247</v>
      </c>
      <c r="P12" s="482" t="s">
        <v>246</v>
      </c>
      <c r="Q12" s="482" t="s">
        <v>247</v>
      </c>
      <c r="R12" s="482" t="s">
        <v>246</v>
      </c>
      <c r="S12" s="482" t="s">
        <v>247</v>
      </c>
      <c r="T12" s="482" t="s">
        <v>246</v>
      </c>
      <c r="U12" s="482" t="s">
        <v>247</v>
      </c>
      <c r="V12" s="588" t="s">
        <v>246</v>
      </c>
      <c r="W12" s="588" t="s">
        <v>247</v>
      </c>
      <c r="X12" s="482" t="s">
        <v>246</v>
      </c>
      <c r="Y12" s="482" t="s">
        <v>247</v>
      </c>
      <c r="Z12" s="482" t="s">
        <v>246</v>
      </c>
      <c r="AA12" s="482" t="s">
        <v>247</v>
      </c>
      <c r="AB12" s="882"/>
      <c r="AC12" s="882"/>
      <c r="AD12" s="898"/>
      <c r="AF12" s="526"/>
    </row>
    <row r="13" spans="1:235" s="240" customFormat="1" ht="27.95" customHeight="1">
      <c r="A13" s="523">
        <v>1</v>
      </c>
      <c r="B13" s="545" t="s">
        <v>55</v>
      </c>
      <c r="C13" s="332" t="s">
        <v>56</v>
      </c>
      <c r="D13" s="520"/>
      <c r="E13" s="520"/>
      <c r="F13" s="520"/>
      <c r="G13" s="520"/>
      <c r="H13" s="346">
        <f>'BCC D1(26)'!X12</f>
        <v>12</v>
      </c>
      <c r="I13" s="346">
        <f>ROUND(H13*1.2233,2)</f>
        <v>14.68</v>
      </c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8"/>
      <c r="W13" s="338"/>
      <c r="X13" s="348">
        <f>ROUND(VLOOKUP(B13,'BCC D1(26)'!$B$12:$V$79,21,0),0)</f>
        <v>1</v>
      </c>
      <c r="Y13" s="338">
        <f t="shared" ref="Y13:Y72" si="0">ROUND(X13*0.5008,2)</f>
        <v>0.5</v>
      </c>
      <c r="Z13" s="341">
        <f>VLOOKUP(B13,'BCC D1(26)'!$B$12:$W$88,22,0)</f>
        <v>0</v>
      </c>
      <c r="AA13" s="781">
        <f>ROUND(Z13*1.0956,2)</f>
        <v>0</v>
      </c>
      <c r="AB13" s="333">
        <f t="shared" ref="AB13:AB76" si="1">SUM(G13,E13,S13,Q13,O13,M13,K13,I13,U13,Y13,AA13,W13)</f>
        <v>15.18</v>
      </c>
      <c r="AC13" s="350"/>
      <c r="AD13" s="483"/>
    </row>
    <row r="14" spans="1:235" s="240" customFormat="1" ht="27.95" customHeight="1">
      <c r="A14" s="523">
        <f t="shared" ref="A14:A45" si="2">+A13+1</f>
        <v>2</v>
      </c>
      <c r="B14" s="332" t="s">
        <v>57</v>
      </c>
      <c r="C14" s="546" t="s">
        <v>58</v>
      </c>
      <c r="D14" s="520"/>
      <c r="E14" s="520"/>
      <c r="F14" s="520"/>
      <c r="G14" s="520"/>
      <c r="H14" s="347"/>
      <c r="I14" s="347"/>
      <c r="J14" s="525">
        <f>'BCC D1(26)'!X13</f>
        <v>14</v>
      </c>
      <c r="K14" s="335">
        <f>ROUND(J14*1.0736,2)</f>
        <v>15.03</v>
      </c>
      <c r="L14" s="347"/>
      <c r="M14" s="347"/>
      <c r="N14" s="347"/>
      <c r="O14" s="347"/>
      <c r="P14" s="347"/>
      <c r="Q14" s="347"/>
      <c r="R14" s="336">
        <f>'BCC D1(26)'!X91</f>
        <v>10</v>
      </c>
      <c r="S14" s="336">
        <f>ROUND(R14*1.3147,2)</f>
        <v>13.15</v>
      </c>
      <c r="T14" s="347"/>
      <c r="U14" s="336"/>
      <c r="V14" s="348"/>
      <c r="W14" s="338"/>
      <c r="X14" s="348">
        <f>ROUND(VLOOKUP(B14,'BCC D1(26)'!$B$12:$V$79,21,0),0)</f>
        <v>1</v>
      </c>
      <c r="Y14" s="338">
        <f t="shared" si="0"/>
        <v>0.5</v>
      </c>
      <c r="Z14" s="348">
        <f>VLOOKUP(B14,'BCC D1(26)'!$B$12:$W$88,22,0)</f>
        <v>1</v>
      </c>
      <c r="AA14" s="338">
        <f>ROUND(Z14*1.0956,2)</f>
        <v>1.1000000000000001</v>
      </c>
      <c r="AB14" s="333">
        <f t="shared" si="1"/>
        <v>29.78</v>
      </c>
      <c r="AC14" s="350"/>
      <c r="AD14" s="483"/>
      <c r="AF14" s="516" t="s">
        <v>59</v>
      </c>
    </row>
    <row r="15" spans="1:235" s="240" customFormat="1" ht="27.95" customHeight="1">
      <c r="A15" s="523">
        <f t="shared" si="2"/>
        <v>3</v>
      </c>
      <c r="B15" s="545" t="s">
        <v>60</v>
      </c>
      <c r="C15" s="332" t="s">
        <v>61</v>
      </c>
      <c r="D15" s="520"/>
      <c r="E15" s="520"/>
      <c r="F15" s="520"/>
      <c r="G15" s="520"/>
      <c r="H15" s="347"/>
      <c r="I15" s="347"/>
      <c r="J15" s="525"/>
      <c r="K15" s="335"/>
      <c r="L15" s="347"/>
      <c r="M15" s="347"/>
      <c r="N15" s="348">
        <f>'BCC D1(26)'!X14</f>
        <v>13</v>
      </c>
      <c r="O15" s="335">
        <f>ROUND(N15*0.9704,2)</f>
        <v>12.62</v>
      </c>
      <c r="P15" s="347"/>
      <c r="Q15" s="347"/>
      <c r="R15" s="336"/>
      <c r="S15" s="336"/>
      <c r="T15" s="347"/>
      <c r="U15" s="336"/>
      <c r="V15" s="348"/>
      <c r="W15" s="338"/>
      <c r="X15" s="348">
        <f>ROUND(VLOOKUP(B15,'BCC D1(26)'!$B$12:$V$79,21,0),0)</f>
        <v>1</v>
      </c>
      <c r="Y15" s="338">
        <f t="shared" si="0"/>
        <v>0.5</v>
      </c>
      <c r="Z15" s="348">
        <f>VLOOKUP(B15,'BCC D1(26)'!$B$12:$W$88,22,0)</f>
        <v>1</v>
      </c>
      <c r="AA15" s="338">
        <f t="shared" ref="AA15:AA76" si="3">ROUND(Z15*1.0956,2)</f>
        <v>1.1000000000000001</v>
      </c>
      <c r="AB15" s="333">
        <f t="shared" si="1"/>
        <v>14.219999999999999</v>
      </c>
      <c r="AC15" s="350"/>
      <c r="AD15" s="483"/>
      <c r="AF15" s="516"/>
    </row>
    <row r="16" spans="1:235" s="240" customFormat="1" ht="27.95" customHeight="1">
      <c r="A16" s="523">
        <f t="shared" si="2"/>
        <v>4</v>
      </c>
      <c r="B16" s="547" t="s">
        <v>62</v>
      </c>
      <c r="C16" s="548" t="s">
        <v>63</v>
      </c>
      <c r="D16" s="524"/>
      <c r="E16" s="524"/>
      <c r="F16" s="524"/>
      <c r="G16" s="524"/>
      <c r="H16" s="347"/>
      <c r="I16" s="347"/>
      <c r="J16" s="347"/>
      <c r="K16" s="347"/>
      <c r="L16" s="336">
        <f>SUM('BCC D1(26)'!X15:X16)</f>
        <v>20.5</v>
      </c>
      <c r="M16" s="338">
        <f t="shared" ref="M16:M17" si="4">ROUND(L16*1.426,2)</f>
        <v>29.23</v>
      </c>
      <c r="N16" s="347"/>
      <c r="O16" s="347"/>
      <c r="P16" s="347"/>
      <c r="Q16" s="347"/>
      <c r="R16" s="348"/>
      <c r="S16" s="348"/>
      <c r="T16" s="347"/>
      <c r="U16" s="348"/>
      <c r="V16" s="348"/>
      <c r="W16" s="338"/>
      <c r="X16" s="348">
        <f>ROUND(VLOOKUP(B16,'BCC D1(26)'!$B$12:$V$79,21,0),0)</f>
        <v>1</v>
      </c>
      <c r="Y16" s="338">
        <f t="shared" si="0"/>
        <v>0.5</v>
      </c>
      <c r="Z16" s="348">
        <f>VLOOKUP(B16,'BCC D1(26)'!$B$12:$W$88,22,0)</f>
        <v>1</v>
      </c>
      <c r="AA16" s="338">
        <f t="shared" si="3"/>
        <v>1.1000000000000001</v>
      </c>
      <c r="AB16" s="333">
        <f t="shared" si="1"/>
        <v>30.830000000000002</v>
      </c>
      <c r="AC16" s="350"/>
      <c r="AD16" s="483"/>
      <c r="AF16" s="516"/>
    </row>
    <row r="17" spans="1:32" s="240" customFormat="1" ht="27.95" customHeight="1">
      <c r="A17" s="523">
        <f t="shared" si="2"/>
        <v>5</v>
      </c>
      <c r="B17" s="545" t="s">
        <v>64</v>
      </c>
      <c r="C17" s="332" t="s">
        <v>65</v>
      </c>
      <c r="D17" s="520"/>
      <c r="E17" s="520"/>
      <c r="F17" s="520"/>
      <c r="G17" s="520"/>
      <c r="H17" s="347"/>
      <c r="I17" s="347"/>
      <c r="J17" s="347"/>
      <c r="K17" s="347"/>
      <c r="L17" s="336">
        <f>SUM('BCC D1(26)'!X17:X18)</f>
        <v>16.5</v>
      </c>
      <c r="M17" s="338">
        <f t="shared" si="4"/>
        <v>23.53</v>
      </c>
      <c r="N17" s="347"/>
      <c r="O17" s="347"/>
      <c r="P17" s="348"/>
      <c r="Q17" s="348"/>
      <c r="R17" s="348"/>
      <c r="S17" s="348"/>
      <c r="T17" s="347"/>
      <c r="U17" s="348"/>
      <c r="V17" s="348"/>
      <c r="W17" s="338"/>
      <c r="X17" s="348">
        <f>ROUND(VLOOKUP(B17,'BCC D1(26)'!$B$12:$V$79,21,0),0)</f>
        <v>1</v>
      </c>
      <c r="Y17" s="338">
        <f t="shared" si="0"/>
        <v>0.5</v>
      </c>
      <c r="Z17" s="348">
        <f>VLOOKUP(B17,'BCC D1(26)'!$B$12:$W$88,22,0)</f>
        <v>1</v>
      </c>
      <c r="AA17" s="338">
        <f t="shared" si="3"/>
        <v>1.1000000000000001</v>
      </c>
      <c r="AB17" s="333">
        <f t="shared" si="1"/>
        <v>25.130000000000003</v>
      </c>
      <c r="AC17" s="350"/>
      <c r="AD17" s="483"/>
      <c r="AF17" s="516"/>
    </row>
    <row r="18" spans="1:32" s="240" customFormat="1" ht="27.95" customHeight="1">
      <c r="A18" s="523">
        <f t="shared" si="2"/>
        <v>6</v>
      </c>
      <c r="B18" s="549" t="s">
        <v>66</v>
      </c>
      <c r="C18" s="550" t="s">
        <v>67</v>
      </c>
      <c r="D18" s="520"/>
      <c r="E18" s="520"/>
      <c r="F18" s="520"/>
      <c r="G18" s="520"/>
      <c r="H18" s="333"/>
      <c r="I18" s="333"/>
      <c r="J18" s="520"/>
      <c r="K18" s="520"/>
      <c r="L18" s="520"/>
      <c r="M18" s="520"/>
      <c r="N18" s="520"/>
      <c r="O18" s="520"/>
      <c r="P18" s="336">
        <f>SUM('BCC D1(26)'!X19:X20)</f>
        <v>20.5</v>
      </c>
      <c r="Q18" s="336">
        <f>ROUND(P18*1.4353,2)</f>
        <v>29.42</v>
      </c>
      <c r="R18" s="348"/>
      <c r="S18" s="348"/>
      <c r="T18" s="347"/>
      <c r="U18" s="348"/>
      <c r="V18" s="348"/>
      <c r="W18" s="338"/>
      <c r="X18" s="348">
        <f>ROUND(VLOOKUP(B18,'BCC D1(26)'!$B$12:$V$79,21,0),0)</f>
        <v>1</v>
      </c>
      <c r="Y18" s="338">
        <f t="shared" si="0"/>
        <v>0.5</v>
      </c>
      <c r="Z18" s="348">
        <f>VLOOKUP(B18,'BCC D1(26)'!$B$12:$W$88,22,0)</f>
        <v>1</v>
      </c>
      <c r="AA18" s="338">
        <f t="shared" si="3"/>
        <v>1.1000000000000001</v>
      </c>
      <c r="AB18" s="333">
        <f t="shared" si="1"/>
        <v>31.020000000000003</v>
      </c>
      <c r="AC18" s="350"/>
      <c r="AD18" s="483"/>
      <c r="AF18" s="516"/>
    </row>
    <row r="19" spans="1:32" s="240" customFormat="1" ht="27.95" customHeight="1">
      <c r="A19" s="523">
        <f t="shared" si="2"/>
        <v>7</v>
      </c>
      <c r="B19" s="710" t="s">
        <v>68</v>
      </c>
      <c r="C19" s="711" t="s">
        <v>69</v>
      </c>
      <c r="D19" s="518"/>
      <c r="E19" s="518"/>
      <c r="F19" s="520">
        <f>ROUND(1.15*VLOOKUP(B19,'BPHAN CHIA '!$B$179:$U$200,20,0),2)</f>
        <v>10.94</v>
      </c>
      <c r="G19" s="520">
        <f t="shared" ref="G19:G38" si="5">ROUND(F19*1.0956,2)</f>
        <v>11.99</v>
      </c>
      <c r="H19" s="333"/>
      <c r="I19" s="333"/>
      <c r="J19" s="520"/>
      <c r="K19" s="520"/>
      <c r="L19" s="520"/>
      <c r="M19" s="520"/>
      <c r="N19" s="520"/>
      <c r="O19" s="520"/>
      <c r="P19" s="336"/>
      <c r="Q19" s="336"/>
      <c r="R19" s="348"/>
      <c r="S19" s="348"/>
      <c r="T19" s="348">
        <f>VLOOKUP(B19,'BCC D1(26)'!$B$93:$X$100,23,0)</f>
        <v>1</v>
      </c>
      <c r="U19" s="338">
        <f>ROUND(T19*0.9391,2)</f>
        <v>0.94</v>
      </c>
      <c r="V19" s="348">
        <f>ROUND(VLOOKUP(B19,'BCC D1(26)'!$B$102:$X$114,23,0),0)</f>
        <v>5</v>
      </c>
      <c r="W19" s="338">
        <f t="shared" ref="W19:W73" si="6">ROUND(V19*1.2501,2)</f>
        <v>6.25</v>
      </c>
      <c r="X19" s="348">
        <f>ROUND(VLOOKUP(B19,'BCC D1(26)'!$B$12:$V$79,21,0),0)</f>
        <v>1</v>
      </c>
      <c r="Y19" s="338">
        <f t="shared" si="0"/>
        <v>0.5</v>
      </c>
      <c r="Z19" s="348">
        <f>VLOOKUP(B19,'BCC D1(26)'!$B$12:$W$88,22,0)</f>
        <v>1</v>
      </c>
      <c r="AA19" s="338">
        <f t="shared" si="3"/>
        <v>1.1000000000000001</v>
      </c>
      <c r="AB19" s="333">
        <f t="shared" si="1"/>
        <v>20.78</v>
      </c>
      <c r="AC19" s="350"/>
      <c r="AD19" s="483"/>
      <c r="AF19" s="516"/>
    </row>
    <row r="20" spans="1:32" s="240" customFormat="1" ht="27.95" customHeight="1">
      <c r="A20" s="523">
        <f t="shared" si="2"/>
        <v>8</v>
      </c>
      <c r="B20" s="545" t="s">
        <v>70</v>
      </c>
      <c r="C20" s="566" t="s">
        <v>71</v>
      </c>
      <c r="D20" s="518"/>
      <c r="E20" s="518"/>
      <c r="F20" s="520">
        <f>ROUND(VLOOKUP(B20,'BPHAN CHIA '!$B$179:$U$200,20,0),2)</f>
        <v>9.51</v>
      </c>
      <c r="G20" s="520">
        <f t="shared" si="5"/>
        <v>10.42</v>
      </c>
      <c r="H20" s="333"/>
      <c r="I20" s="333"/>
      <c r="J20" s="520"/>
      <c r="K20" s="520"/>
      <c r="L20" s="520"/>
      <c r="M20" s="520"/>
      <c r="N20" s="520"/>
      <c r="O20" s="520"/>
      <c r="P20" s="336"/>
      <c r="Q20" s="336"/>
      <c r="R20" s="348"/>
      <c r="S20" s="348"/>
      <c r="T20" s="347"/>
      <c r="U20" s="348"/>
      <c r="V20" s="348"/>
      <c r="W20" s="338"/>
      <c r="X20" s="348">
        <f>ROUND(VLOOKUP(B20,'BCC D1(26)'!$B$12:$V$79,21,0),0)</f>
        <v>1</v>
      </c>
      <c r="Y20" s="338">
        <f t="shared" si="0"/>
        <v>0.5</v>
      </c>
      <c r="Z20" s="348">
        <f>VLOOKUP(B20,'BCC D1(26)'!$B$12:$W$88,22,0)</f>
        <v>1</v>
      </c>
      <c r="AA20" s="338">
        <f t="shared" si="3"/>
        <v>1.1000000000000001</v>
      </c>
      <c r="AB20" s="333">
        <f t="shared" si="1"/>
        <v>12.02</v>
      </c>
      <c r="AC20" s="350"/>
      <c r="AD20" s="483"/>
      <c r="AF20" s="516"/>
    </row>
    <row r="21" spans="1:32" s="240" customFormat="1" ht="27.95" customHeight="1">
      <c r="A21" s="523">
        <f t="shared" si="2"/>
        <v>9</v>
      </c>
      <c r="B21" s="545" t="s">
        <v>74</v>
      </c>
      <c r="C21" s="712" t="s">
        <v>75</v>
      </c>
      <c r="D21" s="518"/>
      <c r="E21" s="522"/>
      <c r="F21" s="520">
        <f>ROUND(VLOOKUP(B21,'BPHAN CHIA '!$B$179:$U$200,20,0),2)</f>
        <v>7.62</v>
      </c>
      <c r="G21" s="520">
        <f t="shared" si="5"/>
        <v>8.35</v>
      </c>
      <c r="H21" s="333"/>
      <c r="I21" s="333"/>
      <c r="J21" s="520"/>
      <c r="K21" s="520"/>
      <c r="L21" s="520"/>
      <c r="M21" s="520"/>
      <c r="N21" s="520"/>
      <c r="O21" s="520"/>
      <c r="P21" s="336"/>
      <c r="Q21" s="336"/>
      <c r="R21" s="348"/>
      <c r="S21" s="348"/>
      <c r="T21" s="347"/>
      <c r="U21" s="348"/>
      <c r="V21" s="348"/>
      <c r="W21" s="338"/>
      <c r="X21" s="348">
        <f>ROUND(VLOOKUP(B21,'BCC D1(26)'!$B$12:$V$79,21,0),0)</f>
        <v>1</v>
      </c>
      <c r="Y21" s="338">
        <f t="shared" si="0"/>
        <v>0.5</v>
      </c>
      <c r="Z21" s="348">
        <f>VLOOKUP(B21,'BCC D1(26)'!$B$12:$W$88,22,0)</f>
        <v>1</v>
      </c>
      <c r="AA21" s="338">
        <f t="shared" si="3"/>
        <v>1.1000000000000001</v>
      </c>
      <c r="AB21" s="333">
        <f t="shared" si="1"/>
        <v>9.9499999999999993</v>
      </c>
      <c r="AC21" s="350"/>
      <c r="AD21" s="483"/>
      <c r="AF21" s="516"/>
    </row>
    <row r="22" spans="1:32" s="240" customFormat="1" ht="27.95" customHeight="1">
      <c r="A22" s="523">
        <f t="shared" si="2"/>
        <v>10</v>
      </c>
      <c r="B22" s="545" t="s">
        <v>76</v>
      </c>
      <c r="C22" s="713" t="s">
        <v>77</v>
      </c>
      <c r="D22" s="518"/>
      <c r="E22" s="522"/>
      <c r="F22" s="520">
        <f>ROUND(VLOOKUP(B22,'BPHAN CHIA '!$B$179:$U$200,20,0),2)</f>
        <v>9.51</v>
      </c>
      <c r="G22" s="520">
        <f t="shared" si="5"/>
        <v>10.42</v>
      </c>
      <c r="H22" s="333"/>
      <c r="I22" s="333"/>
      <c r="J22" s="520"/>
      <c r="K22" s="520"/>
      <c r="L22" s="520"/>
      <c r="M22" s="520"/>
      <c r="N22" s="520"/>
      <c r="O22" s="520"/>
      <c r="P22" s="336"/>
      <c r="Q22" s="336"/>
      <c r="R22" s="348"/>
      <c r="S22" s="348"/>
      <c r="T22" s="348">
        <f>VLOOKUP(B22,'BCC D1(26)'!$B$93:$X$100,23,0)</f>
        <v>1</v>
      </c>
      <c r="U22" s="338">
        <f>ROUND(T22*0.9391,2)</f>
        <v>0.94</v>
      </c>
      <c r="V22" s="348"/>
      <c r="W22" s="338"/>
      <c r="X22" s="348">
        <f>ROUND(VLOOKUP(B22,'BCC D1(26)'!$B$12:$V$79,21,0),0)</f>
        <v>1</v>
      </c>
      <c r="Y22" s="338">
        <f t="shared" si="0"/>
        <v>0.5</v>
      </c>
      <c r="Z22" s="348">
        <f>VLOOKUP(B22,'BCC D1(26)'!$B$12:$W$88,22,0)</f>
        <v>1</v>
      </c>
      <c r="AA22" s="338">
        <f t="shared" si="3"/>
        <v>1.1000000000000001</v>
      </c>
      <c r="AB22" s="333">
        <f t="shared" si="1"/>
        <v>12.959999999999999</v>
      </c>
      <c r="AC22" s="350"/>
      <c r="AD22" s="483"/>
      <c r="AF22" s="516"/>
    </row>
    <row r="23" spans="1:32" s="240" customFormat="1" ht="27.95" customHeight="1">
      <c r="A23" s="523">
        <f t="shared" si="2"/>
        <v>11</v>
      </c>
      <c r="B23" s="545" t="s">
        <v>78</v>
      </c>
      <c r="C23" s="714" t="s">
        <v>79</v>
      </c>
      <c r="D23" s="518"/>
      <c r="E23" s="518"/>
      <c r="F23" s="520">
        <f>ROUND(VLOOKUP(B23,'BPHAN CHIA '!$B$179:$U$200,20,0),2)</f>
        <v>7.27</v>
      </c>
      <c r="G23" s="520">
        <f t="shared" si="5"/>
        <v>7.97</v>
      </c>
      <c r="H23" s="333"/>
      <c r="I23" s="333"/>
      <c r="J23" s="520"/>
      <c r="K23" s="520"/>
      <c r="L23" s="520"/>
      <c r="M23" s="520"/>
      <c r="N23" s="520"/>
      <c r="O23" s="520"/>
      <c r="P23" s="336"/>
      <c r="Q23" s="336"/>
      <c r="R23" s="348"/>
      <c r="S23" s="348"/>
      <c r="T23" s="347"/>
      <c r="U23" s="348"/>
      <c r="V23" s="348"/>
      <c r="W23" s="338"/>
      <c r="X23" s="348">
        <f>ROUND(VLOOKUP(B23,'BCC D1(26)'!$B$12:$V$79,21,0),0)</f>
        <v>1</v>
      </c>
      <c r="Y23" s="338">
        <f t="shared" si="0"/>
        <v>0.5</v>
      </c>
      <c r="Z23" s="348">
        <f>VLOOKUP(B23,'BCC D1(26)'!$B$12:$W$88,22,0)</f>
        <v>1</v>
      </c>
      <c r="AA23" s="338">
        <f t="shared" si="3"/>
        <v>1.1000000000000001</v>
      </c>
      <c r="AB23" s="333">
        <f t="shared" si="1"/>
        <v>9.5699999999999985</v>
      </c>
      <c r="AC23" s="350"/>
      <c r="AD23" s="483"/>
      <c r="AF23" s="516"/>
    </row>
    <row r="24" spans="1:32" s="240" customFormat="1" ht="27.95" customHeight="1">
      <c r="A24" s="523">
        <f t="shared" si="2"/>
        <v>12</v>
      </c>
      <c r="B24" s="545" t="s">
        <v>80</v>
      </c>
      <c r="C24" s="714" t="s">
        <v>81</v>
      </c>
      <c r="D24" s="518"/>
      <c r="E24" s="518"/>
      <c r="F24" s="520">
        <f>ROUND(VLOOKUP(B24,'BPHAN CHIA '!$B$179:$U$200,20,0),2)</f>
        <v>7.27</v>
      </c>
      <c r="G24" s="520">
        <f t="shared" si="5"/>
        <v>7.97</v>
      </c>
      <c r="H24" s="333"/>
      <c r="I24" s="333"/>
      <c r="J24" s="520"/>
      <c r="K24" s="520"/>
      <c r="L24" s="520"/>
      <c r="M24" s="520"/>
      <c r="N24" s="520"/>
      <c r="O24" s="520"/>
      <c r="P24" s="336"/>
      <c r="Q24" s="336"/>
      <c r="R24" s="348"/>
      <c r="S24" s="348"/>
      <c r="T24" s="347"/>
      <c r="U24" s="348"/>
      <c r="V24" s="348"/>
      <c r="W24" s="338"/>
      <c r="X24" s="348">
        <f>ROUND(VLOOKUP(B24,'BCC D1(26)'!$B$12:$V$79,21,0),0)</f>
        <v>1</v>
      </c>
      <c r="Y24" s="338">
        <f t="shared" si="0"/>
        <v>0.5</v>
      </c>
      <c r="Z24" s="348">
        <f>VLOOKUP(B24,'BCC D1(26)'!$B$12:$W$88,22,0)</f>
        <v>1</v>
      </c>
      <c r="AA24" s="338">
        <f t="shared" si="3"/>
        <v>1.1000000000000001</v>
      </c>
      <c r="AB24" s="333">
        <f t="shared" si="1"/>
        <v>9.5699999999999985</v>
      </c>
      <c r="AC24" s="350"/>
      <c r="AD24" s="483"/>
      <c r="AF24" s="516"/>
    </row>
    <row r="25" spans="1:32" s="240" customFormat="1" ht="27.95" customHeight="1">
      <c r="A25" s="523">
        <f t="shared" si="2"/>
        <v>13</v>
      </c>
      <c r="B25" s="545" t="s">
        <v>82</v>
      </c>
      <c r="C25" s="714" t="s">
        <v>83</v>
      </c>
      <c r="D25" s="518"/>
      <c r="E25" s="520"/>
      <c r="F25" s="520">
        <f>ROUND(VLOOKUP(B25,'BPHAN CHIA '!$B$179:$U$200,20,0),2)</f>
        <v>9.51</v>
      </c>
      <c r="G25" s="520">
        <f t="shared" si="5"/>
        <v>10.42</v>
      </c>
      <c r="H25" s="333"/>
      <c r="I25" s="333"/>
      <c r="J25" s="520"/>
      <c r="K25" s="520"/>
      <c r="L25" s="520"/>
      <c r="M25" s="520"/>
      <c r="N25" s="520"/>
      <c r="O25" s="520"/>
      <c r="P25" s="336"/>
      <c r="Q25" s="336"/>
      <c r="R25" s="348"/>
      <c r="S25" s="348"/>
      <c r="T25" s="347"/>
      <c r="U25" s="348"/>
      <c r="V25" s="348"/>
      <c r="W25" s="338"/>
      <c r="X25" s="348">
        <f>ROUND(VLOOKUP(B25,'BCC D1(26)'!$B$12:$V$79,21,0),0)</f>
        <v>1</v>
      </c>
      <c r="Y25" s="338">
        <f t="shared" si="0"/>
        <v>0.5</v>
      </c>
      <c r="Z25" s="341">
        <f>VLOOKUP(B25,'BCC D1(26)'!$B$12:$W$88,22,0)</f>
        <v>0</v>
      </c>
      <c r="AA25" s="781">
        <f t="shared" si="3"/>
        <v>0</v>
      </c>
      <c r="AB25" s="333">
        <f t="shared" si="1"/>
        <v>10.92</v>
      </c>
      <c r="AC25" s="350"/>
      <c r="AD25" s="483"/>
      <c r="AF25" s="516"/>
    </row>
    <row r="26" spans="1:32" s="240" customFormat="1" ht="27.95" customHeight="1">
      <c r="A26" s="523">
        <f t="shared" si="2"/>
        <v>14</v>
      </c>
      <c r="B26" s="715" t="s">
        <v>84</v>
      </c>
      <c r="C26" s="716" t="s">
        <v>85</v>
      </c>
      <c r="D26" s="518"/>
      <c r="E26" s="522"/>
      <c r="F26" s="520">
        <f>ROUND(VLOOKUP(B26,'BPHAN CHIA '!$B$179:$U$200,20,0),2)</f>
        <v>1.86</v>
      </c>
      <c r="G26" s="520">
        <f t="shared" si="5"/>
        <v>2.04</v>
      </c>
      <c r="H26" s="333"/>
      <c r="I26" s="333"/>
      <c r="J26" s="520"/>
      <c r="K26" s="520"/>
      <c r="L26" s="520"/>
      <c r="M26" s="520"/>
      <c r="N26" s="520"/>
      <c r="O26" s="520"/>
      <c r="P26" s="336"/>
      <c r="Q26" s="336"/>
      <c r="R26" s="348"/>
      <c r="S26" s="348"/>
      <c r="T26" s="347"/>
      <c r="U26" s="348"/>
      <c r="V26" s="348"/>
      <c r="W26" s="338"/>
      <c r="X26" s="348">
        <f>ROUND(VLOOKUP(B26,'BCC D1(26)'!$B$12:$V$79,21,0),0)</f>
        <v>1</v>
      </c>
      <c r="Y26" s="338">
        <f t="shared" si="0"/>
        <v>0.5</v>
      </c>
      <c r="Z26" s="341">
        <f>VLOOKUP(B26,'BCC D1(26)'!$B$12:$W$88,22,0)</f>
        <v>0</v>
      </c>
      <c r="AA26" s="781">
        <f t="shared" si="3"/>
        <v>0</v>
      </c>
      <c r="AB26" s="333">
        <f t="shared" si="1"/>
        <v>2.54</v>
      </c>
      <c r="AC26" s="350"/>
      <c r="AD26" s="483"/>
      <c r="AF26" s="516"/>
    </row>
    <row r="27" spans="1:32" s="240" customFormat="1" ht="27.95" customHeight="1">
      <c r="A27" s="523">
        <f t="shared" si="2"/>
        <v>15</v>
      </c>
      <c r="B27" s="717" t="s">
        <v>86</v>
      </c>
      <c r="C27" s="718" t="s">
        <v>87</v>
      </c>
      <c r="D27" s="518"/>
      <c r="E27" s="520"/>
      <c r="F27" s="520">
        <f>ROUND(VLOOKUP(B27,'BPHAN CHIA '!$B$179:$U$200,20,0),2)</f>
        <v>7.66</v>
      </c>
      <c r="G27" s="520">
        <f t="shared" si="5"/>
        <v>8.39</v>
      </c>
      <c r="H27" s="333"/>
      <c r="I27" s="333"/>
      <c r="J27" s="520"/>
      <c r="K27" s="520"/>
      <c r="L27" s="520"/>
      <c r="M27" s="520"/>
      <c r="N27" s="520"/>
      <c r="O27" s="520"/>
      <c r="P27" s="336"/>
      <c r="Q27" s="336"/>
      <c r="R27" s="348"/>
      <c r="S27" s="348"/>
      <c r="T27" s="347"/>
      <c r="U27" s="348"/>
      <c r="V27" s="348"/>
      <c r="W27" s="338"/>
      <c r="X27" s="348">
        <f>ROUND(VLOOKUP(B27,'BCC D1(26)'!$B$12:$V$79,21,0),0)</f>
        <v>1</v>
      </c>
      <c r="Y27" s="338">
        <f t="shared" si="0"/>
        <v>0.5</v>
      </c>
      <c r="Z27" s="341">
        <f>VLOOKUP(B27,'BCC D1(26)'!$B$12:$W$88,22,0)</f>
        <v>0</v>
      </c>
      <c r="AA27" s="781">
        <f t="shared" si="3"/>
        <v>0</v>
      </c>
      <c r="AB27" s="333">
        <f t="shared" si="1"/>
        <v>8.89</v>
      </c>
      <c r="AC27" s="350"/>
      <c r="AD27" s="483"/>
      <c r="AF27" s="516"/>
    </row>
    <row r="28" spans="1:32" s="240" customFormat="1" ht="27.95" customHeight="1">
      <c r="A28" s="523">
        <f t="shared" si="2"/>
        <v>16</v>
      </c>
      <c r="B28" s="717" t="s">
        <v>88</v>
      </c>
      <c r="C28" s="719" t="s">
        <v>89</v>
      </c>
      <c r="D28" s="518"/>
      <c r="E28" s="518"/>
      <c r="F28" s="520">
        <f>ROUND(VLOOKUP(B28,'BPHAN CHIA '!$B$179:$U$200,20,0),2)</f>
        <v>7.27</v>
      </c>
      <c r="G28" s="520">
        <f t="shared" si="5"/>
        <v>7.97</v>
      </c>
      <c r="H28" s="333"/>
      <c r="I28" s="333"/>
      <c r="J28" s="520"/>
      <c r="K28" s="520"/>
      <c r="L28" s="520"/>
      <c r="M28" s="520"/>
      <c r="N28" s="520"/>
      <c r="O28" s="520"/>
      <c r="P28" s="336"/>
      <c r="Q28" s="336"/>
      <c r="R28" s="348"/>
      <c r="S28" s="348"/>
      <c r="T28" s="347"/>
      <c r="U28" s="348"/>
      <c r="V28" s="348">
        <f>ROUND(VLOOKUP(B28,'BCC D1(26)'!$B$102:$X$114,23,0),0)</f>
        <v>5</v>
      </c>
      <c r="W28" s="338">
        <f t="shared" si="6"/>
        <v>6.25</v>
      </c>
      <c r="X28" s="348">
        <f>ROUND(VLOOKUP(B28,'BCC D1(26)'!$B$12:$V$79,21,0),0)</f>
        <v>1</v>
      </c>
      <c r="Y28" s="338">
        <f t="shared" si="0"/>
        <v>0.5</v>
      </c>
      <c r="Z28" s="348">
        <f>VLOOKUP(B28,'BCC D1(26)'!$B$12:$W$88,22,0)</f>
        <v>1</v>
      </c>
      <c r="AA28" s="338">
        <f t="shared" si="3"/>
        <v>1.1000000000000001</v>
      </c>
      <c r="AB28" s="333">
        <f t="shared" si="1"/>
        <v>15.819999999999999</v>
      </c>
      <c r="AC28" s="350"/>
      <c r="AD28" s="483"/>
      <c r="AF28" s="516"/>
    </row>
    <row r="29" spans="1:32" s="296" customFormat="1" ht="27.95" customHeight="1">
      <c r="A29" s="523">
        <f t="shared" si="2"/>
        <v>17</v>
      </c>
      <c r="B29" s="549" t="s">
        <v>90</v>
      </c>
      <c r="C29" s="566" t="s">
        <v>91</v>
      </c>
      <c r="D29" s="518"/>
      <c r="E29" s="522"/>
      <c r="F29" s="520">
        <f>ROUND(VLOOKUP(B29,'BPHAN CHIA '!$B$179:$U$200,20,0),2)</f>
        <v>9.51</v>
      </c>
      <c r="G29" s="520">
        <f t="shared" si="5"/>
        <v>10.42</v>
      </c>
      <c r="H29" s="333"/>
      <c r="I29" s="333"/>
      <c r="J29" s="520"/>
      <c r="K29" s="520"/>
      <c r="L29" s="520"/>
      <c r="M29" s="520"/>
      <c r="N29" s="520"/>
      <c r="O29" s="520"/>
      <c r="P29" s="336"/>
      <c r="Q29" s="336"/>
      <c r="R29" s="348"/>
      <c r="S29" s="348"/>
      <c r="T29" s="347"/>
      <c r="U29" s="348"/>
      <c r="V29" s="348"/>
      <c r="W29" s="338"/>
      <c r="X29" s="348">
        <f>ROUND(VLOOKUP(B29,'BCC D1(26)'!$B$12:$V$79,21,0),0)</f>
        <v>1</v>
      </c>
      <c r="Y29" s="338">
        <f t="shared" si="0"/>
        <v>0.5</v>
      </c>
      <c r="Z29" s="348">
        <f>VLOOKUP(B29,'BCC D1(26)'!$B$12:$W$88,22,0)</f>
        <v>1</v>
      </c>
      <c r="AA29" s="338">
        <f t="shared" si="3"/>
        <v>1.1000000000000001</v>
      </c>
      <c r="AB29" s="333">
        <f t="shared" si="1"/>
        <v>12.02</v>
      </c>
      <c r="AC29" s="350"/>
      <c r="AD29" s="342"/>
      <c r="AF29" s="521"/>
    </row>
    <row r="30" spans="1:32" s="240" customFormat="1" ht="27.95" customHeight="1">
      <c r="A30" s="519">
        <f t="shared" si="2"/>
        <v>18</v>
      </c>
      <c r="B30" s="720" t="s">
        <v>92</v>
      </c>
      <c r="C30" s="721" t="s">
        <v>93</v>
      </c>
      <c r="D30" s="518"/>
      <c r="E30" s="517"/>
      <c r="F30" s="520">
        <f>ROUND(VLOOKUP(B30,'BPHAN CHIA '!$B$179:$U$200,20,0),2)</f>
        <v>7.66</v>
      </c>
      <c r="G30" s="520">
        <f t="shared" si="5"/>
        <v>8.39</v>
      </c>
      <c r="H30" s="333"/>
      <c r="I30" s="333"/>
      <c r="J30" s="517"/>
      <c r="K30" s="517"/>
      <c r="L30" s="517"/>
      <c r="M30" s="517"/>
      <c r="N30" s="517"/>
      <c r="O30" s="517"/>
      <c r="P30" s="338"/>
      <c r="Q30" s="338"/>
      <c r="R30" s="337"/>
      <c r="S30" s="337"/>
      <c r="T30" s="347"/>
      <c r="U30" s="337"/>
      <c r="V30" s="348"/>
      <c r="W30" s="338"/>
      <c r="X30" s="348">
        <f>ROUND(VLOOKUP(B30,'BCC D1(26)'!$B$12:$V$79,21,0),0)</f>
        <v>1</v>
      </c>
      <c r="Y30" s="338">
        <f t="shared" si="0"/>
        <v>0.5</v>
      </c>
      <c r="Z30" s="348">
        <f>VLOOKUP(B30,'BCC D1(26)'!$B$12:$W$88,22,0)</f>
        <v>1</v>
      </c>
      <c r="AA30" s="338">
        <f t="shared" si="3"/>
        <v>1.1000000000000001</v>
      </c>
      <c r="AB30" s="333">
        <f t="shared" si="1"/>
        <v>9.99</v>
      </c>
      <c r="AC30" s="334"/>
      <c r="AD30" s="483"/>
      <c r="AF30" s="516"/>
    </row>
    <row r="31" spans="1:32" s="240" customFormat="1" ht="27.95" customHeight="1">
      <c r="A31" s="519">
        <f t="shared" si="2"/>
        <v>19</v>
      </c>
      <c r="B31" s="720" t="s">
        <v>94</v>
      </c>
      <c r="C31" s="722" t="s">
        <v>95</v>
      </c>
      <c r="D31" s="518"/>
      <c r="E31" s="518"/>
      <c r="F31" s="520">
        <f>ROUND(VLOOKUP(B31,'BPHAN CHIA '!$B$179:$U$200,20,0),2)</f>
        <v>7.27</v>
      </c>
      <c r="G31" s="520">
        <f t="shared" si="5"/>
        <v>7.97</v>
      </c>
      <c r="H31" s="333"/>
      <c r="I31" s="333"/>
      <c r="J31" s="517"/>
      <c r="K31" s="517"/>
      <c r="L31" s="517"/>
      <c r="M31" s="517"/>
      <c r="N31" s="517"/>
      <c r="O31" s="517"/>
      <c r="P31" s="338"/>
      <c r="Q31" s="338"/>
      <c r="R31" s="337"/>
      <c r="S31" s="337"/>
      <c r="T31" s="347"/>
      <c r="U31" s="337"/>
      <c r="V31" s="348">
        <f>ROUND(VLOOKUP(B31,'BCC D1(26)'!$B$102:$X$114,23,0),0)</f>
        <v>5</v>
      </c>
      <c r="W31" s="338">
        <f t="shared" si="6"/>
        <v>6.25</v>
      </c>
      <c r="X31" s="348">
        <f>ROUND(VLOOKUP(B31,'BCC D1(26)'!$B$12:$V$79,21,0),0)</f>
        <v>1</v>
      </c>
      <c r="Y31" s="338">
        <f t="shared" si="0"/>
        <v>0.5</v>
      </c>
      <c r="Z31" s="348">
        <f>VLOOKUP(B31,'BCC D1(26)'!$B$12:$W$88,22,0)</f>
        <v>1</v>
      </c>
      <c r="AA31" s="338">
        <f t="shared" si="3"/>
        <v>1.1000000000000001</v>
      </c>
      <c r="AB31" s="333">
        <f t="shared" si="1"/>
        <v>15.819999999999999</v>
      </c>
      <c r="AC31" s="334"/>
      <c r="AD31" s="483"/>
      <c r="AF31" s="516"/>
    </row>
    <row r="32" spans="1:32" s="240" customFormat="1" ht="27.95" customHeight="1">
      <c r="A32" s="519">
        <f t="shared" si="2"/>
        <v>20</v>
      </c>
      <c r="B32" s="720" t="s">
        <v>96</v>
      </c>
      <c r="C32" s="722" t="s">
        <v>97</v>
      </c>
      <c r="D32" s="518"/>
      <c r="E32" s="518"/>
      <c r="F32" s="520">
        <f>ROUND(VLOOKUP(B32,'BPHAN CHIA '!$B$179:$U$200,20,0),2)</f>
        <v>9.51</v>
      </c>
      <c r="G32" s="520">
        <f t="shared" si="5"/>
        <v>10.42</v>
      </c>
      <c r="H32" s="333"/>
      <c r="I32" s="333"/>
      <c r="J32" s="517"/>
      <c r="K32" s="517"/>
      <c r="L32" s="517"/>
      <c r="M32" s="517"/>
      <c r="N32" s="517"/>
      <c r="O32" s="517"/>
      <c r="P32" s="338"/>
      <c r="Q32" s="338"/>
      <c r="R32" s="337"/>
      <c r="S32" s="337"/>
      <c r="T32" s="347"/>
      <c r="U32" s="337"/>
      <c r="V32" s="348"/>
      <c r="W32" s="338"/>
      <c r="X32" s="348">
        <f>ROUND(VLOOKUP(B32,'BCC D1(26)'!$B$12:$V$79,21,0),0)</f>
        <v>1</v>
      </c>
      <c r="Y32" s="338">
        <f t="shared" si="0"/>
        <v>0.5</v>
      </c>
      <c r="Z32" s="341">
        <f>VLOOKUP(B32,'BCC D1(26)'!$B$12:$W$88,22,0)</f>
        <v>0</v>
      </c>
      <c r="AA32" s="781">
        <f t="shared" si="3"/>
        <v>0</v>
      </c>
      <c r="AB32" s="333">
        <f t="shared" si="1"/>
        <v>10.92</v>
      </c>
      <c r="AC32" s="334"/>
      <c r="AD32" s="483"/>
      <c r="AF32" s="516"/>
    </row>
    <row r="33" spans="1:32" s="240" customFormat="1" ht="27.95" customHeight="1">
      <c r="A33" s="519">
        <f t="shared" si="2"/>
        <v>21</v>
      </c>
      <c r="B33" s="720" t="s">
        <v>98</v>
      </c>
      <c r="C33" s="723" t="s">
        <v>99</v>
      </c>
      <c r="D33" s="518"/>
      <c r="E33" s="518"/>
      <c r="F33" s="520">
        <f>ROUND(VLOOKUP(B33,'BPHAN CHIA '!$B$179:$U$200,20,0),2)</f>
        <v>4.63</v>
      </c>
      <c r="G33" s="520">
        <f t="shared" si="5"/>
        <v>5.07</v>
      </c>
      <c r="H33" s="333"/>
      <c r="I33" s="333"/>
      <c r="J33" s="517"/>
      <c r="K33" s="517"/>
      <c r="L33" s="517"/>
      <c r="M33" s="517"/>
      <c r="N33" s="517"/>
      <c r="O33" s="517"/>
      <c r="P33" s="338"/>
      <c r="Q33" s="338"/>
      <c r="R33" s="337"/>
      <c r="S33" s="337"/>
      <c r="T33" s="347"/>
      <c r="U33" s="338"/>
      <c r="V33" s="348"/>
      <c r="W33" s="338"/>
      <c r="X33" s="348">
        <f>ROUND(VLOOKUP(B33,'BCC D1(26)'!$B$12:$V$79,21,0),0)</f>
        <v>1</v>
      </c>
      <c r="Y33" s="338">
        <f t="shared" si="0"/>
        <v>0.5</v>
      </c>
      <c r="Z33" s="348">
        <f>VLOOKUP(B33,'BCC D1(26)'!$B$12:$W$88,22,0)</f>
        <v>1</v>
      </c>
      <c r="AA33" s="338">
        <f t="shared" si="3"/>
        <v>1.1000000000000001</v>
      </c>
      <c r="AB33" s="333">
        <f t="shared" si="1"/>
        <v>6.67</v>
      </c>
      <c r="AC33" s="334"/>
      <c r="AD33" s="483"/>
      <c r="AF33" s="516"/>
    </row>
    <row r="34" spans="1:32" s="240" customFormat="1" ht="27.95" customHeight="1">
      <c r="A34" s="519">
        <f t="shared" si="2"/>
        <v>22</v>
      </c>
      <c r="B34" s="720" t="s">
        <v>100</v>
      </c>
      <c r="C34" s="723" t="s">
        <v>101</v>
      </c>
      <c r="D34" s="518"/>
      <c r="E34" s="517"/>
      <c r="F34" s="520">
        <f>ROUND(VLOOKUP(B34,'BPHAN CHIA '!$B$179:$U$200,20,0),2)</f>
        <v>9.51</v>
      </c>
      <c r="G34" s="520">
        <f t="shared" si="5"/>
        <v>10.42</v>
      </c>
      <c r="H34" s="333"/>
      <c r="I34" s="333"/>
      <c r="J34" s="517"/>
      <c r="K34" s="517"/>
      <c r="L34" s="517"/>
      <c r="M34" s="517"/>
      <c r="N34" s="517"/>
      <c r="O34" s="517"/>
      <c r="P34" s="338"/>
      <c r="Q34" s="338"/>
      <c r="R34" s="337"/>
      <c r="S34" s="337"/>
      <c r="T34" s="348">
        <f>VLOOKUP(B34,'BCC D1(26)'!$B$93:$X$100,23,0)</f>
        <v>1</v>
      </c>
      <c r="U34" s="338">
        <f>ROUND(T34*0.9391,2)</f>
        <v>0.94</v>
      </c>
      <c r="V34" s="348"/>
      <c r="W34" s="338"/>
      <c r="X34" s="348">
        <f>ROUND(VLOOKUP(B34,'BCC D1(26)'!$B$12:$V$79,21,0),0)</f>
        <v>1</v>
      </c>
      <c r="Y34" s="338">
        <f t="shared" si="0"/>
        <v>0.5</v>
      </c>
      <c r="Z34" s="348">
        <f>VLOOKUP(B34,'BCC D1(26)'!$B$12:$W$88,22,0)</f>
        <v>1</v>
      </c>
      <c r="AA34" s="338">
        <f t="shared" si="3"/>
        <v>1.1000000000000001</v>
      </c>
      <c r="AB34" s="333">
        <f t="shared" si="1"/>
        <v>12.959999999999999</v>
      </c>
      <c r="AC34" s="334"/>
      <c r="AD34" s="483"/>
      <c r="AF34" s="516"/>
    </row>
    <row r="35" spans="1:32" s="240" customFormat="1" ht="27.95" customHeight="1">
      <c r="A35" s="519">
        <f t="shared" si="2"/>
        <v>23</v>
      </c>
      <c r="B35" s="720" t="s">
        <v>102</v>
      </c>
      <c r="C35" s="723" t="s">
        <v>103</v>
      </c>
      <c r="D35" s="518"/>
      <c r="E35" s="518"/>
      <c r="F35" s="520">
        <f>ROUND(VLOOKUP(B35,'BPHAN CHIA '!$B$179:$U$200,20,0),2)</f>
        <v>7.77</v>
      </c>
      <c r="G35" s="520">
        <f t="shared" si="5"/>
        <v>8.51</v>
      </c>
      <c r="H35" s="333"/>
      <c r="I35" s="333"/>
      <c r="J35" s="517"/>
      <c r="K35" s="517"/>
      <c r="L35" s="517"/>
      <c r="M35" s="517"/>
      <c r="N35" s="517"/>
      <c r="O35" s="517"/>
      <c r="P35" s="338"/>
      <c r="Q35" s="338"/>
      <c r="R35" s="337"/>
      <c r="S35" s="337"/>
      <c r="T35" s="347"/>
      <c r="U35" s="337"/>
      <c r="V35" s="348">
        <f>ROUND(VLOOKUP(B35,'BCC D1(26)'!$B$102:$X$114,23,0),0)</f>
        <v>5</v>
      </c>
      <c r="W35" s="338">
        <f t="shared" si="6"/>
        <v>6.25</v>
      </c>
      <c r="X35" s="348">
        <f>ROUND(VLOOKUP(B35,'BCC D1(26)'!$B$12:$V$79,21,0),0)</f>
        <v>1</v>
      </c>
      <c r="Y35" s="338">
        <f t="shared" si="0"/>
        <v>0.5</v>
      </c>
      <c r="Z35" s="341">
        <f>VLOOKUP(B35,'BCC D1(26)'!$B$12:$W$88,22,0)</f>
        <v>0</v>
      </c>
      <c r="AA35" s="781">
        <f t="shared" si="3"/>
        <v>0</v>
      </c>
      <c r="AB35" s="333">
        <f t="shared" si="1"/>
        <v>15.26</v>
      </c>
      <c r="AC35" s="334"/>
      <c r="AD35" s="483"/>
      <c r="AF35" s="516"/>
    </row>
    <row r="36" spans="1:32" s="240" customFormat="1" ht="27.95" customHeight="1">
      <c r="A36" s="519">
        <f t="shared" si="2"/>
        <v>24</v>
      </c>
      <c r="B36" s="720" t="s">
        <v>104</v>
      </c>
      <c r="C36" s="724" t="s">
        <v>105</v>
      </c>
      <c r="D36" s="518"/>
      <c r="E36" s="518"/>
      <c r="F36" s="520">
        <f>ROUND(VLOOKUP(B36,'BPHAN CHIA '!$B$179:$U$200,20,0),2)</f>
        <v>7.77</v>
      </c>
      <c r="G36" s="520">
        <f t="shared" si="5"/>
        <v>8.51</v>
      </c>
      <c r="H36" s="333"/>
      <c r="I36" s="333"/>
      <c r="J36" s="517"/>
      <c r="K36" s="517"/>
      <c r="L36" s="517"/>
      <c r="M36" s="517"/>
      <c r="N36" s="517"/>
      <c r="O36" s="517"/>
      <c r="P36" s="338"/>
      <c r="Q36" s="338"/>
      <c r="R36" s="337"/>
      <c r="S36" s="337"/>
      <c r="T36" s="347"/>
      <c r="U36" s="337"/>
      <c r="V36" s="348"/>
      <c r="W36" s="338"/>
      <c r="X36" s="348">
        <f>ROUND(VLOOKUP(B36,'BCC D1(26)'!$B$12:$V$79,21,0),0)</f>
        <v>1</v>
      </c>
      <c r="Y36" s="338">
        <f t="shared" si="0"/>
        <v>0.5</v>
      </c>
      <c r="Z36" s="341">
        <f>VLOOKUP(B36,'BCC D1(26)'!$B$12:$W$88,22,0)</f>
        <v>0</v>
      </c>
      <c r="AA36" s="781">
        <f t="shared" si="3"/>
        <v>0</v>
      </c>
      <c r="AB36" s="333">
        <f t="shared" si="1"/>
        <v>9.01</v>
      </c>
      <c r="AC36" s="334"/>
      <c r="AD36" s="483"/>
      <c r="AF36" s="516"/>
    </row>
    <row r="37" spans="1:32" s="240" customFormat="1" ht="27.95" customHeight="1">
      <c r="A37" s="519">
        <f t="shared" si="2"/>
        <v>25</v>
      </c>
      <c r="B37" s="717" t="s">
        <v>219</v>
      </c>
      <c r="C37" s="724" t="s">
        <v>220</v>
      </c>
      <c r="D37" s="518"/>
      <c r="E37" s="517"/>
      <c r="F37" s="520">
        <f>ROUND(VLOOKUP(B37,'BPHAN CHIA '!$B$179:$U$200,20,0),2)+0.01</f>
        <v>9.52</v>
      </c>
      <c r="G37" s="520">
        <f t="shared" si="5"/>
        <v>10.43</v>
      </c>
      <c r="H37" s="333"/>
      <c r="I37" s="333"/>
      <c r="J37" s="517"/>
      <c r="K37" s="517"/>
      <c r="L37" s="517"/>
      <c r="M37" s="517"/>
      <c r="N37" s="517"/>
      <c r="O37" s="517"/>
      <c r="P37" s="338"/>
      <c r="Q37" s="338"/>
      <c r="R37" s="337"/>
      <c r="S37" s="337"/>
      <c r="T37" s="347"/>
      <c r="U37" s="337"/>
      <c r="V37" s="348"/>
      <c r="W37" s="338"/>
      <c r="X37" s="348">
        <f>ROUND(VLOOKUP(B37,'BCC D1(26)'!$B$12:$V$79,21,0),0)</f>
        <v>1</v>
      </c>
      <c r="Y37" s="338">
        <f t="shared" si="0"/>
        <v>0.5</v>
      </c>
      <c r="Z37" s="348">
        <f>VLOOKUP(B37,'BCC D1(26)'!$B$12:$W$88,22,0)</f>
        <v>1</v>
      </c>
      <c r="AA37" s="338">
        <f t="shared" si="3"/>
        <v>1.1000000000000001</v>
      </c>
      <c r="AB37" s="333">
        <f t="shared" si="1"/>
        <v>12.03</v>
      </c>
      <c r="AC37" s="334"/>
      <c r="AD37" s="483"/>
      <c r="AF37" s="516"/>
    </row>
    <row r="38" spans="1:32" s="240" customFormat="1" ht="27.95" customHeight="1">
      <c r="A38" s="519">
        <f t="shared" si="2"/>
        <v>26</v>
      </c>
      <c r="B38" s="725" t="s">
        <v>278</v>
      </c>
      <c r="C38" s="724" t="s">
        <v>279</v>
      </c>
      <c r="D38" s="518"/>
      <c r="E38" s="518"/>
      <c r="F38" s="520">
        <f>ROUND(VLOOKUP(B38,'BPHAN CHIA '!$B$179:$U$200,20,0),2)+0.01</f>
        <v>9.52</v>
      </c>
      <c r="G38" s="520">
        <f t="shared" si="5"/>
        <v>10.43</v>
      </c>
      <c r="H38" s="333"/>
      <c r="I38" s="333"/>
      <c r="J38" s="517"/>
      <c r="K38" s="517"/>
      <c r="L38" s="517"/>
      <c r="M38" s="517"/>
      <c r="N38" s="517"/>
      <c r="O38" s="517"/>
      <c r="P38" s="338"/>
      <c r="Q38" s="338"/>
      <c r="R38" s="337"/>
      <c r="S38" s="337"/>
      <c r="T38" s="347"/>
      <c r="U38" s="338"/>
      <c r="V38" s="348">
        <f>ROUND(VLOOKUP(B38,'BCC D1(26)'!$B$102:$X$114,23,0),0)</f>
        <v>5</v>
      </c>
      <c r="W38" s="338">
        <f t="shared" si="6"/>
        <v>6.25</v>
      </c>
      <c r="X38" s="348">
        <f>ROUND(VLOOKUP(B38,'BCC D1(26)'!$B$12:$V$79,21,0),0)</f>
        <v>1</v>
      </c>
      <c r="Y38" s="338">
        <f t="shared" si="0"/>
        <v>0.5</v>
      </c>
      <c r="Z38" s="348">
        <f>VLOOKUP(B38,'BCC D1(26)'!$B$12:$W$88,22,0)</f>
        <v>1</v>
      </c>
      <c r="AA38" s="338">
        <f t="shared" si="3"/>
        <v>1.1000000000000001</v>
      </c>
      <c r="AB38" s="333">
        <f t="shared" si="1"/>
        <v>18.28</v>
      </c>
      <c r="AC38" s="334"/>
      <c r="AD38" s="483"/>
      <c r="AF38" s="516"/>
    </row>
    <row r="39" spans="1:32" s="240" customFormat="1" ht="27.95" customHeight="1">
      <c r="A39" s="519">
        <f t="shared" si="2"/>
        <v>27</v>
      </c>
      <c r="B39" s="717" t="s">
        <v>280</v>
      </c>
      <c r="C39" s="724" t="s">
        <v>281</v>
      </c>
      <c r="D39" s="518"/>
      <c r="E39" s="518"/>
      <c r="F39" s="520">
        <f>ROUND(VLOOKUP(B39,'BPHAN CHIA '!$B$179:$U$200,20,0),2)</f>
        <v>7.74</v>
      </c>
      <c r="G39" s="517">
        <f t="shared" ref="G39:G40" si="7">ROUND(F39*1.0956,2)-0.01</f>
        <v>8.4700000000000006</v>
      </c>
      <c r="H39" s="333"/>
      <c r="I39" s="333"/>
      <c r="J39" s="517"/>
      <c r="K39" s="517"/>
      <c r="L39" s="517"/>
      <c r="M39" s="517"/>
      <c r="N39" s="517"/>
      <c r="O39" s="517"/>
      <c r="P39" s="338"/>
      <c r="Q39" s="338"/>
      <c r="R39" s="337"/>
      <c r="S39" s="337"/>
      <c r="T39" s="347"/>
      <c r="U39" s="337"/>
      <c r="V39" s="348">
        <f>ROUND(VLOOKUP(B39,'BCC D1(26)'!$B$102:$X$114,23,0),0)</f>
        <v>4</v>
      </c>
      <c r="W39" s="338">
        <f t="shared" si="6"/>
        <v>5</v>
      </c>
      <c r="X39" s="348">
        <f>ROUND(VLOOKUP(B39,'BCC D1(26)'!$B$12:$V$79,21,0),0)</f>
        <v>1</v>
      </c>
      <c r="Y39" s="338">
        <f t="shared" si="0"/>
        <v>0.5</v>
      </c>
      <c r="Z39" s="348">
        <f>VLOOKUP(B39,'BCC D1(26)'!$B$12:$W$88,22,0)</f>
        <v>1</v>
      </c>
      <c r="AA39" s="338">
        <f t="shared" si="3"/>
        <v>1.1000000000000001</v>
      </c>
      <c r="AB39" s="333">
        <f t="shared" si="1"/>
        <v>15.07</v>
      </c>
      <c r="AC39" s="334"/>
      <c r="AD39" s="483"/>
      <c r="AF39" s="516"/>
    </row>
    <row r="40" spans="1:32" s="240" customFormat="1" ht="27.95" customHeight="1">
      <c r="A40" s="519">
        <f t="shared" si="2"/>
        <v>28</v>
      </c>
      <c r="B40" s="710" t="s">
        <v>135</v>
      </c>
      <c r="C40" s="454" t="s">
        <v>136</v>
      </c>
      <c r="D40" s="518"/>
      <c r="E40" s="518"/>
      <c r="F40" s="520">
        <f>ROUND(VLOOKUP(B40,'BPHAN CHIA '!$B$179:$U$200,20,0),2)</f>
        <v>7.27</v>
      </c>
      <c r="G40" s="517">
        <f t="shared" si="7"/>
        <v>7.96</v>
      </c>
      <c r="H40" s="333"/>
      <c r="I40" s="333"/>
      <c r="J40" s="517"/>
      <c r="K40" s="517"/>
      <c r="L40" s="517"/>
      <c r="M40" s="517"/>
      <c r="N40" s="517"/>
      <c r="O40" s="517"/>
      <c r="P40" s="338"/>
      <c r="Q40" s="338"/>
      <c r="R40" s="337"/>
      <c r="S40" s="337"/>
      <c r="T40" s="347"/>
      <c r="U40" s="337"/>
      <c r="V40" s="348">
        <f>ROUND(VLOOKUP(B40,'BCC D1(26)'!$B$102:$X$114,23,0),0)</f>
        <v>5</v>
      </c>
      <c r="W40" s="338">
        <f t="shared" si="6"/>
        <v>6.25</v>
      </c>
      <c r="X40" s="348">
        <f>ROUND(VLOOKUP(B40,'BCC D1(26)'!$B$12:$V$79,21,0),0)</f>
        <v>1</v>
      </c>
      <c r="Y40" s="338">
        <f t="shared" si="0"/>
        <v>0.5</v>
      </c>
      <c r="Z40" s="341">
        <f>VLOOKUP(B40,'BCC D1(26)'!$B$12:$W$88,22,0)</f>
        <v>0</v>
      </c>
      <c r="AA40" s="781">
        <f t="shared" si="3"/>
        <v>0</v>
      </c>
      <c r="AB40" s="333">
        <f t="shared" si="1"/>
        <v>14.71</v>
      </c>
      <c r="AC40" s="334"/>
      <c r="AD40" s="483"/>
      <c r="AF40" s="516"/>
    </row>
    <row r="41" spans="1:32" s="240" customFormat="1" ht="27" customHeight="1">
      <c r="A41" s="519">
        <f t="shared" si="2"/>
        <v>29</v>
      </c>
      <c r="B41" s="249" t="s">
        <v>106</v>
      </c>
      <c r="C41" s="467" t="s">
        <v>107</v>
      </c>
      <c r="D41" s="518">
        <f>ROUND(VLOOKUP(B41,'BPHAN CHIA '!$B$11:$U$19,20,0)*1.1,2)-0.01</f>
        <v>60.65</v>
      </c>
      <c r="E41" s="518">
        <f t="shared" ref="E41:E49" si="8">ROUND(0.7199*D41,2)</f>
        <v>43.66</v>
      </c>
      <c r="F41" s="517"/>
      <c r="G41" s="517"/>
      <c r="H41" s="333"/>
      <c r="I41" s="333"/>
      <c r="J41" s="517"/>
      <c r="K41" s="517"/>
      <c r="L41" s="517"/>
      <c r="M41" s="517"/>
      <c r="N41" s="517"/>
      <c r="O41" s="517"/>
      <c r="P41" s="338"/>
      <c r="Q41" s="338"/>
      <c r="R41" s="337"/>
      <c r="S41" s="337"/>
      <c r="T41" s="347"/>
      <c r="U41" s="337"/>
      <c r="V41" s="348"/>
      <c r="W41" s="338"/>
      <c r="X41" s="348">
        <f>ROUND(VLOOKUP(B41,'BCC D1(26)'!$B$12:$V$79,21,0),0)</f>
        <v>1</v>
      </c>
      <c r="Y41" s="338">
        <f t="shared" si="0"/>
        <v>0.5</v>
      </c>
      <c r="Z41" s="348">
        <f>VLOOKUP(B41,'BCC D1(26)'!$B$12:$W$88,22,0)</f>
        <v>1</v>
      </c>
      <c r="AA41" s="338">
        <f t="shared" si="3"/>
        <v>1.1000000000000001</v>
      </c>
      <c r="AB41" s="333">
        <f t="shared" si="1"/>
        <v>45.26</v>
      </c>
      <c r="AC41" s="334"/>
      <c r="AD41" s="483"/>
      <c r="AF41" s="516"/>
    </row>
    <row r="42" spans="1:32" s="240" customFormat="1" ht="27" customHeight="1">
      <c r="A42" s="519">
        <f t="shared" si="2"/>
        <v>30</v>
      </c>
      <c r="B42" s="249" t="s">
        <v>108</v>
      </c>
      <c r="C42" s="469" t="s">
        <v>109</v>
      </c>
      <c r="D42" s="518">
        <f>ROUND(VLOOKUP(B42,'BPHAN CHIA '!$B$11:$U$19,20,0),2)</f>
        <v>55.15</v>
      </c>
      <c r="E42" s="518">
        <f t="shared" si="8"/>
        <v>39.700000000000003</v>
      </c>
      <c r="F42" s="517"/>
      <c r="G42" s="517"/>
      <c r="H42" s="333"/>
      <c r="I42" s="333"/>
      <c r="J42" s="517"/>
      <c r="K42" s="517"/>
      <c r="L42" s="517"/>
      <c r="M42" s="517"/>
      <c r="N42" s="517"/>
      <c r="O42" s="517"/>
      <c r="P42" s="338"/>
      <c r="Q42" s="338"/>
      <c r="R42" s="337"/>
      <c r="S42" s="337"/>
      <c r="T42" s="347"/>
      <c r="U42" s="337"/>
      <c r="V42" s="348"/>
      <c r="W42" s="338"/>
      <c r="X42" s="348">
        <f>ROUND(VLOOKUP(B42,'BCC D1(26)'!$B$12:$V$79,21,0),0)</f>
        <v>1</v>
      </c>
      <c r="Y42" s="338">
        <f t="shared" si="0"/>
        <v>0.5</v>
      </c>
      <c r="Z42" s="348">
        <f>VLOOKUP(B42,'BCC D1(26)'!$B$12:$W$88,22,0)</f>
        <v>1</v>
      </c>
      <c r="AA42" s="338">
        <f t="shared" si="3"/>
        <v>1.1000000000000001</v>
      </c>
      <c r="AB42" s="333">
        <f t="shared" si="1"/>
        <v>41.300000000000004</v>
      </c>
      <c r="AC42" s="334"/>
      <c r="AD42" s="483"/>
      <c r="AF42" s="516"/>
    </row>
    <row r="43" spans="1:32" s="240" customFormat="1" ht="27" customHeight="1">
      <c r="A43" s="519">
        <f t="shared" si="2"/>
        <v>31</v>
      </c>
      <c r="B43" s="552" t="s">
        <v>110</v>
      </c>
      <c r="C43" s="555" t="s">
        <v>111</v>
      </c>
      <c r="D43" s="518">
        <f>ROUND(VLOOKUP(B43,'BPHAN CHIA '!$B$11:$U$19,20,0),2)</f>
        <v>55.15</v>
      </c>
      <c r="E43" s="518">
        <f t="shared" si="8"/>
        <v>39.700000000000003</v>
      </c>
      <c r="F43" s="517"/>
      <c r="G43" s="517"/>
      <c r="H43" s="333"/>
      <c r="I43" s="333"/>
      <c r="J43" s="517"/>
      <c r="K43" s="517"/>
      <c r="L43" s="517"/>
      <c r="M43" s="517"/>
      <c r="N43" s="517"/>
      <c r="O43" s="517"/>
      <c r="P43" s="338"/>
      <c r="Q43" s="338"/>
      <c r="R43" s="337"/>
      <c r="S43" s="337"/>
      <c r="T43" s="347"/>
      <c r="U43" s="337"/>
      <c r="V43" s="348"/>
      <c r="W43" s="338"/>
      <c r="X43" s="348">
        <f>ROUND(VLOOKUP(B43,'BCC D1(26)'!$B$12:$V$79,21,0),0)</f>
        <v>1</v>
      </c>
      <c r="Y43" s="338">
        <f t="shared" si="0"/>
        <v>0.5</v>
      </c>
      <c r="Z43" s="348">
        <f>VLOOKUP(B43,'BCC D1(26)'!$B$12:$W$88,22,0)</f>
        <v>1</v>
      </c>
      <c r="AA43" s="338">
        <f t="shared" si="3"/>
        <v>1.1000000000000001</v>
      </c>
      <c r="AB43" s="333">
        <f t="shared" si="1"/>
        <v>41.300000000000004</v>
      </c>
      <c r="AC43" s="334"/>
      <c r="AD43" s="483"/>
      <c r="AF43" s="516"/>
    </row>
    <row r="44" spans="1:32" s="240" customFormat="1" ht="27" customHeight="1">
      <c r="A44" s="519">
        <f t="shared" si="2"/>
        <v>32</v>
      </c>
      <c r="B44" s="249" t="s">
        <v>112</v>
      </c>
      <c r="C44" s="467" t="s">
        <v>113</v>
      </c>
      <c r="D44" s="518">
        <f>ROUND(VLOOKUP(B44,'BPHAN CHIA '!$B$11:$U$19,20,0),2)</f>
        <v>55.14</v>
      </c>
      <c r="E44" s="518">
        <f t="shared" si="8"/>
        <v>39.700000000000003</v>
      </c>
      <c r="F44" s="517"/>
      <c r="G44" s="517"/>
      <c r="H44" s="333"/>
      <c r="I44" s="333"/>
      <c r="J44" s="517"/>
      <c r="K44" s="517"/>
      <c r="L44" s="517"/>
      <c r="M44" s="517"/>
      <c r="N44" s="517"/>
      <c r="O44" s="517"/>
      <c r="P44" s="338"/>
      <c r="Q44" s="338"/>
      <c r="R44" s="337"/>
      <c r="S44" s="337"/>
      <c r="T44" s="347"/>
      <c r="U44" s="337"/>
      <c r="V44" s="348"/>
      <c r="W44" s="338"/>
      <c r="X44" s="348">
        <f>ROUND(VLOOKUP(B44,'BCC D1(26)'!$B$12:$V$79,21,0),0)</f>
        <v>1</v>
      </c>
      <c r="Y44" s="338">
        <f t="shared" si="0"/>
        <v>0.5</v>
      </c>
      <c r="Z44" s="348">
        <f>VLOOKUP(B44,'BCC D1(26)'!$B$12:$W$88,22,0)</f>
        <v>1</v>
      </c>
      <c r="AA44" s="338">
        <f t="shared" si="3"/>
        <v>1.1000000000000001</v>
      </c>
      <c r="AB44" s="333">
        <f t="shared" si="1"/>
        <v>41.300000000000004</v>
      </c>
      <c r="AC44" s="334"/>
      <c r="AD44" s="483"/>
      <c r="AF44" s="516"/>
    </row>
    <row r="45" spans="1:32" s="240" customFormat="1" ht="27" customHeight="1">
      <c r="A45" s="519">
        <f t="shared" si="2"/>
        <v>33</v>
      </c>
      <c r="B45" s="249" t="s">
        <v>114</v>
      </c>
      <c r="C45" s="471" t="s">
        <v>115</v>
      </c>
      <c r="D45" s="518">
        <f>ROUND(VLOOKUP(B45,'BPHAN CHIA '!$B$11:$U$19,20,0),2)</f>
        <v>55.14</v>
      </c>
      <c r="E45" s="518">
        <f t="shared" si="8"/>
        <v>39.700000000000003</v>
      </c>
      <c r="F45" s="517"/>
      <c r="G45" s="517"/>
      <c r="H45" s="333"/>
      <c r="I45" s="333"/>
      <c r="J45" s="517"/>
      <c r="K45" s="517"/>
      <c r="L45" s="517"/>
      <c r="M45" s="517"/>
      <c r="N45" s="517"/>
      <c r="O45" s="517"/>
      <c r="P45" s="338"/>
      <c r="Q45" s="338"/>
      <c r="R45" s="337"/>
      <c r="S45" s="337"/>
      <c r="T45" s="347"/>
      <c r="U45" s="337"/>
      <c r="V45" s="348"/>
      <c r="W45" s="338"/>
      <c r="X45" s="348">
        <f>ROUND(VLOOKUP(B45,'BCC D1(26)'!$B$12:$V$79,21,0),0)</f>
        <v>1</v>
      </c>
      <c r="Y45" s="338">
        <f t="shared" si="0"/>
        <v>0.5</v>
      </c>
      <c r="Z45" s="348">
        <f>VLOOKUP(B45,'BCC D1(26)'!$B$12:$W$88,22,0)</f>
        <v>1</v>
      </c>
      <c r="AA45" s="338">
        <f t="shared" si="3"/>
        <v>1.1000000000000001</v>
      </c>
      <c r="AB45" s="333">
        <f t="shared" si="1"/>
        <v>41.300000000000004</v>
      </c>
      <c r="AC45" s="334"/>
      <c r="AD45" s="483"/>
      <c r="AF45" s="516"/>
    </row>
    <row r="46" spans="1:32" s="240" customFormat="1" ht="27" customHeight="1">
      <c r="A46" s="519">
        <f t="shared" ref="A46:A77" si="9">+A45+1</f>
        <v>34</v>
      </c>
      <c r="B46" s="249" t="s">
        <v>116</v>
      </c>
      <c r="C46" s="472" t="s">
        <v>117</v>
      </c>
      <c r="D46" s="518">
        <f>ROUND(VLOOKUP(B46,'BPHAN CHIA '!$B$11:$U$19,20,0),2)</f>
        <v>55.14</v>
      </c>
      <c r="E46" s="518">
        <f t="shared" si="8"/>
        <v>39.700000000000003</v>
      </c>
      <c r="F46" s="517"/>
      <c r="G46" s="517"/>
      <c r="H46" s="333"/>
      <c r="I46" s="333"/>
      <c r="J46" s="517"/>
      <c r="K46" s="517"/>
      <c r="L46" s="517"/>
      <c r="M46" s="517"/>
      <c r="N46" s="517"/>
      <c r="O46" s="517"/>
      <c r="P46" s="338"/>
      <c r="Q46" s="338"/>
      <c r="R46" s="337"/>
      <c r="S46" s="337"/>
      <c r="T46" s="347"/>
      <c r="U46" s="337"/>
      <c r="V46" s="348"/>
      <c r="W46" s="338"/>
      <c r="X46" s="348">
        <f>ROUND(VLOOKUP(B46,'BCC D1(26)'!$B$12:$V$79,21,0),0)</f>
        <v>1</v>
      </c>
      <c r="Y46" s="338">
        <f t="shared" si="0"/>
        <v>0.5</v>
      </c>
      <c r="Z46" s="348">
        <f>VLOOKUP(B46,'BCC D1(26)'!$B$12:$W$88,22,0)</f>
        <v>1</v>
      </c>
      <c r="AA46" s="338">
        <f t="shared" si="3"/>
        <v>1.1000000000000001</v>
      </c>
      <c r="AB46" s="333">
        <f t="shared" si="1"/>
        <v>41.300000000000004</v>
      </c>
      <c r="AC46" s="334"/>
      <c r="AD46" s="483"/>
      <c r="AF46" s="516"/>
    </row>
    <row r="47" spans="1:32" s="240" customFormat="1" ht="27" customHeight="1">
      <c r="A47" s="519">
        <f t="shared" si="9"/>
        <v>35</v>
      </c>
      <c r="B47" s="249" t="s">
        <v>118</v>
      </c>
      <c r="C47" s="472" t="s">
        <v>119</v>
      </c>
      <c r="D47" s="518">
        <f>ROUND(VLOOKUP(B47,'BPHAN CHIA '!$B$11:$U$19,20,0),2)</f>
        <v>55.14</v>
      </c>
      <c r="E47" s="518">
        <f t="shared" si="8"/>
        <v>39.700000000000003</v>
      </c>
      <c r="F47" s="517"/>
      <c r="G47" s="517"/>
      <c r="H47" s="333"/>
      <c r="I47" s="333"/>
      <c r="J47" s="517"/>
      <c r="K47" s="517"/>
      <c r="L47" s="517"/>
      <c r="M47" s="517"/>
      <c r="N47" s="517"/>
      <c r="O47" s="517"/>
      <c r="P47" s="338"/>
      <c r="Q47" s="338"/>
      <c r="R47" s="337"/>
      <c r="S47" s="337"/>
      <c r="T47" s="347"/>
      <c r="U47" s="337"/>
      <c r="V47" s="348"/>
      <c r="W47" s="338"/>
      <c r="X47" s="348">
        <f>ROUND(VLOOKUP(B47,'BCC D1(26)'!$B$12:$V$79,21,0),0)</f>
        <v>1</v>
      </c>
      <c r="Y47" s="338">
        <f t="shared" si="0"/>
        <v>0.5</v>
      </c>
      <c r="Z47" s="348">
        <f>VLOOKUP(B47,'BCC D1(26)'!$B$12:$W$88,22,0)</f>
        <v>1</v>
      </c>
      <c r="AA47" s="338">
        <f t="shared" si="3"/>
        <v>1.1000000000000001</v>
      </c>
      <c r="AB47" s="333">
        <f t="shared" si="1"/>
        <v>41.300000000000004</v>
      </c>
      <c r="AC47" s="334"/>
      <c r="AD47" s="483"/>
      <c r="AF47" s="516"/>
    </row>
    <row r="48" spans="1:32" s="240" customFormat="1" ht="27" customHeight="1">
      <c r="A48" s="519">
        <f t="shared" si="9"/>
        <v>36</v>
      </c>
      <c r="B48" s="249" t="s">
        <v>120</v>
      </c>
      <c r="C48" s="472" t="s">
        <v>121</v>
      </c>
      <c r="D48" s="518">
        <f>ROUND(VLOOKUP(B48,'BPHAN CHIA '!$B$11:$U$19,20,0),2)</f>
        <v>55.14</v>
      </c>
      <c r="E48" s="518">
        <f t="shared" si="8"/>
        <v>39.700000000000003</v>
      </c>
      <c r="F48" s="517"/>
      <c r="G48" s="517"/>
      <c r="H48" s="333"/>
      <c r="I48" s="333"/>
      <c r="J48" s="517"/>
      <c r="K48" s="517"/>
      <c r="L48" s="517"/>
      <c r="M48" s="517"/>
      <c r="N48" s="517"/>
      <c r="O48" s="517"/>
      <c r="P48" s="338"/>
      <c r="Q48" s="338"/>
      <c r="R48" s="337"/>
      <c r="S48" s="337"/>
      <c r="T48" s="347"/>
      <c r="U48" s="337"/>
      <c r="V48" s="348"/>
      <c r="W48" s="338"/>
      <c r="X48" s="348">
        <f>ROUND(VLOOKUP(B48,'BCC D1(26)'!$B$12:$V$79,21,0),0)</f>
        <v>1</v>
      </c>
      <c r="Y48" s="338">
        <f t="shared" si="0"/>
        <v>0.5</v>
      </c>
      <c r="Z48" s="348">
        <f>VLOOKUP(B48,'BCC D1(26)'!$B$12:$W$88,22,0)</f>
        <v>1</v>
      </c>
      <c r="AA48" s="338">
        <f t="shared" ref="AA48" si="10">ROUND(Z48*1.0956,2)</f>
        <v>1.1000000000000001</v>
      </c>
      <c r="AB48" s="333">
        <f t="shared" si="1"/>
        <v>41.300000000000004</v>
      </c>
      <c r="AC48" s="334"/>
      <c r="AD48" s="483"/>
      <c r="AF48" s="516"/>
    </row>
    <row r="49" spans="1:32" s="240" customFormat="1" ht="27" customHeight="1">
      <c r="A49" s="519">
        <f t="shared" si="9"/>
        <v>37</v>
      </c>
      <c r="B49" s="249" t="s">
        <v>122</v>
      </c>
      <c r="C49" s="471" t="s">
        <v>123</v>
      </c>
      <c r="D49" s="518">
        <f>ROUND(VLOOKUP(B49,'BPHAN CHIA '!$B$11:$U$19,20,0),2)</f>
        <v>55.14</v>
      </c>
      <c r="E49" s="518">
        <f t="shared" si="8"/>
        <v>39.700000000000003</v>
      </c>
      <c r="F49" s="517"/>
      <c r="G49" s="517"/>
      <c r="H49" s="333"/>
      <c r="I49" s="333"/>
      <c r="J49" s="517"/>
      <c r="K49" s="517"/>
      <c r="L49" s="517"/>
      <c r="M49" s="517"/>
      <c r="N49" s="517"/>
      <c r="O49" s="517"/>
      <c r="P49" s="338"/>
      <c r="Q49" s="338"/>
      <c r="R49" s="337"/>
      <c r="S49" s="337"/>
      <c r="T49" s="347"/>
      <c r="U49" s="337"/>
      <c r="V49" s="348"/>
      <c r="W49" s="338"/>
      <c r="X49" s="348">
        <f>ROUND(VLOOKUP(B49,'BCC D1(26)'!$B$12:$V$79,21,0),0)</f>
        <v>1</v>
      </c>
      <c r="Y49" s="338">
        <f t="shared" si="0"/>
        <v>0.5</v>
      </c>
      <c r="Z49" s="348">
        <f>VLOOKUP(B49,'BCC D1(26)'!$B$12:$W$88,22,0)</f>
        <v>1</v>
      </c>
      <c r="AA49" s="338">
        <f t="shared" si="3"/>
        <v>1.1000000000000001</v>
      </c>
      <c r="AB49" s="333">
        <f t="shared" si="1"/>
        <v>41.300000000000004</v>
      </c>
      <c r="AC49" s="334"/>
      <c r="AD49" s="483"/>
      <c r="AF49" s="516"/>
    </row>
    <row r="50" spans="1:32" s="240" customFormat="1" ht="27" customHeight="1">
      <c r="A50" s="519">
        <f t="shared" si="9"/>
        <v>38</v>
      </c>
      <c r="B50" s="249" t="s">
        <v>333</v>
      </c>
      <c r="C50" s="471" t="s">
        <v>332</v>
      </c>
      <c r="D50" s="517"/>
      <c r="E50" s="517"/>
      <c r="F50" s="517"/>
      <c r="G50" s="517"/>
      <c r="H50" s="333"/>
      <c r="I50" s="333"/>
      <c r="J50" s="517">
        <f>'BCC D1(26)'!X52</f>
        <v>14</v>
      </c>
      <c r="K50" s="335">
        <f>ROUND(J50*0.9657,2)</f>
        <v>13.52</v>
      </c>
      <c r="L50" s="517"/>
      <c r="M50" s="517"/>
      <c r="N50" s="517"/>
      <c r="O50" s="517"/>
      <c r="P50" s="338"/>
      <c r="Q50" s="338"/>
      <c r="R50" s="337">
        <f>'BCC D1(26)'!X90</f>
        <v>0.5</v>
      </c>
      <c r="S50" s="336">
        <f>ROUND(R50*1.3147,2)-0.01</f>
        <v>0.65</v>
      </c>
      <c r="T50" s="347"/>
      <c r="U50" s="336"/>
      <c r="V50" s="348"/>
      <c r="W50" s="338"/>
      <c r="X50" s="348">
        <f>ROUND(VLOOKUP(B50,'BCC D1(26)'!$B$12:$V$79,21,0),0)</f>
        <v>1</v>
      </c>
      <c r="Y50" s="338">
        <f t="shared" si="0"/>
        <v>0.5</v>
      </c>
      <c r="Z50" s="341">
        <f>VLOOKUP(B50,'BCC D1(26)'!$B$12:$W$88,22,0)</f>
        <v>0</v>
      </c>
      <c r="AA50" s="781">
        <f t="shared" si="3"/>
        <v>0</v>
      </c>
      <c r="AB50" s="333">
        <f t="shared" si="1"/>
        <v>14.67</v>
      </c>
      <c r="AC50" s="334"/>
      <c r="AD50" s="483"/>
      <c r="AF50" s="516"/>
    </row>
    <row r="51" spans="1:32" s="240" customFormat="1" ht="27" customHeight="1">
      <c r="A51" s="519">
        <f t="shared" si="9"/>
        <v>39</v>
      </c>
      <c r="B51" s="249" t="s">
        <v>124</v>
      </c>
      <c r="C51" s="471" t="s">
        <v>125</v>
      </c>
      <c r="D51" s="517"/>
      <c r="E51" s="517"/>
      <c r="F51" s="517"/>
      <c r="G51" s="517"/>
      <c r="H51" s="333"/>
      <c r="I51" s="333"/>
      <c r="J51" s="517"/>
      <c r="K51" s="517"/>
      <c r="L51" s="517"/>
      <c r="M51" s="517"/>
      <c r="N51" s="337">
        <f>'BCC D1(26)'!X53</f>
        <v>14</v>
      </c>
      <c r="O51" s="335">
        <f>ROUND(N51*0.9704,2)-0.01</f>
        <v>13.58</v>
      </c>
      <c r="P51" s="338"/>
      <c r="Q51" s="338"/>
      <c r="R51" s="337"/>
      <c r="S51" s="337"/>
      <c r="T51" s="347"/>
      <c r="U51" s="337"/>
      <c r="V51" s="348"/>
      <c r="W51" s="338"/>
      <c r="X51" s="348">
        <f>ROUND(VLOOKUP(B51,'BCC D1(26)'!$B$12:$V$79,21,0),0)</f>
        <v>1</v>
      </c>
      <c r="Y51" s="338">
        <f t="shared" si="0"/>
        <v>0.5</v>
      </c>
      <c r="Z51" s="348">
        <f>VLOOKUP(B51,'BCC D1(26)'!$B$12:$W$88,22,0)</f>
        <v>1</v>
      </c>
      <c r="AA51" s="338">
        <f t="shared" si="3"/>
        <v>1.1000000000000001</v>
      </c>
      <c r="AB51" s="333">
        <f t="shared" si="1"/>
        <v>15.18</v>
      </c>
      <c r="AC51" s="334"/>
      <c r="AD51" s="483"/>
      <c r="AF51" s="516"/>
    </row>
    <row r="52" spans="1:32" s="240" customFormat="1" ht="27" customHeight="1">
      <c r="A52" s="519">
        <f t="shared" si="9"/>
        <v>40</v>
      </c>
      <c r="B52" s="249" t="s">
        <v>126</v>
      </c>
      <c r="C52" s="471" t="s">
        <v>127</v>
      </c>
      <c r="D52" s="517"/>
      <c r="E52" s="517"/>
      <c r="F52" s="517"/>
      <c r="G52" s="517"/>
      <c r="H52" s="333"/>
      <c r="I52" s="333"/>
      <c r="J52" s="517"/>
      <c r="K52" s="517"/>
      <c r="L52" s="336">
        <f>SUM('BCC D1(26)'!X54:X55)</f>
        <v>19.5</v>
      </c>
      <c r="M52" s="338">
        <f>ROUND(L52*1.426,2)</f>
        <v>27.81</v>
      </c>
      <c r="N52" s="517"/>
      <c r="O52" s="517"/>
      <c r="P52" s="338"/>
      <c r="Q52" s="338"/>
      <c r="R52" s="337"/>
      <c r="S52" s="337"/>
      <c r="T52" s="347"/>
      <c r="U52" s="337"/>
      <c r="V52" s="348"/>
      <c r="W52" s="338"/>
      <c r="X52" s="348">
        <f>ROUND(VLOOKUP(B52,'BCC D1(26)'!$B$12:$V$79,21,0),0)</f>
        <v>1</v>
      </c>
      <c r="Y52" s="338">
        <f t="shared" si="0"/>
        <v>0.5</v>
      </c>
      <c r="Z52" s="348">
        <f>VLOOKUP(B52,'BCC D1(26)'!$B$12:$W$88,22,0)</f>
        <v>1</v>
      </c>
      <c r="AA52" s="338">
        <f t="shared" si="3"/>
        <v>1.1000000000000001</v>
      </c>
      <c r="AB52" s="333">
        <f t="shared" si="1"/>
        <v>29.41</v>
      </c>
      <c r="AC52" s="334"/>
      <c r="AD52" s="483"/>
      <c r="AF52" s="516"/>
    </row>
    <row r="53" spans="1:32" s="240" customFormat="1" ht="27" customHeight="1">
      <c r="A53" s="519">
        <f t="shared" si="9"/>
        <v>41</v>
      </c>
      <c r="B53" s="249" t="s">
        <v>128</v>
      </c>
      <c r="C53" s="471" t="s">
        <v>129</v>
      </c>
      <c r="D53" s="517"/>
      <c r="E53" s="517"/>
      <c r="F53" s="517"/>
      <c r="G53" s="517"/>
      <c r="H53" s="333"/>
      <c r="I53" s="333"/>
      <c r="J53" s="517"/>
      <c r="K53" s="517"/>
      <c r="L53" s="336">
        <f>SUM('BCC D1(26)'!X56:X57)</f>
        <v>15.5</v>
      </c>
      <c r="M53" s="338">
        <f>ROUND(L53*1.426,2)</f>
        <v>22.1</v>
      </c>
      <c r="N53" s="517"/>
      <c r="O53" s="517"/>
      <c r="P53" s="338"/>
      <c r="Q53" s="338"/>
      <c r="R53" s="337"/>
      <c r="S53" s="337"/>
      <c r="T53" s="347"/>
      <c r="U53" s="337"/>
      <c r="V53" s="348"/>
      <c r="W53" s="338"/>
      <c r="X53" s="348">
        <f>ROUND(VLOOKUP(B53,'BCC D1(26)'!$B$12:$V$79,21,0),0)</f>
        <v>1</v>
      </c>
      <c r="Y53" s="338">
        <f t="shared" si="0"/>
        <v>0.5</v>
      </c>
      <c r="Z53" s="348">
        <f>VLOOKUP(B53,'BCC D1(26)'!$B$12:$W$88,22,0)</f>
        <v>1</v>
      </c>
      <c r="AA53" s="338">
        <f t="shared" si="3"/>
        <v>1.1000000000000001</v>
      </c>
      <c r="AB53" s="333">
        <f t="shared" si="1"/>
        <v>23.700000000000003</v>
      </c>
      <c r="AC53" s="334"/>
      <c r="AD53" s="483"/>
      <c r="AF53" s="516"/>
    </row>
    <row r="54" spans="1:32" s="240" customFormat="1" ht="27" customHeight="1">
      <c r="A54" s="519">
        <f t="shared" si="9"/>
        <v>42</v>
      </c>
      <c r="B54" s="249" t="s">
        <v>188</v>
      </c>
      <c r="C54" s="471" t="s">
        <v>130</v>
      </c>
      <c r="D54" s="517"/>
      <c r="E54" s="517"/>
      <c r="F54" s="517"/>
      <c r="G54" s="517"/>
      <c r="H54" s="333"/>
      <c r="I54" s="333"/>
      <c r="J54" s="517"/>
      <c r="K54" s="517"/>
      <c r="L54" s="517"/>
      <c r="M54" s="517"/>
      <c r="N54" s="517"/>
      <c r="O54" s="517"/>
      <c r="P54" s="336">
        <f>SUM('BCC D1(26)'!X58:X59)</f>
        <v>20</v>
      </c>
      <c r="Q54" s="338">
        <f>ROUND(P54*1.4085,2)+0.01</f>
        <v>28.180000000000003</v>
      </c>
      <c r="R54" s="337"/>
      <c r="S54" s="337"/>
      <c r="T54" s="347"/>
      <c r="U54" s="337"/>
      <c r="V54" s="348"/>
      <c r="W54" s="338"/>
      <c r="X54" s="348">
        <f>ROUND(VLOOKUP(B54,'BCC D1(26)'!$B$12:$V$79,21,0),0)</f>
        <v>1</v>
      </c>
      <c r="Y54" s="338">
        <f t="shared" si="0"/>
        <v>0.5</v>
      </c>
      <c r="Z54" s="348">
        <f>VLOOKUP(B54,'BCC D1(26)'!$B$12:$W$88,22,0)</f>
        <v>1</v>
      </c>
      <c r="AA54" s="338">
        <f t="shared" si="3"/>
        <v>1.1000000000000001</v>
      </c>
      <c r="AB54" s="333">
        <f t="shared" si="1"/>
        <v>29.780000000000005</v>
      </c>
      <c r="AC54" s="334"/>
      <c r="AD54" s="483"/>
      <c r="AF54" s="516"/>
    </row>
    <row r="55" spans="1:32" s="240" customFormat="1" ht="27" customHeight="1">
      <c r="A55" s="519">
        <f t="shared" si="9"/>
        <v>43</v>
      </c>
      <c r="B55" s="453" t="s">
        <v>131</v>
      </c>
      <c r="C55" s="565" t="s">
        <v>132</v>
      </c>
      <c r="D55" s="518"/>
      <c r="E55" s="518"/>
      <c r="F55" s="520">
        <f>ROUND(1.15*VLOOKUP(B55,'BPHAN CHIA '!$B$222:$U$241,20,0),2)-0.01</f>
        <v>11.52</v>
      </c>
      <c r="G55" s="517">
        <f t="shared" ref="G55:G70" si="11">ROUND(F55*1.0956,2)</f>
        <v>12.62</v>
      </c>
      <c r="H55" s="333"/>
      <c r="I55" s="333"/>
      <c r="J55" s="517"/>
      <c r="K55" s="517"/>
      <c r="L55" s="517"/>
      <c r="M55" s="517"/>
      <c r="N55" s="517"/>
      <c r="O55" s="517"/>
      <c r="P55" s="338"/>
      <c r="Q55" s="338"/>
      <c r="R55" s="337"/>
      <c r="S55" s="337"/>
      <c r="T55" s="348">
        <f>VLOOKUP(B55,'BCC D1(26)'!$B$93:$X$100,23,0)</f>
        <v>3.5</v>
      </c>
      <c r="U55" s="338">
        <f>ROUND(T55*0.9391,2)</f>
        <v>3.29</v>
      </c>
      <c r="V55" s="348">
        <f>ROUND(VLOOKUP(B55,'BCC D1(26)'!$B$102:$X$114,23,0),0)</f>
        <v>5</v>
      </c>
      <c r="W55" s="338">
        <f t="shared" si="6"/>
        <v>6.25</v>
      </c>
      <c r="X55" s="348">
        <f>ROUND(VLOOKUP(B55,'BCC D1(26)'!$B$12:$V$79,21,0),0)</f>
        <v>1</v>
      </c>
      <c r="Y55" s="338">
        <f t="shared" si="0"/>
        <v>0.5</v>
      </c>
      <c r="Z55" s="348">
        <f>VLOOKUP(B55,'BCC D1(26)'!$B$12:$W$88,22,0)</f>
        <v>1</v>
      </c>
      <c r="AA55" s="338">
        <f t="shared" si="3"/>
        <v>1.1000000000000001</v>
      </c>
      <c r="AB55" s="333">
        <f t="shared" si="1"/>
        <v>23.76</v>
      </c>
      <c r="AC55" s="334"/>
      <c r="AD55" s="483"/>
      <c r="AF55" s="516"/>
    </row>
    <row r="56" spans="1:32" s="240" customFormat="1" ht="27" customHeight="1">
      <c r="A56" s="519">
        <f t="shared" si="9"/>
        <v>44</v>
      </c>
      <c r="B56" s="453" t="s">
        <v>133</v>
      </c>
      <c r="C56" s="454" t="s">
        <v>134</v>
      </c>
      <c r="D56" s="518"/>
      <c r="E56" s="518"/>
      <c r="F56" s="520">
        <f>ROUND(VLOOKUP(B56,'BPHAN CHIA '!$B$222:$U$241,20,0),2)</f>
        <v>10.02</v>
      </c>
      <c r="G56" s="517">
        <f t="shared" si="11"/>
        <v>10.98</v>
      </c>
      <c r="H56" s="333"/>
      <c r="I56" s="333"/>
      <c r="J56" s="517"/>
      <c r="K56" s="517"/>
      <c r="L56" s="517"/>
      <c r="M56" s="517"/>
      <c r="N56" s="517"/>
      <c r="O56" s="517"/>
      <c r="P56" s="338"/>
      <c r="Q56" s="338"/>
      <c r="R56" s="337"/>
      <c r="S56" s="337"/>
      <c r="T56" s="348"/>
      <c r="U56" s="337"/>
      <c r="V56" s="348"/>
      <c r="W56" s="338"/>
      <c r="X56" s="348">
        <f>ROUND(VLOOKUP(B56,'BCC D1(26)'!$B$12:$V$79,21,0),0)</f>
        <v>1</v>
      </c>
      <c r="Y56" s="338">
        <f t="shared" si="0"/>
        <v>0.5</v>
      </c>
      <c r="Z56" s="348">
        <f>VLOOKUP(B56,'BCC D1(26)'!$B$12:$W$88,22,0)</f>
        <v>1</v>
      </c>
      <c r="AA56" s="338">
        <f t="shared" ref="AA56:AA70" si="12">ROUND(Z56*1.0956,2)-0.01</f>
        <v>1.0900000000000001</v>
      </c>
      <c r="AB56" s="333">
        <f t="shared" si="1"/>
        <v>12.57</v>
      </c>
      <c r="AC56" s="334"/>
      <c r="AD56" s="483"/>
      <c r="AF56" s="516"/>
    </row>
    <row r="57" spans="1:32" s="240" customFormat="1" ht="27" customHeight="1">
      <c r="A57" s="519">
        <f t="shared" si="9"/>
        <v>45</v>
      </c>
      <c r="B57" s="453" t="s">
        <v>137</v>
      </c>
      <c r="C57" s="454" t="s">
        <v>138</v>
      </c>
      <c r="D57" s="518"/>
      <c r="E57" s="518"/>
      <c r="F57" s="520">
        <f>ROUND(VLOOKUP(B57,'BPHAN CHIA '!$B$222:$U$241,20,0),2)+0.01</f>
        <v>7.91</v>
      </c>
      <c r="G57" s="517">
        <f t="shared" ref="G57:G58" si="13">ROUND(F57*1.0956,2)-0.01</f>
        <v>8.66</v>
      </c>
      <c r="H57" s="333"/>
      <c r="I57" s="333"/>
      <c r="J57" s="517"/>
      <c r="K57" s="517"/>
      <c r="L57" s="517"/>
      <c r="M57" s="517"/>
      <c r="N57" s="517"/>
      <c r="O57" s="517"/>
      <c r="P57" s="338"/>
      <c r="Q57" s="338"/>
      <c r="R57" s="337"/>
      <c r="S57" s="337"/>
      <c r="T57" s="348"/>
      <c r="U57" s="337"/>
      <c r="V57" s="348"/>
      <c r="W57" s="338"/>
      <c r="X57" s="348">
        <f>ROUND(VLOOKUP(B57,'BCC D1(26)'!$B$12:$V$79,21,0),0)</f>
        <v>1</v>
      </c>
      <c r="Y57" s="338">
        <f t="shared" si="0"/>
        <v>0.5</v>
      </c>
      <c r="Z57" s="348">
        <f>VLOOKUP(B57,'BCC D1(26)'!$B$12:$W$88,22,0)</f>
        <v>1</v>
      </c>
      <c r="AA57" s="338">
        <f t="shared" si="12"/>
        <v>1.0900000000000001</v>
      </c>
      <c r="AB57" s="333">
        <f t="shared" si="1"/>
        <v>10.25</v>
      </c>
      <c r="AC57" s="334"/>
      <c r="AD57" s="483"/>
      <c r="AF57" s="516"/>
    </row>
    <row r="58" spans="1:32" s="240" customFormat="1" ht="27" customHeight="1">
      <c r="A58" s="519">
        <f t="shared" si="9"/>
        <v>46</v>
      </c>
      <c r="B58" s="453" t="s">
        <v>139</v>
      </c>
      <c r="C58" s="454" t="s">
        <v>140</v>
      </c>
      <c r="D58" s="518"/>
      <c r="E58" s="518"/>
      <c r="F58" s="520">
        <f>ROUND(VLOOKUP(B58,'BPHAN CHIA '!$B$222:$U$241,20,0),2)+0.01</f>
        <v>8.08</v>
      </c>
      <c r="G58" s="517">
        <f t="shared" si="13"/>
        <v>8.84</v>
      </c>
      <c r="H58" s="333"/>
      <c r="I58" s="333"/>
      <c r="J58" s="517"/>
      <c r="K58" s="517"/>
      <c r="L58" s="517"/>
      <c r="M58" s="517"/>
      <c r="N58" s="517"/>
      <c r="O58" s="517"/>
      <c r="P58" s="338"/>
      <c r="Q58" s="338"/>
      <c r="R58" s="337"/>
      <c r="S58" s="337"/>
      <c r="T58" s="348"/>
      <c r="U58" s="337"/>
      <c r="V58" s="348">
        <f>ROUND(VLOOKUP(B58,'BCC D1(26)'!$B$102:$X$114,23,0),0)</f>
        <v>5</v>
      </c>
      <c r="W58" s="338">
        <f t="shared" si="6"/>
        <v>6.25</v>
      </c>
      <c r="X58" s="348">
        <f>ROUND(VLOOKUP(B58,'BCC D1(26)'!$B$12:$V$79,21,0),0)</f>
        <v>1</v>
      </c>
      <c r="Y58" s="338">
        <f t="shared" si="0"/>
        <v>0.5</v>
      </c>
      <c r="Z58" s="348">
        <f>VLOOKUP(B58,'BCC D1(26)'!$B$12:$W$88,22,0)</f>
        <v>1</v>
      </c>
      <c r="AA58" s="338">
        <f t="shared" si="12"/>
        <v>1.0900000000000001</v>
      </c>
      <c r="AB58" s="333">
        <f t="shared" si="1"/>
        <v>16.68</v>
      </c>
      <c r="AC58" s="334"/>
      <c r="AD58" s="483"/>
      <c r="AF58" s="516"/>
    </row>
    <row r="59" spans="1:32" s="240" customFormat="1" ht="27" customHeight="1">
      <c r="A59" s="519">
        <f t="shared" si="9"/>
        <v>47</v>
      </c>
      <c r="B59" s="453" t="s">
        <v>141</v>
      </c>
      <c r="C59" s="454" t="s">
        <v>142</v>
      </c>
      <c r="D59" s="518"/>
      <c r="E59" s="518"/>
      <c r="F59" s="520">
        <f>ROUND(VLOOKUP(B59,'BPHAN CHIA '!$B$222:$U$241,20,0),2)</f>
        <v>10.02</v>
      </c>
      <c r="G59" s="517">
        <f t="shared" si="11"/>
        <v>10.98</v>
      </c>
      <c r="H59" s="333"/>
      <c r="I59" s="333"/>
      <c r="J59" s="517"/>
      <c r="K59" s="517"/>
      <c r="L59" s="517"/>
      <c r="M59" s="517"/>
      <c r="N59" s="517"/>
      <c r="O59" s="517"/>
      <c r="P59" s="338"/>
      <c r="Q59" s="338"/>
      <c r="R59" s="337"/>
      <c r="S59" s="337"/>
      <c r="T59" s="348"/>
      <c r="U59" s="337"/>
      <c r="V59" s="348"/>
      <c r="W59" s="338"/>
      <c r="X59" s="348">
        <f>ROUND(VLOOKUP(B59,'BCC D1(26)'!$B$12:$V$79,21,0),0)</f>
        <v>1</v>
      </c>
      <c r="Y59" s="338">
        <f t="shared" si="0"/>
        <v>0.5</v>
      </c>
      <c r="Z59" s="348">
        <f>VLOOKUP(B59,'BCC D1(26)'!$B$12:$W$88,22,0)</f>
        <v>1</v>
      </c>
      <c r="AA59" s="338">
        <f t="shared" si="12"/>
        <v>1.0900000000000001</v>
      </c>
      <c r="AB59" s="333">
        <f t="shared" si="1"/>
        <v>12.57</v>
      </c>
      <c r="AC59" s="334"/>
      <c r="AD59" s="483"/>
      <c r="AF59" s="516"/>
    </row>
    <row r="60" spans="1:32" s="240" customFormat="1" ht="27" customHeight="1">
      <c r="A60" s="519">
        <f t="shared" si="9"/>
        <v>48</v>
      </c>
      <c r="B60" s="453" t="s">
        <v>143</v>
      </c>
      <c r="C60" s="454" t="s">
        <v>144</v>
      </c>
      <c r="D60" s="518"/>
      <c r="E60" s="518"/>
      <c r="F60" s="520">
        <f>ROUND(VLOOKUP(B60,'BPHAN CHIA '!$B$222:$U$241,20,0),2)</f>
        <v>10.02</v>
      </c>
      <c r="G60" s="517">
        <f t="shared" si="11"/>
        <v>10.98</v>
      </c>
      <c r="H60" s="333"/>
      <c r="I60" s="333"/>
      <c r="J60" s="517"/>
      <c r="K60" s="517"/>
      <c r="L60" s="517"/>
      <c r="M60" s="517"/>
      <c r="N60" s="517"/>
      <c r="O60" s="517"/>
      <c r="P60" s="338"/>
      <c r="Q60" s="338"/>
      <c r="R60" s="337"/>
      <c r="S60" s="337"/>
      <c r="T60" s="348"/>
      <c r="U60" s="338"/>
      <c r="V60" s="348">
        <f>ROUND(VLOOKUP(B60,'BCC D1(26)'!$B$102:$X$114,23,0),0)</f>
        <v>5</v>
      </c>
      <c r="W60" s="338">
        <f t="shared" si="6"/>
        <v>6.25</v>
      </c>
      <c r="X60" s="348">
        <f>ROUND(VLOOKUP(B60,'BCC D1(26)'!$B$12:$V$79,21,0),0)</f>
        <v>1</v>
      </c>
      <c r="Y60" s="338">
        <f t="shared" si="0"/>
        <v>0.5</v>
      </c>
      <c r="Z60" s="348">
        <f>VLOOKUP(B60,'BCC D1(26)'!$B$12:$W$88,22,0)</f>
        <v>1</v>
      </c>
      <c r="AA60" s="338">
        <f t="shared" si="12"/>
        <v>1.0900000000000001</v>
      </c>
      <c r="AB60" s="333">
        <f t="shared" si="1"/>
        <v>18.82</v>
      </c>
      <c r="AC60" s="334"/>
      <c r="AD60" s="483"/>
      <c r="AF60" s="516"/>
    </row>
    <row r="61" spans="1:32" s="240" customFormat="1" ht="27" customHeight="1">
      <c r="A61" s="519">
        <f t="shared" si="9"/>
        <v>49</v>
      </c>
      <c r="B61" s="453" t="s">
        <v>145</v>
      </c>
      <c r="C61" s="454" t="s">
        <v>146</v>
      </c>
      <c r="D61" s="518"/>
      <c r="E61" s="518"/>
      <c r="F61" s="520">
        <f>ROUND(VLOOKUP(B61,'BPHAN CHIA '!$B$222:$U$241,20,0),2)</f>
        <v>10.02</v>
      </c>
      <c r="G61" s="517">
        <f t="shared" si="11"/>
        <v>10.98</v>
      </c>
      <c r="H61" s="333"/>
      <c r="I61" s="333"/>
      <c r="J61" s="517"/>
      <c r="K61" s="517"/>
      <c r="L61" s="517"/>
      <c r="M61" s="517"/>
      <c r="N61" s="517"/>
      <c r="O61" s="517"/>
      <c r="P61" s="338"/>
      <c r="Q61" s="338"/>
      <c r="R61" s="337"/>
      <c r="S61" s="337"/>
      <c r="T61" s="348">
        <f>VLOOKUP(B61,'BCC D1(26)'!$B$93:$X$100,23,0)</f>
        <v>2</v>
      </c>
      <c r="U61" s="338">
        <f>ROUND(T61*0.9391,2)</f>
        <v>1.88</v>
      </c>
      <c r="V61" s="348"/>
      <c r="W61" s="338"/>
      <c r="X61" s="348">
        <f>ROUND(VLOOKUP(B61,'BCC D1(26)'!$B$12:$V$79,21,0),0)</f>
        <v>1</v>
      </c>
      <c r="Y61" s="338">
        <f t="shared" si="0"/>
        <v>0.5</v>
      </c>
      <c r="Z61" s="348">
        <f>VLOOKUP(B61,'BCC D1(26)'!$B$12:$W$88,22,0)</f>
        <v>1</v>
      </c>
      <c r="AA61" s="338">
        <f t="shared" si="12"/>
        <v>1.0900000000000001</v>
      </c>
      <c r="AB61" s="333">
        <f t="shared" si="1"/>
        <v>14.45</v>
      </c>
      <c r="AC61" s="334"/>
      <c r="AD61" s="483"/>
      <c r="AF61" s="516"/>
    </row>
    <row r="62" spans="1:32" s="240" customFormat="1" ht="27" customHeight="1">
      <c r="A62" s="519">
        <f t="shared" si="9"/>
        <v>50</v>
      </c>
      <c r="B62" s="456" t="s">
        <v>147</v>
      </c>
      <c r="C62" s="566" t="s">
        <v>148</v>
      </c>
      <c r="D62" s="518"/>
      <c r="E62" s="518"/>
      <c r="F62" s="520">
        <f>ROUND(VLOOKUP(B62,'BPHAN CHIA '!$B$222:$U$241,20,0),2)</f>
        <v>10.02</v>
      </c>
      <c r="G62" s="517">
        <f t="shared" si="11"/>
        <v>10.98</v>
      </c>
      <c r="H62" s="333"/>
      <c r="I62" s="333"/>
      <c r="J62" s="517"/>
      <c r="K62" s="517"/>
      <c r="L62" s="517"/>
      <c r="M62" s="517"/>
      <c r="N62" s="517"/>
      <c r="O62" s="517"/>
      <c r="P62" s="338"/>
      <c r="Q62" s="338"/>
      <c r="R62" s="337"/>
      <c r="S62" s="337"/>
      <c r="T62" s="348">
        <f>VLOOKUP(B62,'BCC D1(26)'!$B$93:$X$100,23,0)</f>
        <v>4</v>
      </c>
      <c r="U62" s="338">
        <f>ROUND(T62*0.9391,2)</f>
        <v>3.76</v>
      </c>
      <c r="V62" s="348">
        <f>ROUND(VLOOKUP(B62,'BCC D1(26)'!$B$102:$X$114,23,0),0)</f>
        <v>5</v>
      </c>
      <c r="W62" s="338">
        <f t="shared" si="6"/>
        <v>6.25</v>
      </c>
      <c r="X62" s="348">
        <f>ROUND(VLOOKUP(B62,'BCC D1(26)'!$B$12:$V$79,21,0),0)</f>
        <v>1</v>
      </c>
      <c r="Y62" s="338">
        <f t="shared" si="0"/>
        <v>0.5</v>
      </c>
      <c r="Z62" s="348">
        <f>VLOOKUP(B62,'BCC D1(26)'!$B$12:$W$88,22,0)</f>
        <v>1</v>
      </c>
      <c r="AA62" s="338">
        <f t="shared" si="12"/>
        <v>1.0900000000000001</v>
      </c>
      <c r="AB62" s="333">
        <f t="shared" si="1"/>
        <v>22.580000000000002</v>
      </c>
      <c r="AC62" s="334"/>
      <c r="AD62" s="483"/>
      <c r="AF62" s="516"/>
    </row>
    <row r="63" spans="1:32" s="240" customFormat="1" ht="27" customHeight="1">
      <c r="A63" s="519">
        <f t="shared" si="9"/>
        <v>51</v>
      </c>
      <c r="B63" s="453" t="s">
        <v>149</v>
      </c>
      <c r="C63" s="454" t="s">
        <v>150</v>
      </c>
      <c r="D63" s="518"/>
      <c r="E63" s="518"/>
      <c r="F63" s="520">
        <f>ROUND(VLOOKUP(B63,'BPHAN CHIA '!$B$222:$U$241,20,0),2)</f>
        <v>10.02</v>
      </c>
      <c r="G63" s="517">
        <f t="shared" si="11"/>
        <v>10.98</v>
      </c>
      <c r="H63" s="333"/>
      <c r="I63" s="333"/>
      <c r="J63" s="517"/>
      <c r="K63" s="517"/>
      <c r="L63" s="517"/>
      <c r="M63" s="517"/>
      <c r="N63" s="517"/>
      <c r="O63" s="517"/>
      <c r="P63" s="338"/>
      <c r="Q63" s="338"/>
      <c r="R63" s="337"/>
      <c r="S63" s="337"/>
      <c r="T63" s="348"/>
      <c r="U63" s="338"/>
      <c r="V63" s="348"/>
      <c r="W63" s="338"/>
      <c r="X63" s="348">
        <f>ROUND(VLOOKUP(B63,'BCC D1(26)'!$B$12:$V$79,21,0),0)</f>
        <v>1</v>
      </c>
      <c r="Y63" s="338">
        <f t="shared" si="0"/>
        <v>0.5</v>
      </c>
      <c r="Z63" s="348">
        <f>VLOOKUP(B63,'BCC D1(26)'!$B$12:$W$88,22,0)</f>
        <v>1</v>
      </c>
      <c r="AA63" s="338">
        <f t="shared" si="12"/>
        <v>1.0900000000000001</v>
      </c>
      <c r="AB63" s="333">
        <f t="shared" si="1"/>
        <v>12.57</v>
      </c>
      <c r="AC63" s="334"/>
      <c r="AD63" s="483"/>
      <c r="AF63" s="516"/>
    </row>
    <row r="64" spans="1:32" s="240" customFormat="1" ht="27" customHeight="1">
      <c r="A64" s="519">
        <f t="shared" si="9"/>
        <v>52</v>
      </c>
      <c r="B64" s="457" t="s">
        <v>151</v>
      </c>
      <c r="C64" s="458" t="s">
        <v>152</v>
      </c>
      <c r="D64" s="518"/>
      <c r="E64" s="518"/>
      <c r="F64" s="520">
        <f>ROUND(VLOOKUP(B64,'BPHAN CHIA '!$B$222:$U$241,20,0),2)</f>
        <v>10.02</v>
      </c>
      <c r="G64" s="517">
        <f t="shared" si="11"/>
        <v>10.98</v>
      </c>
      <c r="H64" s="333"/>
      <c r="I64" s="333"/>
      <c r="J64" s="517"/>
      <c r="K64" s="517"/>
      <c r="L64" s="517"/>
      <c r="M64" s="517"/>
      <c r="N64" s="517"/>
      <c r="O64" s="517"/>
      <c r="P64" s="338"/>
      <c r="Q64" s="338"/>
      <c r="R64" s="337"/>
      <c r="S64" s="337"/>
      <c r="T64" s="348"/>
      <c r="U64" s="338"/>
      <c r="V64" s="348"/>
      <c r="W64" s="338"/>
      <c r="X64" s="348">
        <f>ROUND(VLOOKUP(B64,'BCC D1(26)'!$B$12:$V$79,21,0),0)</f>
        <v>1</v>
      </c>
      <c r="Y64" s="338">
        <f t="shared" si="0"/>
        <v>0.5</v>
      </c>
      <c r="Z64" s="348">
        <f>VLOOKUP(B64,'BCC D1(26)'!$B$12:$W$88,22,0)</f>
        <v>1</v>
      </c>
      <c r="AA64" s="338">
        <f t="shared" si="12"/>
        <v>1.0900000000000001</v>
      </c>
      <c r="AB64" s="333">
        <f t="shared" si="1"/>
        <v>12.57</v>
      </c>
      <c r="AC64" s="334"/>
      <c r="AD64" s="483"/>
      <c r="AF64" s="516"/>
    </row>
    <row r="65" spans="1:32" s="240" customFormat="1" ht="27" customHeight="1">
      <c r="A65" s="519">
        <f t="shared" si="9"/>
        <v>53</v>
      </c>
      <c r="B65" s="457" t="s">
        <v>153</v>
      </c>
      <c r="C65" s="458" t="s">
        <v>154</v>
      </c>
      <c r="D65" s="518"/>
      <c r="E65" s="518"/>
      <c r="F65" s="520">
        <f>ROUND(VLOOKUP(B65,'BPHAN CHIA '!$B$222:$U$241,20,0),2)</f>
        <v>10.02</v>
      </c>
      <c r="G65" s="517">
        <f t="shared" si="11"/>
        <v>10.98</v>
      </c>
      <c r="H65" s="333"/>
      <c r="I65" s="333"/>
      <c r="J65" s="517"/>
      <c r="K65" s="517"/>
      <c r="L65" s="517"/>
      <c r="M65" s="517"/>
      <c r="N65" s="517"/>
      <c r="O65" s="517"/>
      <c r="P65" s="338"/>
      <c r="Q65" s="338"/>
      <c r="R65" s="337"/>
      <c r="S65" s="337"/>
      <c r="T65" s="348"/>
      <c r="U65" s="336"/>
      <c r="V65" s="348"/>
      <c r="W65" s="338"/>
      <c r="X65" s="348">
        <f>ROUND(VLOOKUP(B65,'BCC D1(26)'!$B$12:$V$79,21,0),0)</f>
        <v>1</v>
      </c>
      <c r="Y65" s="338">
        <f t="shared" si="0"/>
        <v>0.5</v>
      </c>
      <c r="Z65" s="348">
        <f>VLOOKUP(B65,'BCC D1(26)'!$B$12:$W$88,22,0)</f>
        <v>1</v>
      </c>
      <c r="AA65" s="338">
        <f t="shared" si="12"/>
        <v>1.0900000000000001</v>
      </c>
      <c r="AB65" s="333">
        <f t="shared" si="1"/>
        <v>12.57</v>
      </c>
      <c r="AC65" s="334"/>
      <c r="AD65" s="483"/>
      <c r="AF65" s="516"/>
    </row>
    <row r="66" spans="1:32" s="240" customFormat="1" ht="27" customHeight="1">
      <c r="A66" s="519">
        <f t="shared" si="9"/>
        <v>54</v>
      </c>
      <c r="B66" s="457" t="s">
        <v>155</v>
      </c>
      <c r="C66" s="458" t="s">
        <v>156</v>
      </c>
      <c r="D66" s="518"/>
      <c r="E66" s="518"/>
      <c r="F66" s="520">
        <f>ROUND(VLOOKUP(B66,'BPHAN CHIA '!$B$222:$U$241,20,0),2)</f>
        <v>10.02</v>
      </c>
      <c r="G66" s="517">
        <f t="shared" si="11"/>
        <v>10.98</v>
      </c>
      <c r="H66" s="333"/>
      <c r="I66" s="333"/>
      <c r="J66" s="517"/>
      <c r="K66" s="517"/>
      <c r="L66" s="517"/>
      <c r="M66" s="517"/>
      <c r="N66" s="517"/>
      <c r="O66" s="517"/>
      <c r="P66" s="338"/>
      <c r="Q66" s="338"/>
      <c r="R66" s="337"/>
      <c r="S66" s="337"/>
      <c r="T66" s="348"/>
      <c r="U66" s="337"/>
      <c r="V66" s="348">
        <f>ROUND(VLOOKUP(B66,'BCC D1(26)'!$B$102:$X$114,23,0),0)</f>
        <v>5</v>
      </c>
      <c r="W66" s="338">
        <f t="shared" si="6"/>
        <v>6.25</v>
      </c>
      <c r="X66" s="348">
        <f>ROUND(VLOOKUP(B66,'BCC D1(26)'!$B$12:$V$79,21,0),0)</f>
        <v>1</v>
      </c>
      <c r="Y66" s="338">
        <f t="shared" si="0"/>
        <v>0.5</v>
      </c>
      <c r="Z66" s="348">
        <f>VLOOKUP(B66,'BCC D1(26)'!$B$12:$W$88,22,0)</f>
        <v>1</v>
      </c>
      <c r="AA66" s="338">
        <f t="shared" si="12"/>
        <v>1.0900000000000001</v>
      </c>
      <c r="AB66" s="333">
        <f t="shared" si="1"/>
        <v>18.82</v>
      </c>
      <c r="AC66" s="334"/>
      <c r="AD66" s="483"/>
      <c r="AF66" s="516"/>
    </row>
    <row r="67" spans="1:32" s="240" customFormat="1" ht="27" customHeight="1">
      <c r="A67" s="519">
        <f t="shared" si="9"/>
        <v>55</v>
      </c>
      <c r="B67" s="457" t="s">
        <v>157</v>
      </c>
      <c r="C67" s="458" t="s">
        <v>158</v>
      </c>
      <c r="D67" s="518"/>
      <c r="E67" s="518"/>
      <c r="F67" s="520">
        <f>ROUND(VLOOKUP(B67,'BPHAN CHIA '!$B$222:$U$241,20,0),2)</f>
        <v>10.02</v>
      </c>
      <c r="G67" s="517">
        <f t="shared" si="11"/>
        <v>10.98</v>
      </c>
      <c r="H67" s="333"/>
      <c r="I67" s="333"/>
      <c r="J67" s="517"/>
      <c r="K67" s="517"/>
      <c r="L67" s="517"/>
      <c r="M67" s="517"/>
      <c r="N67" s="517"/>
      <c r="O67" s="517"/>
      <c r="P67" s="338"/>
      <c r="Q67" s="338"/>
      <c r="R67" s="337"/>
      <c r="S67" s="337"/>
      <c r="T67" s="348">
        <f>VLOOKUP(B67,'BCC D1(26)'!$B$93:$X$100,23,0)</f>
        <v>2.5</v>
      </c>
      <c r="U67" s="338">
        <f>ROUND(T67*0.9391,2)</f>
        <v>2.35</v>
      </c>
      <c r="V67" s="348"/>
      <c r="W67" s="338"/>
      <c r="X67" s="348">
        <f>ROUND(VLOOKUP(B67,'BCC D1(26)'!$B$12:$V$79,21,0),0)</f>
        <v>1</v>
      </c>
      <c r="Y67" s="338">
        <f t="shared" si="0"/>
        <v>0.5</v>
      </c>
      <c r="Z67" s="348">
        <f>VLOOKUP(B67,'BCC D1(26)'!$B$12:$W$88,22,0)</f>
        <v>1</v>
      </c>
      <c r="AA67" s="338">
        <f t="shared" si="12"/>
        <v>1.0900000000000001</v>
      </c>
      <c r="AB67" s="333">
        <f t="shared" si="1"/>
        <v>14.92</v>
      </c>
      <c r="AC67" s="334"/>
      <c r="AD67" s="483"/>
      <c r="AF67" s="516"/>
    </row>
    <row r="68" spans="1:32" s="240" customFormat="1" ht="27" customHeight="1">
      <c r="A68" s="519">
        <f t="shared" si="9"/>
        <v>56</v>
      </c>
      <c r="B68" s="457" t="s">
        <v>221</v>
      </c>
      <c r="C68" s="458" t="s">
        <v>222</v>
      </c>
      <c r="D68" s="518"/>
      <c r="E68" s="518"/>
      <c r="F68" s="520">
        <f>ROUND(VLOOKUP(B68,'BPHAN CHIA '!$B$222:$U$241,20,0),2)</f>
        <v>10.02</v>
      </c>
      <c r="G68" s="517">
        <f t="shared" si="11"/>
        <v>10.98</v>
      </c>
      <c r="H68" s="333"/>
      <c r="I68" s="333"/>
      <c r="J68" s="517"/>
      <c r="K68" s="517"/>
      <c r="L68" s="517"/>
      <c r="M68" s="517"/>
      <c r="N68" s="517"/>
      <c r="O68" s="517"/>
      <c r="P68" s="338"/>
      <c r="Q68" s="338"/>
      <c r="R68" s="337"/>
      <c r="S68" s="337"/>
      <c r="T68" s="348"/>
      <c r="U68" s="337"/>
      <c r="V68" s="348"/>
      <c r="W68" s="338"/>
      <c r="X68" s="348">
        <f>ROUND(VLOOKUP(B68,'BCC D1(26)'!$B$12:$V$79,21,0),0)</f>
        <v>1</v>
      </c>
      <c r="Y68" s="338">
        <f t="shared" si="0"/>
        <v>0.5</v>
      </c>
      <c r="Z68" s="348">
        <f>VLOOKUP(B68,'BCC D1(26)'!$B$12:$W$88,22,0)</f>
        <v>1</v>
      </c>
      <c r="AA68" s="338">
        <f t="shared" si="12"/>
        <v>1.0900000000000001</v>
      </c>
      <c r="AB68" s="333">
        <f t="shared" si="1"/>
        <v>12.57</v>
      </c>
      <c r="AC68" s="334"/>
      <c r="AD68" s="483"/>
      <c r="AF68" s="516"/>
    </row>
    <row r="69" spans="1:32" s="240" customFormat="1" ht="27" customHeight="1">
      <c r="A69" s="519">
        <f t="shared" si="9"/>
        <v>57</v>
      </c>
      <c r="B69" s="457" t="s">
        <v>265</v>
      </c>
      <c r="C69" s="458" t="s">
        <v>266</v>
      </c>
      <c r="D69" s="518"/>
      <c r="E69" s="518"/>
      <c r="F69" s="520">
        <f>ROUND(VLOOKUP(B69,'BPHAN CHIA '!$B$222:$U$241,20,0),2)+0.01</f>
        <v>5.85</v>
      </c>
      <c r="G69" s="517">
        <f>ROUND(F69*1.0956,2)-0.01</f>
        <v>6.4</v>
      </c>
      <c r="H69" s="333"/>
      <c r="I69" s="333"/>
      <c r="J69" s="517"/>
      <c r="K69" s="517"/>
      <c r="L69" s="517"/>
      <c r="M69" s="517"/>
      <c r="N69" s="517"/>
      <c r="O69" s="517"/>
      <c r="P69" s="338"/>
      <c r="Q69" s="338"/>
      <c r="R69" s="337"/>
      <c r="S69" s="337"/>
      <c r="T69" s="348"/>
      <c r="U69" s="338"/>
      <c r="V69" s="348"/>
      <c r="W69" s="338"/>
      <c r="X69" s="348">
        <f>ROUND(VLOOKUP(B69,'BCC D1(26)'!$B$12:$V$79,21,0),0)</f>
        <v>1</v>
      </c>
      <c r="Y69" s="338">
        <f t="shared" si="0"/>
        <v>0.5</v>
      </c>
      <c r="Z69" s="348">
        <f>VLOOKUP(B69,'BCC D1(26)'!$B$12:$W$88,22,0)</f>
        <v>1</v>
      </c>
      <c r="AA69" s="338">
        <f t="shared" si="12"/>
        <v>1.0900000000000001</v>
      </c>
      <c r="AB69" s="333">
        <f t="shared" si="1"/>
        <v>7.99</v>
      </c>
      <c r="AC69" s="334"/>
      <c r="AD69" s="483"/>
      <c r="AF69" s="516"/>
    </row>
    <row r="70" spans="1:32" s="240" customFormat="1" ht="27" customHeight="1">
      <c r="A70" s="519">
        <f t="shared" si="9"/>
        <v>58</v>
      </c>
      <c r="B70" s="457" t="s">
        <v>282</v>
      </c>
      <c r="C70" s="567" t="s">
        <v>283</v>
      </c>
      <c r="D70" s="518"/>
      <c r="E70" s="518"/>
      <c r="F70" s="520">
        <f>ROUND(VLOOKUP(B70,'BPHAN CHIA '!$B$222:$U$241,20,0),2)</f>
        <v>10.02</v>
      </c>
      <c r="G70" s="517">
        <f t="shared" si="11"/>
        <v>10.98</v>
      </c>
      <c r="H70" s="333"/>
      <c r="I70" s="333"/>
      <c r="J70" s="517"/>
      <c r="K70" s="517"/>
      <c r="L70" s="517"/>
      <c r="M70" s="517"/>
      <c r="N70" s="517"/>
      <c r="O70" s="517"/>
      <c r="P70" s="338"/>
      <c r="Q70" s="338"/>
      <c r="R70" s="337"/>
      <c r="S70" s="337"/>
      <c r="T70" s="348">
        <f>VLOOKUP(B70,'BCC D1(26)'!$B$93:$X$100,23,0)</f>
        <v>0.5</v>
      </c>
      <c r="U70" s="338">
        <f>ROUND(T70*0.9391,2)-0.01</f>
        <v>0.45999999999999996</v>
      </c>
      <c r="V70" s="348"/>
      <c r="W70" s="338"/>
      <c r="X70" s="348">
        <f>ROUND(VLOOKUP(B70,'BCC D1(26)'!$B$12:$V$79,21,0),0)</f>
        <v>1</v>
      </c>
      <c r="Y70" s="338">
        <f t="shared" si="0"/>
        <v>0.5</v>
      </c>
      <c r="Z70" s="348">
        <f>VLOOKUP(B70,'BCC D1(26)'!$B$12:$W$88,22,0)</f>
        <v>1</v>
      </c>
      <c r="AA70" s="338">
        <f t="shared" si="12"/>
        <v>1.0900000000000001</v>
      </c>
      <c r="AB70" s="333">
        <f t="shared" si="1"/>
        <v>13.030000000000001</v>
      </c>
      <c r="AC70" s="334"/>
      <c r="AD70" s="483"/>
      <c r="AF70" s="516"/>
    </row>
    <row r="71" spans="1:32" s="240" customFormat="1" ht="27" customHeight="1">
      <c r="A71" s="519">
        <f t="shared" si="9"/>
        <v>59</v>
      </c>
      <c r="B71" s="457" t="s">
        <v>284</v>
      </c>
      <c r="C71" s="459" t="s">
        <v>285</v>
      </c>
      <c r="D71" s="518"/>
      <c r="E71" s="518"/>
      <c r="F71" s="520">
        <f>ROUND(VLOOKUP(B71,'BPHAN CHIA '!$B$222:$U$241,20,0),2)+0.01</f>
        <v>4.09</v>
      </c>
      <c r="G71" s="517">
        <f>ROUND(F71*1.0956,2)-0.01</f>
        <v>4.4700000000000006</v>
      </c>
      <c r="H71" s="333"/>
      <c r="I71" s="333"/>
      <c r="J71" s="517"/>
      <c r="K71" s="517"/>
      <c r="L71" s="517"/>
      <c r="M71" s="517"/>
      <c r="N71" s="517"/>
      <c r="O71" s="517"/>
      <c r="P71" s="338"/>
      <c r="Q71" s="338"/>
      <c r="R71" s="337"/>
      <c r="S71" s="337"/>
      <c r="T71" s="347"/>
      <c r="U71" s="337"/>
      <c r="V71" s="348"/>
      <c r="W71" s="338"/>
      <c r="X71" s="348">
        <f>ROUND(VLOOKUP(B71,'BCC D1(26)'!$B$12:$V$79,21,0),0)</f>
        <v>1</v>
      </c>
      <c r="Y71" s="338">
        <f t="shared" si="0"/>
        <v>0.5</v>
      </c>
      <c r="Z71" s="341">
        <f>VLOOKUP(B71,'BCC D1(26)'!$B$12:$W$88,22,0)</f>
        <v>0</v>
      </c>
      <c r="AA71" s="781">
        <f t="shared" si="3"/>
        <v>0</v>
      </c>
      <c r="AB71" s="333">
        <f t="shared" si="1"/>
        <v>4.9700000000000006</v>
      </c>
      <c r="AC71" s="334"/>
      <c r="AD71" s="483"/>
      <c r="AF71" s="516"/>
    </row>
    <row r="72" spans="1:32" s="240" customFormat="1" ht="27" customHeight="1">
      <c r="A72" s="519">
        <f t="shared" si="9"/>
        <v>60</v>
      </c>
      <c r="B72" s="457" t="s">
        <v>286</v>
      </c>
      <c r="C72" s="459" t="s">
        <v>287</v>
      </c>
      <c r="D72" s="518"/>
      <c r="E72" s="518"/>
      <c r="F72" s="520">
        <f>ROUND(VLOOKUP(B72,'BPHAN CHIA '!$B$222:$U$241,20,0),2)</f>
        <v>10.02</v>
      </c>
      <c r="G72" s="517">
        <f>ROUND(F72*1.0956,2)</f>
        <v>10.98</v>
      </c>
      <c r="H72" s="333"/>
      <c r="I72" s="333"/>
      <c r="J72" s="517"/>
      <c r="K72" s="517"/>
      <c r="L72" s="517"/>
      <c r="M72" s="517"/>
      <c r="N72" s="517"/>
      <c r="O72" s="517"/>
      <c r="P72" s="338"/>
      <c r="Q72" s="338"/>
      <c r="R72" s="337"/>
      <c r="S72" s="337"/>
      <c r="T72" s="347"/>
      <c r="U72" s="337"/>
      <c r="V72" s="348"/>
      <c r="W72" s="338"/>
      <c r="X72" s="348">
        <f>ROUND(VLOOKUP(B72,'BCC D1(26)'!$B$12:$V$79,21,0),0)</f>
        <v>1</v>
      </c>
      <c r="Y72" s="338">
        <f t="shared" si="0"/>
        <v>0.5</v>
      </c>
      <c r="Z72" s="348">
        <f>VLOOKUP(B72,'BCC D1(26)'!$B$12:$W$88,22,0)</f>
        <v>1</v>
      </c>
      <c r="AA72" s="338">
        <f t="shared" ref="AA72:AA75" si="14">ROUND(Z72*1.0956,2)-0.01</f>
        <v>1.0900000000000001</v>
      </c>
      <c r="AB72" s="333">
        <f t="shared" si="1"/>
        <v>12.57</v>
      </c>
      <c r="AC72" s="334"/>
      <c r="AD72" s="483"/>
      <c r="AF72" s="516"/>
    </row>
    <row r="73" spans="1:32" s="240" customFormat="1" ht="23.1" customHeight="1">
      <c r="A73" s="519">
        <f t="shared" si="9"/>
        <v>61</v>
      </c>
      <c r="B73" s="457" t="s">
        <v>324</v>
      </c>
      <c r="C73" s="567" t="s">
        <v>325</v>
      </c>
      <c r="D73" s="518"/>
      <c r="E73" s="518"/>
      <c r="F73" s="520">
        <f>ROUND(VLOOKUP(B73,'BPHAN CHIA '!$B$222:$U$241,20,0),2)</f>
        <v>10.02</v>
      </c>
      <c r="G73" s="517">
        <f t="shared" ref="G73:G74" si="15">ROUND(F73*1.0956,2)</f>
        <v>10.98</v>
      </c>
      <c r="H73" s="333"/>
      <c r="I73" s="333"/>
      <c r="J73" s="517"/>
      <c r="K73" s="517"/>
      <c r="L73" s="517"/>
      <c r="M73" s="517"/>
      <c r="N73" s="517"/>
      <c r="O73" s="517"/>
      <c r="P73" s="338"/>
      <c r="Q73" s="338"/>
      <c r="R73" s="337"/>
      <c r="S73" s="337"/>
      <c r="T73" s="347"/>
      <c r="U73" s="338"/>
      <c r="V73" s="348">
        <f>ROUND(VLOOKUP(B73,'BCC D1(26)'!$B$102:$X$114,23,0),0)</f>
        <v>5</v>
      </c>
      <c r="W73" s="338">
        <f t="shared" si="6"/>
        <v>6.25</v>
      </c>
      <c r="X73" s="348">
        <f>ROUND(VLOOKUP(B73,'BCC D1(26)'!$B$12:$V$79,21,0),0)</f>
        <v>1</v>
      </c>
      <c r="Y73" s="338">
        <f>ROUND(X73*0.5008,2)</f>
        <v>0.5</v>
      </c>
      <c r="Z73" s="348">
        <f>VLOOKUP(B73,'BCC D1(26)'!$B$12:$W$88,22,0)</f>
        <v>1</v>
      </c>
      <c r="AA73" s="338">
        <f t="shared" si="14"/>
        <v>1.0900000000000001</v>
      </c>
      <c r="AB73" s="333">
        <f t="shared" si="1"/>
        <v>18.82</v>
      </c>
      <c r="AC73" s="334"/>
      <c r="AD73" s="483"/>
      <c r="AF73" s="516"/>
    </row>
    <row r="74" spans="1:32" s="240" customFormat="1" ht="23.1" customHeight="1">
      <c r="A74" s="519">
        <f t="shared" si="9"/>
        <v>62</v>
      </c>
      <c r="B74" s="457" t="s">
        <v>339</v>
      </c>
      <c r="C74" s="459" t="s">
        <v>340</v>
      </c>
      <c r="D74" s="518"/>
      <c r="E74" s="518"/>
      <c r="F74" s="520">
        <f>ROUND(VLOOKUP(B74,'BPHAN CHIA '!$B$222:$U$241,20,0),2)</f>
        <v>10.02</v>
      </c>
      <c r="G74" s="517">
        <f t="shared" si="15"/>
        <v>10.98</v>
      </c>
      <c r="H74" s="333"/>
      <c r="I74" s="333"/>
      <c r="J74" s="517"/>
      <c r="K74" s="517"/>
      <c r="L74" s="517"/>
      <c r="M74" s="517"/>
      <c r="N74" s="517"/>
      <c r="O74" s="517"/>
      <c r="P74" s="338"/>
      <c r="Q74" s="338"/>
      <c r="R74" s="337"/>
      <c r="S74" s="337"/>
      <c r="T74" s="347"/>
      <c r="U74" s="337"/>
      <c r="V74" s="348"/>
      <c r="W74" s="338"/>
      <c r="X74" s="348">
        <f>ROUND(VLOOKUP(B74,'BCC D1(26)'!$B$12:$V$79,21,0),0)</f>
        <v>1</v>
      </c>
      <c r="Y74" s="338">
        <f t="shared" ref="Y74:Y77" si="16">ROUND(X74*0.5008,2)</f>
        <v>0.5</v>
      </c>
      <c r="Z74" s="348">
        <f>VLOOKUP(B74,'BCC D1(26)'!$B$12:$W$88,22,0)</f>
        <v>1</v>
      </c>
      <c r="AA74" s="338">
        <f t="shared" si="14"/>
        <v>1.0900000000000001</v>
      </c>
      <c r="AB74" s="333">
        <f t="shared" si="1"/>
        <v>12.57</v>
      </c>
      <c r="AC74" s="334"/>
      <c r="AD74" s="483"/>
      <c r="AF74" s="516"/>
    </row>
    <row r="75" spans="1:32" s="240" customFormat="1" ht="23.1" customHeight="1">
      <c r="A75" s="519">
        <f t="shared" si="9"/>
        <v>63</v>
      </c>
      <c r="B75" s="249" t="s">
        <v>159</v>
      </c>
      <c r="C75" s="472" t="s">
        <v>160</v>
      </c>
      <c r="D75" s="518">
        <f>ROUND(VLOOKUP(B75,'BPHAN CHIA '!$B$64:$U$72,20,0)*1.1,2)</f>
        <v>58.33</v>
      </c>
      <c r="E75" s="518">
        <f t="shared" ref="E75:E80" si="17">ROUND(0.7199*D75,2)</f>
        <v>41.99</v>
      </c>
      <c r="F75" s="520"/>
      <c r="G75" s="517"/>
      <c r="H75" s="333"/>
      <c r="I75" s="333"/>
      <c r="J75" s="517"/>
      <c r="K75" s="517"/>
      <c r="L75" s="517"/>
      <c r="M75" s="517"/>
      <c r="N75" s="517"/>
      <c r="O75" s="517"/>
      <c r="P75" s="338"/>
      <c r="Q75" s="338"/>
      <c r="R75" s="337"/>
      <c r="S75" s="337"/>
      <c r="T75" s="347"/>
      <c r="U75" s="337"/>
      <c r="V75" s="348"/>
      <c r="W75" s="338"/>
      <c r="X75" s="348">
        <f>'BCC D1(26)'!V80</f>
        <v>1</v>
      </c>
      <c r="Y75" s="338">
        <f t="shared" si="16"/>
        <v>0.5</v>
      </c>
      <c r="Z75" s="348">
        <f>VLOOKUP(B75,'BCC D1(26)'!$B$12:$W$88,22,0)</f>
        <v>1</v>
      </c>
      <c r="AA75" s="338">
        <f t="shared" si="14"/>
        <v>1.0900000000000001</v>
      </c>
      <c r="AB75" s="333">
        <f t="shared" si="1"/>
        <v>43.580000000000005</v>
      </c>
      <c r="AC75" s="334"/>
      <c r="AD75" s="483"/>
      <c r="AF75" s="516"/>
    </row>
    <row r="76" spans="1:32" s="240" customFormat="1" ht="24" customHeight="1">
      <c r="A76" s="519">
        <f t="shared" si="9"/>
        <v>64</v>
      </c>
      <c r="B76" s="249" t="s">
        <v>161</v>
      </c>
      <c r="C76" s="469" t="s">
        <v>162</v>
      </c>
      <c r="D76" s="518">
        <f>ROUND(VLOOKUP(B76,'BPHAN CHIA '!$B$64:$U$72,20,0),2)</f>
        <v>44.09</v>
      </c>
      <c r="E76" s="518">
        <f t="shared" si="17"/>
        <v>31.74</v>
      </c>
      <c r="F76" s="520"/>
      <c r="G76" s="517"/>
      <c r="H76" s="333"/>
      <c r="I76" s="333"/>
      <c r="J76" s="517"/>
      <c r="K76" s="517"/>
      <c r="L76" s="517"/>
      <c r="M76" s="517"/>
      <c r="N76" s="517"/>
      <c r="O76" s="517"/>
      <c r="P76" s="338"/>
      <c r="Q76" s="338"/>
      <c r="R76" s="337"/>
      <c r="S76" s="337"/>
      <c r="T76" s="347"/>
      <c r="U76" s="337"/>
      <c r="V76" s="348"/>
      <c r="W76" s="338"/>
      <c r="X76" s="348">
        <f>'BCC D1(26)'!V81</f>
        <v>1</v>
      </c>
      <c r="Y76" s="338">
        <f t="shared" si="16"/>
        <v>0.5</v>
      </c>
      <c r="Z76" s="341">
        <f>VLOOKUP(B76,'BCC D1(26)'!$B$12:$W$88,22,0)</f>
        <v>0</v>
      </c>
      <c r="AA76" s="781">
        <f t="shared" si="3"/>
        <v>0</v>
      </c>
      <c r="AB76" s="333">
        <f t="shared" si="1"/>
        <v>32.239999999999995</v>
      </c>
      <c r="AC76" s="334"/>
      <c r="AD76" s="483"/>
      <c r="AF76" s="516"/>
    </row>
    <row r="77" spans="1:32" s="240" customFormat="1" ht="24" customHeight="1">
      <c r="A77" s="519">
        <f t="shared" si="9"/>
        <v>65</v>
      </c>
      <c r="B77" s="474" t="s">
        <v>163</v>
      </c>
      <c r="C77" s="472" t="s">
        <v>164</v>
      </c>
      <c r="D77" s="518">
        <f>ROUND(VLOOKUP(B77,'BPHAN CHIA '!$B$64:$U$72,20,0),2)</f>
        <v>48.7</v>
      </c>
      <c r="E77" s="518">
        <f t="shared" si="17"/>
        <v>35.06</v>
      </c>
      <c r="F77" s="520"/>
      <c r="G77" s="517"/>
      <c r="H77" s="333"/>
      <c r="I77" s="333"/>
      <c r="J77" s="517"/>
      <c r="K77" s="517"/>
      <c r="L77" s="517"/>
      <c r="M77" s="517"/>
      <c r="N77" s="517"/>
      <c r="O77" s="517"/>
      <c r="P77" s="338"/>
      <c r="Q77" s="338"/>
      <c r="R77" s="337"/>
      <c r="S77" s="337"/>
      <c r="T77" s="347"/>
      <c r="U77" s="337"/>
      <c r="V77" s="348"/>
      <c r="W77" s="338"/>
      <c r="X77" s="348">
        <f>'BCC D1(26)'!V82</f>
        <v>1</v>
      </c>
      <c r="Y77" s="338">
        <f t="shared" si="16"/>
        <v>0.5</v>
      </c>
      <c r="Z77" s="348">
        <f>VLOOKUP(B77,'BCC D1(26)'!$B$12:$W$88,22,0)</f>
        <v>1</v>
      </c>
      <c r="AA77" s="338">
        <f t="shared" ref="AA77:AA82" si="18">ROUND(Z77*1.0956,2)-0.01</f>
        <v>1.0900000000000001</v>
      </c>
      <c r="AB77" s="333">
        <f t="shared" ref="AB77:AB82" si="19">SUM(G77,E77,S77,Q77,O77,M77,K77,I77,U77,Y77,AA77,W77)</f>
        <v>36.650000000000006</v>
      </c>
      <c r="AC77" s="334"/>
      <c r="AD77" s="483"/>
      <c r="AF77" s="516"/>
    </row>
    <row r="78" spans="1:32" s="240" customFormat="1" ht="24" customHeight="1">
      <c r="A78" s="519">
        <f t="shared" ref="A78:A83" si="20">+A77+1</f>
        <v>66</v>
      </c>
      <c r="B78" s="474" t="s">
        <v>217</v>
      </c>
      <c r="C78" s="568" t="s">
        <v>218</v>
      </c>
      <c r="D78" s="518">
        <f>ROUND(VLOOKUP(B78,'BPHAN CHIA '!$B$64:$U$72,20,0),2)</f>
        <v>44.96</v>
      </c>
      <c r="E78" s="518">
        <f>ROUND(0.7199*D78,2)+0.01</f>
        <v>32.379999999999995</v>
      </c>
      <c r="F78" s="520"/>
      <c r="G78" s="517"/>
      <c r="H78" s="333"/>
      <c r="I78" s="333"/>
      <c r="J78" s="517"/>
      <c r="K78" s="517"/>
      <c r="L78" s="517"/>
      <c r="M78" s="517"/>
      <c r="N78" s="517"/>
      <c r="O78" s="517"/>
      <c r="P78" s="338"/>
      <c r="Q78" s="338"/>
      <c r="R78" s="337"/>
      <c r="S78" s="337"/>
      <c r="T78" s="347"/>
      <c r="U78" s="337"/>
      <c r="V78" s="348"/>
      <c r="W78" s="338"/>
      <c r="X78" s="348">
        <f>'BCC D1(26)'!V83</f>
        <v>1</v>
      </c>
      <c r="Y78" s="338">
        <f t="shared" ref="Y78:Y82" si="21">ROUND(X78*0.5008,2)+0.01</f>
        <v>0.51</v>
      </c>
      <c r="Z78" s="348">
        <f>VLOOKUP(B78,'BCC D1(26)'!$B$12:$W$88,22,0)</f>
        <v>1</v>
      </c>
      <c r="AA78" s="338">
        <f t="shared" si="18"/>
        <v>1.0900000000000001</v>
      </c>
      <c r="AB78" s="333">
        <f t="shared" si="19"/>
        <v>33.979999999999997</v>
      </c>
      <c r="AC78" s="334"/>
      <c r="AD78" s="483"/>
      <c r="AF78" s="516"/>
    </row>
    <row r="79" spans="1:32" s="240" customFormat="1" ht="24" customHeight="1">
      <c r="A79" s="519">
        <f t="shared" si="20"/>
        <v>67</v>
      </c>
      <c r="B79" s="249" t="s">
        <v>165</v>
      </c>
      <c r="C79" s="467" t="s">
        <v>191</v>
      </c>
      <c r="D79" s="518">
        <f>ROUND(VLOOKUP(B79,'BPHAN CHIA '!$B$64:$U$72,20,0),2)</f>
        <v>48.42</v>
      </c>
      <c r="E79" s="518">
        <f t="shared" si="17"/>
        <v>34.86</v>
      </c>
      <c r="F79" s="520"/>
      <c r="G79" s="517"/>
      <c r="H79" s="333"/>
      <c r="I79" s="333"/>
      <c r="J79" s="517"/>
      <c r="K79" s="517"/>
      <c r="L79" s="517"/>
      <c r="M79" s="517"/>
      <c r="N79" s="517"/>
      <c r="O79" s="517"/>
      <c r="P79" s="338"/>
      <c r="Q79" s="338"/>
      <c r="R79" s="337"/>
      <c r="S79" s="337"/>
      <c r="T79" s="347"/>
      <c r="U79" s="337"/>
      <c r="V79" s="348"/>
      <c r="W79" s="338"/>
      <c r="X79" s="348">
        <f>'BCC D1(26)'!V84</f>
        <v>1</v>
      </c>
      <c r="Y79" s="338">
        <f t="shared" si="21"/>
        <v>0.51</v>
      </c>
      <c r="Z79" s="348">
        <f>VLOOKUP(B79,'BCC D1(26)'!$B$12:$W$88,22,0)</f>
        <v>1</v>
      </c>
      <c r="AA79" s="338">
        <f t="shared" si="18"/>
        <v>1.0900000000000001</v>
      </c>
      <c r="AB79" s="333">
        <f t="shared" si="19"/>
        <v>36.46</v>
      </c>
      <c r="AC79" s="334"/>
      <c r="AD79" s="483"/>
      <c r="AF79" s="516"/>
    </row>
    <row r="80" spans="1:32" s="240" customFormat="1" ht="24" customHeight="1">
      <c r="A80" s="519">
        <f t="shared" si="20"/>
        <v>68</v>
      </c>
      <c r="B80" s="249" t="s">
        <v>166</v>
      </c>
      <c r="C80" s="467" t="s">
        <v>167</v>
      </c>
      <c r="D80" s="518">
        <f>ROUND(VLOOKUP(B80,'BPHAN CHIA '!$B$64:$U$72,20,0),2)</f>
        <v>48.42</v>
      </c>
      <c r="E80" s="518">
        <f t="shared" si="17"/>
        <v>34.86</v>
      </c>
      <c r="F80" s="520"/>
      <c r="G80" s="517"/>
      <c r="H80" s="333"/>
      <c r="I80" s="333"/>
      <c r="J80" s="517"/>
      <c r="K80" s="517"/>
      <c r="L80" s="517"/>
      <c r="M80" s="517"/>
      <c r="N80" s="517"/>
      <c r="O80" s="517"/>
      <c r="P80" s="338"/>
      <c r="Q80" s="338"/>
      <c r="R80" s="337"/>
      <c r="S80" s="337"/>
      <c r="T80" s="347"/>
      <c r="U80" s="337"/>
      <c r="V80" s="348"/>
      <c r="W80" s="338"/>
      <c r="X80" s="348">
        <f>'BCC D1(26)'!V85</f>
        <v>1</v>
      </c>
      <c r="Y80" s="338">
        <f t="shared" si="21"/>
        <v>0.51</v>
      </c>
      <c r="Z80" s="348">
        <f>VLOOKUP(B80,'BCC D1(26)'!$B$12:$W$88,22,0)</f>
        <v>1</v>
      </c>
      <c r="AA80" s="338">
        <f t="shared" si="18"/>
        <v>1.0900000000000001</v>
      </c>
      <c r="AB80" s="333">
        <f t="shared" si="19"/>
        <v>36.46</v>
      </c>
      <c r="AC80" s="334"/>
      <c r="AD80" s="483"/>
      <c r="AF80" s="516"/>
    </row>
    <row r="81" spans="1:40" s="240" customFormat="1" ht="24" customHeight="1">
      <c r="A81" s="519">
        <f t="shared" si="20"/>
        <v>69</v>
      </c>
      <c r="B81" s="475" t="s">
        <v>168</v>
      </c>
      <c r="C81" s="476" t="s">
        <v>169</v>
      </c>
      <c r="D81" s="518">
        <f>ROUND(VLOOKUP(B81,'BPHAN CHIA '!$B$64:$U$72,20,0),2)</f>
        <v>53.03</v>
      </c>
      <c r="E81" s="518">
        <f>ROUND(0.7199*D81,2)-0.01</f>
        <v>38.17</v>
      </c>
      <c r="F81" s="520"/>
      <c r="G81" s="517"/>
      <c r="H81" s="333"/>
      <c r="I81" s="333"/>
      <c r="J81" s="517"/>
      <c r="K81" s="517"/>
      <c r="L81" s="517"/>
      <c r="M81" s="517"/>
      <c r="N81" s="517"/>
      <c r="O81" s="517"/>
      <c r="P81" s="338"/>
      <c r="Q81" s="338"/>
      <c r="R81" s="337"/>
      <c r="S81" s="337"/>
      <c r="T81" s="347"/>
      <c r="U81" s="337"/>
      <c r="V81" s="348"/>
      <c r="W81" s="338"/>
      <c r="X81" s="348">
        <f>'BCC D1(26)'!V86</f>
        <v>1</v>
      </c>
      <c r="Y81" s="338">
        <f t="shared" si="21"/>
        <v>0.51</v>
      </c>
      <c r="Z81" s="348">
        <f>VLOOKUP(B81,'BCC D1(26)'!$B$12:$W$88,22,0)</f>
        <v>1</v>
      </c>
      <c r="AA81" s="338">
        <f t="shared" si="18"/>
        <v>1.0900000000000001</v>
      </c>
      <c r="AB81" s="333">
        <f t="shared" si="19"/>
        <v>39.770000000000003</v>
      </c>
      <c r="AC81" s="334"/>
      <c r="AD81" s="483"/>
      <c r="AF81" s="516"/>
    </row>
    <row r="82" spans="1:40" s="240" customFormat="1" ht="24" customHeight="1">
      <c r="A82" s="519">
        <f t="shared" si="20"/>
        <v>70</v>
      </c>
      <c r="B82" s="552" t="s">
        <v>72</v>
      </c>
      <c r="C82" s="555" t="s">
        <v>73</v>
      </c>
      <c r="D82" s="518">
        <f>ROUND(VLOOKUP(B82,'BPHAN CHIA '!$B$64:$U$72,20,0),2)</f>
        <v>53.03</v>
      </c>
      <c r="E82" s="518">
        <f>ROUND(0.7199*D82,2)-0.01</f>
        <v>38.17</v>
      </c>
      <c r="F82" s="520"/>
      <c r="G82" s="517"/>
      <c r="H82" s="333"/>
      <c r="I82" s="333"/>
      <c r="J82" s="517"/>
      <c r="K82" s="517"/>
      <c r="L82" s="517"/>
      <c r="M82" s="517"/>
      <c r="N82" s="517"/>
      <c r="O82" s="517"/>
      <c r="P82" s="338"/>
      <c r="Q82" s="338"/>
      <c r="R82" s="337"/>
      <c r="S82" s="337"/>
      <c r="T82" s="347"/>
      <c r="U82" s="337"/>
      <c r="V82" s="348"/>
      <c r="W82" s="338"/>
      <c r="X82" s="348">
        <f>'BCC D1(26)'!V87</f>
        <v>1</v>
      </c>
      <c r="Y82" s="338">
        <f t="shared" si="21"/>
        <v>0.51</v>
      </c>
      <c r="Z82" s="348">
        <f>VLOOKUP(B82,'BCC D1(26)'!$B$12:$W$88,22,0)</f>
        <v>1</v>
      </c>
      <c r="AA82" s="338">
        <f t="shared" si="18"/>
        <v>1.0900000000000001</v>
      </c>
      <c r="AB82" s="333">
        <f t="shared" si="19"/>
        <v>39.770000000000003</v>
      </c>
      <c r="AC82" s="334"/>
      <c r="AD82" s="483"/>
      <c r="AF82" s="516"/>
    </row>
    <row r="83" spans="1:40" s="240" customFormat="1" ht="24" customHeight="1">
      <c r="A83" s="519">
        <f t="shared" si="20"/>
        <v>71</v>
      </c>
      <c r="B83" s="249" t="s">
        <v>170</v>
      </c>
      <c r="C83" s="467" t="s">
        <v>171</v>
      </c>
      <c r="D83" s="518">
        <f>ROUND(VLOOKUP(B83,'BPHAN CHIA '!$B$64:$U$72,20,0),2)</f>
        <v>44.38</v>
      </c>
      <c r="E83" s="518">
        <f>ROUND(0.7199*D83,2)-0.03</f>
        <v>31.919999999999998</v>
      </c>
      <c r="F83" s="517"/>
      <c r="G83" s="517"/>
      <c r="H83" s="333"/>
      <c r="I83" s="333"/>
      <c r="J83" s="517"/>
      <c r="K83" s="517"/>
      <c r="L83" s="517"/>
      <c r="M83" s="517"/>
      <c r="N83" s="517"/>
      <c r="O83" s="517"/>
      <c r="P83" s="338"/>
      <c r="Q83" s="338"/>
      <c r="R83" s="337"/>
      <c r="S83" s="337"/>
      <c r="T83" s="347"/>
      <c r="U83" s="337"/>
      <c r="V83" s="348"/>
      <c r="W83" s="338"/>
      <c r="X83" s="348">
        <f>'BCC D1(26)'!V88</f>
        <v>1</v>
      </c>
      <c r="Y83" s="338">
        <f>ROUND(X83*0.5008,2)+0.01</f>
        <v>0.51</v>
      </c>
      <c r="Z83" s="348">
        <f>VLOOKUP(B83,'BCC D1(26)'!$B$12:$W$88,22,0)</f>
        <v>1</v>
      </c>
      <c r="AA83" s="338">
        <f>ROUND(Z83*1.0956,2)-0.01</f>
        <v>1.0900000000000001</v>
      </c>
      <c r="AB83" s="333">
        <f>SUM(G83,E83,S83,Q83,O83,M83,K83,I83,U83,Y83,AA83,W83)</f>
        <v>33.520000000000003</v>
      </c>
      <c r="AC83" s="334"/>
      <c r="AD83" s="483"/>
      <c r="AF83" s="516"/>
    </row>
    <row r="84" spans="1:40" s="275" customFormat="1" ht="24" customHeight="1">
      <c r="A84" s="309"/>
      <c r="B84" s="891" t="s">
        <v>172</v>
      </c>
      <c r="C84" s="892"/>
      <c r="D84" s="571">
        <f t="shared" ref="D84:AA84" si="22">SUM(D13:D83)</f>
        <v>945.14999999999986</v>
      </c>
      <c r="E84" s="572">
        <f t="shared" si="22"/>
        <v>680.40999999999985</v>
      </c>
      <c r="F84" s="571">
        <f t="shared" si="22"/>
        <v>363.84999999999997</v>
      </c>
      <c r="G84" s="572">
        <f t="shared" si="22"/>
        <v>398.63000000000017</v>
      </c>
      <c r="H84" s="571">
        <f t="shared" si="22"/>
        <v>12</v>
      </c>
      <c r="I84" s="572">
        <f t="shared" si="22"/>
        <v>14.68</v>
      </c>
      <c r="J84" s="571">
        <f t="shared" si="22"/>
        <v>28</v>
      </c>
      <c r="K84" s="572">
        <f t="shared" si="22"/>
        <v>28.549999999999997</v>
      </c>
      <c r="L84" s="571">
        <f t="shared" si="22"/>
        <v>72</v>
      </c>
      <c r="M84" s="572">
        <f t="shared" si="22"/>
        <v>102.67000000000002</v>
      </c>
      <c r="N84" s="571">
        <f t="shared" si="22"/>
        <v>27</v>
      </c>
      <c r="O84" s="572">
        <f t="shared" si="22"/>
        <v>26.2</v>
      </c>
      <c r="P84" s="571">
        <f t="shared" si="22"/>
        <v>40.5</v>
      </c>
      <c r="Q84" s="572">
        <f t="shared" si="22"/>
        <v>57.600000000000009</v>
      </c>
      <c r="R84" s="571">
        <f t="shared" si="22"/>
        <v>10.5</v>
      </c>
      <c r="S84" s="572">
        <f t="shared" si="22"/>
        <v>13.8</v>
      </c>
      <c r="T84" s="571">
        <f t="shared" si="22"/>
        <v>15.5</v>
      </c>
      <c r="U84" s="572">
        <f t="shared" si="22"/>
        <v>14.559999999999999</v>
      </c>
      <c r="V84" s="572">
        <f t="shared" si="22"/>
        <v>64</v>
      </c>
      <c r="W84" s="572">
        <f t="shared" si="22"/>
        <v>80</v>
      </c>
      <c r="X84" s="571">
        <f t="shared" si="22"/>
        <v>71</v>
      </c>
      <c r="Y84" s="572">
        <f t="shared" si="22"/>
        <v>35.559999999999988</v>
      </c>
      <c r="Z84" s="571">
        <f t="shared" si="22"/>
        <v>60</v>
      </c>
      <c r="AA84" s="572">
        <f t="shared" si="22"/>
        <v>65.740000000000109</v>
      </c>
      <c r="AB84" s="571">
        <f>SUM(AB13:AB83)</f>
        <v>1518.3999999999994</v>
      </c>
      <c r="AC84" s="515"/>
      <c r="AD84" s="514"/>
      <c r="AE84" s="514"/>
      <c r="AF84" s="514" t="e">
        <f>#REF!+#REF!+#REF!+I84+K84+M84+O84+Q84+#REF!+S84</f>
        <v>#REF!</v>
      </c>
      <c r="AG84" s="513"/>
      <c r="AI84" s="512"/>
    </row>
    <row r="85" spans="1:40" s="486" customFormat="1" ht="18" customHeight="1">
      <c r="A85" s="356"/>
      <c r="B85" s="356"/>
      <c r="C85" s="511"/>
      <c r="D85" s="510"/>
      <c r="E85" s="510"/>
      <c r="F85" s="510"/>
      <c r="G85" s="510"/>
      <c r="H85" s="509"/>
      <c r="I85" s="509"/>
      <c r="J85" s="509"/>
      <c r="K85" s="509"/>
      <c r="L85" s="509"/>
      <c r="M85" s="485"/>
      <c r="N85" s="485"/>
      <c r="O85" s="485"/>
      <c r="P85" s="485"/>
      <c r="Q85" s="485"/>
      <c r="R85" s="485"/>
      <c r="S85" s="485"/>
      <c r="T85" s="485"/>
      <c r="U85" s="484"/>
      <c r="V85" s="484"/>
      <c r="W85" s="484"/>
      <c r="X85" s="484"/>
      <c r="Y85" s="484"/>
      <c r="Z85" s="484"/>
      <c r="AA85" s="484"/>
      <c r="AB85" s="507"/>
      <c r="AC85" s="356"/>
      <c r="AD85" s="508"/>
      <c r="AE85" s="507"/>
      <c r="AF85" s="356"/>
      <c r="AG85" s="356"/>
      <c r="AH85" s="502"/>
      <c r="AI85" s="502"/>
      <c r="AJ85" s="506"/>
      <c r="AK85" s="506"/>
      <c r="AL85" s="506"/>
      <c r="AM85" s="506"/>
      <c r="AN85" s="506"/>
    </row>
    <row r="86" spans="1:40" s="486" customFormat="1">
      <c r="A86" s="896" t="s">
        <v>173</v>
      </c>
      <c r="B86" s="896"/>
      <c r="C86" s="896"/>
      <c r="D86" s="896"/>
      <c r="E86" s="896"/>
      <c r="F86" s="896"/>
      <c r="G86" s="896"/>
      <c r="H86" s="896"/>
      <c r="I86" s="896"/>
      <c r="J86" s="505"/>
      <c r="K86" s="505"/>
      <c r="L86" s="505"/>
      <c r="M86" s="505"/>
      <c r="N86" s="505"/>
      <c r="O86" s="505"/>
      <c r="P86" s="505"/>
      <c r="Q86" s="493"/>
      <c r="R86" s="854" t="s">
        <v>193</v>
      </c>
      <c r="S86" s="854"/>
      <c r="T86" s="854"/>
      <c r="U86" s="854"/>
      <c r="V86" s="854"/>
      <c r="W86" s="854"/>
      <c r="X86" s="854"/>
      <c r="Y86" s="854"/>
      <c r="Z86" s="854"/>
      <c r="AA86" s="854"/>
      <c r="AB86" s="854"/>
      <c r="AC86" s="854"/>
      <c r="AD86" s="503"/>
      <c r="AE86" s="504"/>
      <c r="AF86" s="503"/>
      <c r="AG86" s="503"/>
      <c r="AH86" s="502"/>
      <c r="AI86" s="502"/>
      <c r="AJ86" s="501"/>
      <c r="AK86" s="501"/>
      <c r="AL86" s="501"/>
      <c r="AM86" s="501"/>
      <c r="AN86" s="501"/>
    </row>
    <row r="87" spans="1:40" s="486" customFormat="1" ht="29.25" customHeight="1">
      <c r="C87" s="500"/>
      <c r="D87" s="493"/>
      <c r="E87" s="493"/>
      <c r="F87" s="493"/>
      <c r="G87" s="493"/>
      <c r="H87" s="499"/>
      <c r="I87" s="499"/>
      <c r="J87" s="499"/>
      <c r="K87" s="499"/>
      <c r="L87" s="499"/>
      <c r="M87" s="499"/>
      <c r="N87" s="499"/>
      <c r="O87" s="499"/>
      <c r="P87" s="499"/>
      <c r="Q87" s="493"/>
      <c r="R87" s="358"/>
      <c r="S87" s="480"/>
      <c r="T87" s="101"/>
      <c r="U87" s="358"/>
      <c r="V87" s="358"/>
      <c r="W87" s="358"/>
      <c r="X87" s="358"/>
      <c r="Y87" s="358"/>
      <c r="Z87" s="358"/>
      <c r="AA87" s="358"/>
      <c r="AB87" s="480"/>
      <c r="AC87" s="101"/>
      <c r="AD87" s="498"/>
      <c r="AE87" s="497"/>
      <c r="AF87" s="497"/>
      <c r="AG87" s="497"/>
    </row>
    <row r="88" spans="1:40" s="486" customFormat="1" ht="27.75" customHeight="1">
      <c r="A88" s="895"/>
      <c r="B88" s="895"/>
      <c r="C88" s="895"/>
      <c r="D88" s="496"/>
      <c r="E88" s="496"/>
      <c r="F88" s="496"/>
      <c r="G88" s="496"/>
      <c r="H88" s="495"/>
      <c r="I88" s="495"/>
      <c r="J88" s="495"/>
      <c r="K88" s="495"/>
      <c r="L88" s="495"/>
      <c r="M88" s="495"/>
      <c r="N88" s="495"/>
      <c r="O88" s="495"/>
      <c r="P88" s="495"/>
      <c r="Q88" s="493"/>
      <c r="R88" s="494"/>
      <c r="S88" s="494"/>
      <c r="T88" s="494"/>
      <c r="U88" s="494"/>
      <c r="V88" s="494"/>
      <c r="W88" s="494"/>
      <c r="X88" s="494"/>
      <c r="Y88" s="494"/>
      <c r="Z88" s="494"/>
      <c r="AA88" s="494"/>
      <c r="AB88" s="494"/>
      <c r="AC88" s="494"/>
      <c r="AD88" s="895"/>
      <c r="AE88" s="895"/>
      <c r="AF88" s="895"/>
      <c r="AG88" s="895"/>
    </row>
    <row r="89" spans="1:40" s="486" customFormat="1">
      <c r="A89" s="259"/>
      <c r="B89" s="259"/>
      <c r="C89" s="491"/>
      <c r="D89" s="490"/>
      <c r="E89" s="490"/>
      <c r="F89" s="490"/>
      <c r="G89" s="490"/>
      <c r="H89" s="490"/>
      <c r="I89" s="490"/>
      <c r="J89" s="490"/>
      <c r="K89" s="490"/>
      <c r="L89" s="490"/>
      <c r="M89" s="490"/>
      <c r="N89" s="490"/>
      <c r="O89" s="490"/>
      <c r="P89" s="490"/>
      <c r="Q89" s="490"/>
      <c r="R89" s="897" t="s">
        <v>17</v>
      </c>
      <c r="S89" s="897"/>
      <c r="T89" s="897"/>
      <c r="U89" s="897"/>
      <c r="V89" s="897"/>
      <c r="W89" s="897"/>
      <c r="X89" s="897"/>
      <c r="Y89" s="897"/>
      <c r="Z89" s="897"/>
      <c r="AA89" s="897"/>
      <c r="AB89" s="897"/>
      <c r="AC89" s="897"/>
      <c r="AD89" s="259"/>
      <c r="AH89" s="259"/>
      <c r="AI89" s="259"/>
    </row>
    <row r="90" spans="1:40" s="486" customFormat="1">
      <c r="A90" s="259"/>
      <c r="B90" s="259"/>
      <c r="C90" s="491"/>
      <c r="D90" s="490"/>
      <c r="E90" s="490"/>
      <c r="F90" s="490"/>
      <c r="G90" s="490"/>
      <c r="H90" s="490"/>
      <c r="I90" s="490"/>
      <c r="J90" s="490"/>
      <c r="K90" s="490"/>
      <c r="L90" s="490"/>
      <c r="M90" s="490"/>
      <c r="N90" s="490"/>
      <c r="O90" s="490"/>
      <c r="P90" s="490"/>
      <c r="Q90" s="493"/>
      <c r="R90" s="493"/>
      <c r="S90" s="493"/>
      <c r="T90" s="493"/>
      <c r="U90" s="492"/>
      <c r="V90" s="492"/>
      <c r="W90" s="492"/>
      <c r="X90" s="492"/>
      <c r="Y90" s="492"/>
      <c r="Z90" s="492"/>
      <c r="AA90" s="492"/>
      <c r="AB90" s="858"/>
      <c r="AC90" s="858"/>
      <c r="AD90" s="259"/>
      <c r="AE90" s="489"/>
      <c r="AF90" s="489"/>
      <c r="AG90" s="259"/>
      <c r="AH90" s="259"/>
      <c r="AI90" s="259"/>
    </row>
    <row r="91" spans="1:40" s="486" customFormat="1">
      <c r="A91" s="259"/>
      <c r="B91" s="259"/>
      <c r="C91" s="491"/>
      <c r="D91" s="490"/>
      <c r="E91" s="490"/>
      <c r="F91" s="490"/>
      <c r="G91" s="490"/>
      <c r="H91" s="490"/>
      <c r="I91" s="490"/>
      <c r="J91" s="490"/>
      <c r="K91" s="490"/>
      <c r="L91" s="490"/>
      <c r="M91" s="490"/>
      <c r="N91" s="490"/>
      <c r="O91" s="490"/>
      <c r="P91" s="490"/>
      <c r="Q91" s="490"/>
      <c r="R91" s="490"/>
      <c r="S91" s="490"/>
      <c r="T91" s="490"/>
      <c r="U91" s="393"/>
      <c r="V91" s="393"/>
      <c r="W91" s="393"/>
      <c r="X91" s="393"/>
      <c r="Y91" s="393"/>
      <c r="Z91" s="393"/>
      <c r="AA91" s="393"/>
      <c r="AD91" s="259"/>
      <c r="AE91" s="489"/>
      <c r="AF91" s="489"/>
      <c r="AG91" s="259"/>
      <c r="AH91" s="259"/>
      <c r="AI91" s="259"/>
    </row>
    <row r="92" spans="1:40" s="486" customFormat="1">
      <c r="A92" s="259"/>
      <c r="B92" s="259"/>
      <c r="C92" s="491"/>
      <c r="D92" s="490"/>
      <c r="E92" s="490"/>
      <c r="F92" s="490"/>
      <c r="G92" s="490"/>
      <c r="H92" s="490"/>
      <c r="I92" s="490"/>
      <c r="J92" s="490"/>
      <c r="K92" s="490"/>
      <c r="L92" s="490"/>
      <c r="M92" s="490"/>
      <c r="N92" s="490"/>
      <c r="O92" s="490"/>
      <c r="P92" s="490"/>
      <c r="Q92" s="858"/>
      <c r="R92" s="858"/>
      <c r="S92" s="858"/>
      <c r="T92" s="858"/>
      <c r="U92" s="858"/>
      <c r="V92" s="858"/>
      <c r="W92" s="858"/>
      <c r="X92" s="858"/>
      <c r="Y92" s="858"/>
      <c r="Z92" s="858"/>
      <c r="AA92" s="858"/>
      <c r="AB92" s="858"/>
      <c r="AC92" s="858"/>
      <c r="AD92" s="259"/>
      <c r="AE92" s="489"/>
      <c r="AF92" s="489"/>
      <c r="AG92" s="259"/>
      <c r="AH92" s="259"/>
      <c r="AI92" s="259"/>
    </row>
    <row r="93" spans="1:40" s="486" customFormat="1">
      <c r="A93" s="259"/>
      <c r="B93" s="259"/>
      <c r="C93" s="491"/>
      <c r="D93" s="490"/>
      <c r="E93" s="490"/>
      <c r="F93" s="490"/>
      <c r="G93" s="490"/>
      <c r="H93" s="490"/>
      <c r="I93" s="490"/>
      <c r="J93" s="490"/>
      <c r="K93" s="490"/>
      <c r="L93" s="490"/>
      <c r="M93" s="490"/>
      <c r="N93" s="490"/>
      <c r="O93" s="490"/>
      <c r="P93" s="490"/>
      <c r="Q93" s="493"/>
      <c r="R93" s="493"/>
      <c r="S93" s="493"/>
      <c r="T93" s="493"/>
      <c r="U93" s="492"/>
      <c r="V93" s="492"/>
      <c r="W93" s="492"/>
      <c r="X93" s="492"/>
      <c r="Y93" s="492"/>
      <c r="Z93" s="492"/>
      <c r="AA93" s="492"/>
      <c r="AD93" s="259"/>
      <c r="AE93" s="489"/>
      <c r="AF93" s="489"/>
      <c r="AG93" s="259"/>
      <c r="AH93" s="259"/>
      <c r="AI93" s="259"/>
    </row>
    <row r="94" spans="1:40" s="486" customFormat="1">
      <c r="A94" s="259"/>
      <c r="B94" s="259"/>
      <c r="C94" s="491"/>
      <c r="D94" s="490"/>
      <c r="E94" s="490"/>
      <c r="F94" s="490"/>
      <c r="G94" s="490"/>
      <c r="H94" s="490"/>
      <c r="I94" s="490"/>
      <c r="J94" s="490"/>
      <c r="K94" s="490"/>
      <c r="L94" s="490"/>
      <c r="M94" s="490"/>
      <c r="N94" s="490"/>
      <c r="O94" s="490"/>
      <c r="P94" s="490"/>
      <c r="Q94" s="490"/>
      <c r="R94" s="490"/>
      <c r="S94" s="490"/>
      <c r="T94" s="490"/>
      <c r="U94" s="393"/>
      <c r="V94" s="393"/>
      <c r="W94" s="393"/>
      <c r="X94" s="393"/>
      <c r="Y94" s="393"/>
      <c r="Z94" s="393"/>
      <c r="AA94" s="393"/>
      <c r="AB94" s="259"/>
      <c r="AC94" s="259"/>
      <c r="AD94" s="259"/>
      <c r="AE94" s="489"/>
      <c r="AF94" s="489"/>
      <c r="AG94" s="259"/>
      <c r="AH94" s="259"/>
      <c r="AI94" s="259"/>
    </row>
    <row r="95" spans="1:40" s="486" customFormat="1">
      <c r="A95" s="259"/>
      <c r="B95" s="259"/>
      <c r="C95" s="491"/>
      <c r="D95" s="490"/>
      <c r="E95" s="490"/>
      <c r="F95" s="490"/>
      <c r="G95" s="490"/>
      <c r="H95" s="490"/>
      <c r="I95" s="490"/>
      <c r="J95" s="490"/>
      <c r="K95" s="490"/>
      <c r="L95" s="490"/>
      <c r="M95" s="490"/>
      <c r="N95" s="490"/>
      <c r="O95" s="490"/>
      <c r="P95" s="490"/>
      <c r="Q95" s="490"/>
      <c r="R95" s="490"/>
      <c r="S95" s="490"/>
      <c r="T95" s="490"/>
      <c r="U95" s="393"/>
      <c r="V95" s="393"/>
      <c r="W95" s="393"/>
      <c r="X95" s="393"/>
      <c r="Y95" s="393"/>
      <c r="Z95" s="393"/>
      <c r="AA95" s="393"/>
      <c r="AB95" s="259"/>
      <c r="AC95" s="259"/>
      <c r="AD95" s="259"/>
      <c r="AE95" s="489"/>
      <c r="AF95" s="489"/>
      <c r="AG95" s="259"/>
      <c r="AH95" s="259"/>
      <c r="AI95" s="259"/>
    </row>
    <row r="96" spans="1:40" s="486" customFormat="1">
      <c r="A96" s="479"/>
      <c r="B96" s="479"/>
      <c r="C96" s="481"/>
      <c r="D96" s="488"/>
      <c r="E96" s="488"/>
      <c r="F96" s="488"/>
      <c r="G96" s="488"/>
      <c r="H96" s="488"/>
      <c r="I96" s="488"/>
      <c r="J96" s="488"/>
      <c r="K96" s="488"/>
      <c r="L96" s="488"/>
      <c r="M96" s="488"/>
      <c r="N96" s="488"/>
      <c r="O96" s="488"/>
      <c r="P96" s="488"/>
      <c r="Q96" s="488"/>
      <c r="R96" s="488"/>
      <c r="S96" s="488"/>
      <c r="T96" s="488"/>
      <c r="U96" s="487"/>
      <c r="V96" s="487"/>
      <c r="W96" s="487"/>
      <c r="X96" s="487"/>
      <c r="Y96" s="487"/>
      <c r="Z96" s="487"/>
      <c r="AA96" s="487"/>
      <c r="AB96" s="479"/>
      <c r="AC96" s="479"/>
      <c r="AD96" s="479"/>
      <c r="AE96" s="487"/>
      <c r="AF96" s="479"/>
      <c r="AG96" s="259"/>
      <c r="AH96" s="259"/>
      <c r="AI96" s="259"/>
    </row>
    <row r="97" spans="1:35" s="486" customFormat="1">
      <c r="A97" s="479"/>
      <c r="B97" s="479"/>
      <c r="C97" s="481"/>
      <c r="D97" s="488"/>
      <c r="E97" s="488"/>
      <c r="F97" s="488"/>
      <c r="G97" s="488"/>
      <c r="H97" s="488"/>
      <c r="I97" s="488"/>
      <c r="J97" s="488"/>
      <c r="K97" s="488"/>
      <c r="L97" s="488"/>
      <c r="M97" s="488"/>
      <c r="N97" s="488"/>
      <c r="O97" s="488"/>
      <c r="P97" s="488"/>
      <c r="Q97" s="488"/>
      <c r="R97" s="488"/>
      <c r="S97" s="488"/>
      <c r="T97" s="488"/>
      <c r="U97" s="487"/>
      <c r="V97" s="487"/>
      <c r="W97" s="487"/>
      <c r="X97" s="487"/>
      <c r="Y97" s="487"/>
      <c r="Z97" s="487"/>
      <c r="AA97" s="487"/>
      <c r="AB97" s="479"/>
      <c r="AC97" s="479"/>
      <c r="AD97" s="479"/>
      <c r="AE97" s="487"/>
      <c r="AF97" s="479"/>
      <c r="AG97" s="259"/>
      <c r="AH97" s="259"/>
      <c r="AI97" s="259"/>
    </row>
  </sheetData>
  <autoFilter ref="A11:AC84"/>
  <mergeCells count="37">
    <mergeCell ref="A4:H4"/>
    <mergeCell ref="M4:AC4"/>
    <mergeCell ref="A6:AC6"/>
    <mergeCell ref="A1:H1"/>
    <mergeCell ref="M1:AC1"/>
    <mergeCell ref="A2:H2"/>
    <mergeCell ref="M2:AC2"/>
    <mergeCell ref="A3:H3"/>
    <mergeCell ref="M3:AC3"/>
    <mergeCell ref="A7:AC7"/>
    <mergeCell ref="A8:AC8"/>
    <mergeCell ref="A86:I86"/>
    <mergeCell ref="R86:AC86"/>
    <mergeCell ref="L11:M11"/>
    <mergeCell ref="N11:O11"/>
    <mergeCell ref="P11:Q11"/>
    <mergeCell ref="R11:S11"/>
    <mergeCell ref="T11:U11"/>
    <mergeCell ref="X11:Y11"/>
    <mergeCell ref="A9:AC9"/>
    <mergeCell ref="V11:W11"/>
    <mergeCell ref="AD11:AD12"/>
    <mergeCell ref="B84:C84"/>
    <mergeCell ref="A88:C88"/>
    <mergeCell ref="AD88:AG88"/>
    <mergeCell ref="A11:A12"/>
    <mergeCell ref="B11:C11"/>
    <mergeCell ref="D11:E11"/>
    <mergeCell ref="F11:G11"/>
    <mergeCell ref="H11:I11"/>
    <mergeCell ref="J11:K11"/>
    <mergeCell ref="R89:AC89"/>
    <mergeCell ref="AB90:AC90"/>
    <mergeCell ref="Q92:AC92"/>
    <mergeCell ref="Z11:AA11"/>
    <mergeCell ref="AB11:AB12"/>
    <mergeCell ref="AC11:AC12"/>
  </mergeCells>
  <printOptions horizontalCentered="1"/>
  <pageMargins left="0.19685039370078741" right="0.19685039370078741" top="0.62992125984251968" bottom="0.62992125984251968" header="0.23622047244094491" footer="0.23622047244094491"/>
  <pageSetup paperSize="9" scale="58" orientation="landscape" r:id="rId1"/>
  <rowBreaks count="2" manualBreakCount="2">
    <brk id="26" max="26" man="1"/>
    <brk id="49" max="2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259"/>
  <sheetViews>
    <sheetView topLeftCell="A74" zoomScale="70" zoomScaleNormal="70" workbookViewId="0">
      <selection activeCell="A86" sqref="A86:S86"/>
    </sheetView>
  </sheetViews>
  <sheetFormatPr defaultColWidth="9" defaultRowHeight="16.5"/>
  <cols>
    <col min="1" max="1" width="6.5" style="34" customWidth="1"/>
    <col min="2" max="2" width="12.25" style="319" customWidth="1"/>
    <col min="3" max="3" width="18.5" style="25" customWidth="1"/>
    <col min="4" max="4" width="15.875" style="35" customWidth="1"/>
    <col min="5" max="5" width="9.5" style="15" bestFit="1" customWidth="1"/>
    <col min="6" max="6" width="9.75" style="15" customWidth="1"/>
    <col min="7" max="7" width="12.25" style="15" customWidth="1"/>
    <col min="8" max="8" width="9.375" style="15" customWidth="1"/>
    <col min="9" max="9" width="11.25" style="15" customWidth="1"/>
    <col min="10" max="10" width="10.875" style="15" hidden="1" customWidth="1"/>
    <col min="11" max="11" width="11.875" style="28" customWidth="1"/>
    <col min="12" max="12" width="11.125" style="15" customWidth="1"/>
    <col min="13" max="13" width="11.25" style="15" customWidth="1"/>
    <col min="14" max="14" width="10.125" style="15" hidden="1" customWidth="1"/>
    <col min="15" max="15" width="10.75" style="15" customWidth="1"/>
    <col min="16" max="16" width="10.125" style="15" customWidth="1"/>
    <col min="17" max="17" width="10.5" style="36" customWidth="1"/>
    <col min="18" max="18" width="11.25" style="28" bestFit="1" customWidth="1"/>
    <col min="19" max="19" width="15.625" style="15" customWidth="1"/>
    <col min="20" max="20" width="4.875" style="15" hidden="1" customWidth="1"/>
    <col min="21" max="21" width="9.375" style="4" hidden="1" customWidth="1"/>
    <col min="22" max="22" width="10.875" style="15" hidden="1" customWidth="1"/>
    <col min="23" max="23" width="12.125" style="15" hidden="1" customWidth="1"/>
    <col min="24" max="24" width="24.625" style="15" customWidth="1"/>
    <col min="25" max="25" width="10.25" style="15" customWidth="1"/>
    <col min="26" max="26" width="6" style="15" bestFit="1" customWidth="1"/>
    <col min="27" max="27" width="68.75" style="15" bestFit="1" customWidth="1"/>
    <col min="28" max="28" width="16" style="15" customWidth="1"/>
    <col min="29" max="29" width="16.5" style="15" bestFit="1" customWidth="1"/>
    <col min="30" max="16384" width="9" style="15"/>
  </cols>
  <sheetData>
    <row r="1" spans="1:30" s="23" customFormat="1" ht="28.5" customHeight="1">
      <c r="A1" s="924" t="s">
        <v>0</v>
      </c>
      <c r="B1" s="924"/>
      <c r="C1" s="924"/>
      <c r="D1" s="924"/>
      <c r="E1" s="37"/>
      <c r="F1" s="37"/>
      <c r="G1" s="37"/>
      <c r="H1" s="38"/>
      <c r="I1" s="38"/>
      <c r="J1" s="38"/>
      <c r="K1" s="48"/>
      <c r="L1" s="49"/>
      <c r="M1" s="49"/>
      <c r="N1" s="49"/>
      <c r="O1" s="49"/>
      <c r="P1" s="924" t="s">
        <v>1</v>
      </c>
      <c r="Q1" s="924"/>
      <c r="R1" s="924"/>
      <c r="S1" s="924"/>
      <c r="T1" s="51"/>
      <c r="U1" s="52"/>
    </row>
    <row r="2" spans="1:30" s="29" customFormat="1" ht="18.75">
      <c r="A2" s="874" t="s">
        <v>2</v>
      </c>
      <c r="B2" s="874"/>
      <c r="C2" s="874"/>
      <c r="D2" s="874"/>
      <c r="E2" s="6"/>
      <c r="F2" s="6"/>
      <c r="G2" s="6"/>
      <c r="H2" s="24"/>
      <c r="I2" s="24"/>
      <c r="J2" s="24"/>
      <c r="K2" s="50"/>
      <c r="L2" s="2"/>
      <c r="M2" s="2"/>
      <c r="N2" s="2"/>
      <c r="O2" s="2"/>
      <c r="P2" s="787" t="s">
        <v>3</v>
      </c>
      <c r="Q2" s="787"/>
      <c r="R2" s="787"/>
      <c r="S2" s="787"/>
      <c r="T2" s="9"/>
      <c r="U2" s="9"/>
    </row>
    <row r="3" spans="1:30" s="23" customFormat="1" ht="27.75" customHeight="1">
      <c r="A3" s="924" t="s">
        <v>4</v>
      </c>
      <c r="B3" s="924"/>
      <c r="C3" s="924"/>
      <c r="D3" s="924"/>
      <c r="E3" s="37"/>
      <c r="F3" s="37"/>
      <c r="G3" s="37"/>
      <c r="H3" s="38"/>
      <c r="I3" s="38"/>
      <c r="J3" s="38"/>
      <c r="K3" s="48"/>
      <c r="L3" s="49"/>
      <c r="M3" s="49"/>
      <c r="N3" s="49"/>
      <c r="O3" s="49"/>
      <c r="P3" s="924" t="s">
        <v>5</v>
      </c>
      <c r="Q3" s="924"/>
      <c r="R3" s="924"/>
      <c r="S3" s="924"/>
      <c r="T3" s="51"/>
      <c r="U3" s="52"/>
    </row>
    <row r="4" spans="1:30" s="29" customFormat="1" ht="18.75">
      <c r="A4" s="874" t="s">
        <v>6</v>
      </c>
      <c r="B4" s="874"/>
      <c r="C4" s="874"/>
      <c r="D4" s="874"/>
      <c r="E4" s="6"/>
      <c r="F4" s="6"/>
      <c r="G4" s="6"/>
      <c r="H4" s="24"/>
      <c r="I4" s="24"/>
      <c r="J4" s="24"/>
      <c r="K4" s="13"/>
      <c r="L4" s="4"/>
      <c r="M4" s="4"/>
      <c r="N4" s="4"/>
      <c r="O4" s="4"/>
      <c r="P4" s="926" t="s">
        <v>7</v>
      </c>
      <c r="Q4" s="926"/>
      <c r="R4" s="926"/>
      <c r="S4" s="926"/>
      <c r="T4" s="3"/>
      <c r="U4" s="3"/>
    </row>
    <row r="5" spans="1:30" s="30" customFormat="1" ht="33.75" customHeight="1">
      <c r="A5" s="927" t="s">
        <v>352</v>
      </c>
      <c r="B5" s="927"/>
      <c r="C5" s="927"/>
      <c r="D5" s="927"/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  <c r="P5" s="927"/>
      <c r="Q5" s="927"/>
      <c r="R5" s="927"/>
      <c r="S5" s="927"/>
      <c r="T5" s="53"/>
      <c r="U5" s="53"/>
    </row>
    <row r="6" spans="1:30" s="30" customFormat="1" ht="31.5" customHeight="1">
      <c r="A6" s="928" t="s">
        <v>381</v>
      </c>
      <c r="B6" s="929"/>
      <c r="C6" s="929"/>
      <c r="D6" s="929"/>
      <c r="E6" s="929"/>
      <c r="F6" s="929"/>
      <c r="G6" s="929"/>
      <c r="H6" s="929"/>
      <c r="I6" s="929"/>
      <c r="J6" s="929"/>
      <c r="K6" s="929"/>
      <c r="L6" s="929"/>
      <c r="M6" s="929"/>
      <c r="N6" s="929"/>
      <c r="O6" s="929"/>
      <c r="P6" s="929"/>
      <c r="Q6" s="929"/>
      <c r="R6" s="929"/>
      <c r="S6" s="929"/>
      <c r="T6" s="54"/>
      <c r="U6" s="54"/>
    </row>
    <row r="7" spans="1:30" s="4" customFormat="1" ht="26.25" customHeight="1">
      <c r="A7" s="930" t="s">
        <v>382</v>
      </c>
      <c r="B7" s="930"/>
      <c r="C7" s="930"/>
      <c r="D7" s="930"/>
      <c r="E7" s="930"/>
      <c r="F7" s="930"/>
      <c r="G7" s="930"/>
      <c r="H7" s="930"/>
      <c r="I7" s="930"/>
      <c r="J7" s="930"/>
      <c r="K7" s="930"/>
      <c r="L7" s="930"/>
      <c r="M7" s="930"/>
      <c r="N7" s="930"/>
      <c r="O7" s="930"/>
      <c r="P7" s="930"/>
      <c r="Q7" s="930"/>
      <c r="R7" s="930"/>
      <c r="S7" s="930"/>
      <c r="T7" s="19"/>
      <c r="U7" s="19"/>
    </row>
    <row r="8" spans="1:30" s="4" customFormat="1" ht="21.75" customHeight="1">
      <c r="A8" s="925" t="s">
        <v>383</v>
      </c>
      <c r="B8" s="925"/>
      <c r="C8" s="925"/>
      <c r="D8" s="925"/>
      <c r="E8" s="925"/>
      <c r="F8" s="925"/>
      <c r="G8" s="925"/>
      <c r="H8" s="925"/>
      <c r="I8" s="925"/>
      <c r="J8" s="925"/>
      <c r="K8" s="925"/>
      <c r="L8" s="925"/>
      <c r="M8" s="925"/>
      <c r="N8" s="925"/>
      <c r="O8" s="925"/>
      <c r="P8" s="925"/>
      <c r="Q8" s="925"/>
      <c r="R8" s="925"/>
      <c r="S8" s="925"/>
      <c r="T8" s="19"/>
      <c r="U8" s="19"/>
    </row>
    <row r="9" spans="1:30" s="4" customFormat="1" ht="25.5" customHeight="1">
      <c r="A9" s="39"/>
      <c r="B9" s="315"/>
      <c r="C9" s="16"/>
      <c r="D9" s="40"/>
      <c r="K9" s="13"/>
      <c r="Q9" s="55"/>
      <c r="R9" s="56" t="s">
        <v>174</v>
      </c>
      <c r="S9" s="57" t="s">
        <v>175</v>
      </c>
      <c r="T9" s="58"/>
      <c r="U9" s="58"/>
    </row>
    <row r="10" spans="1:30" s="4" customFormat="1" ht="74.25" customHeight="1">
      <c r="A10" s="905" t="s">
        <v>224</v>
      </c>
      <c r="B10" s="909" t="s">
        <v>230</v>
      </c>
      <c r="C10" s="909"/>
      <c r="D10" s="907" t="s">
        <v>231</v>
      </c>
      <c r="E10" s="909" t="s">
        <v>232</v>
      </c>
      <c r="F10" s="909" t="s">
        <v>337</v>
      </c>
      <c r="G10" s="909"/>
      <c r="H10" s="909" t="s">
        <v>336</v>
      </c>
      <c r="I10" s="909"/>
      <c r="J10" s="909" t="s">
        <v>177</v>
      </c>
      <c r="K10" s="910" t="s">
        <v>235</v>
      </c>
      <c r="L10" s="909" t="s">
        <v>225</v>
      </c>
      <c r="M10" s="909"/>
      <c r="N10" s="909"/>
      <c r="O10" s="909"/>
      <c r="P10" s="909"/>
      <c r="Q10" s="919" t="s">
        <v>238</v>
      </c>
      <c r="R10" s="910" t="s">
        <v>239</v>
      </c>
      <c r="S10" s="921" t="s">
        <v>240</v>
      </c>
      <c r="T10" s="20"/>
      <c r="U10" s="916" t="s">
        <v>178</v>
      </c>
      <c r="V10" s="917" t="s">
        <v>179</v>
      </c>
    </row>
    <row r="11" spans="1:30" s="4" customFormat="1" ht="122.25" customHeight="1">
      <c r="A11" s="906"/>
      <c r="B11" s="320" t="s">
        <v>228</v>
      </c>
      <c r="C11" s="320" t="s">
        <v>229</v>
      </c>
      <c r="D11" s="908"/>
      <c r="E11" s="909"/>
      <c r="F11" s="321" t="s">
        <v>233</v>
      </c>
      <c r="G11" s="321" t="s">
        <v>234</v>
      </c>
      <c r="H11" s="321" t="s">
        <v>233</v>
      </c>
      <c r="I11" s="321" t="s">
        <v>234</v>
      </c>
      <c r="J11" s="909"/>
      <c r="K11" s="910"/>
      <c r="L11" s="322" t="s">
        <v>236</v>
      </c>
      <c r="M11" s="323" t="s">
        <v>338</v>
      </c>
      <c r="N11" s="323" t="s">
        <v>226</v>
      </c>
      <c r="O11" s="323" t="s">
        <v>227</v>
      </c>
      <c r="P11" s="322" t="s">
        <v>237</v>
      </c>
      <c r="Q11" s="920"/>
      <c r="R11" s="910"/>
      <c r="S11" s="922"/>
      <c r="T11" s="44"/>
      <c r="U11" s="916"/>
      <c r="V11" s="917"/>
      <c r="W11" s="59" t="s">
        <v>180</v>
      </c>
      <c r="X11" s="60"/>
      <c r="Z11" s="902" t="s">
        <v>28</v>
      </c>
      <c r="AA11" s="902" t="s">
        <v>384</v>
      </c>
      <c r="AB11" s="902" t="s">
        <v>391</v>
      </c>
      <c r="AC11" s="901" t="s">
        <v>395</v>
      </c>
    </row>
    <row r="12" spans="1:30" s="4" customFormat="1" ht="24.95" customHeight="1">
      <c r="A12" s="42" t="s">
        <v>35</v>
      </c>
      <c r="B12" s="316" t="s">
        <v>36</v>
      </c>
      <c r="C12" s="44" t="s">
        <v>181</v>
      </c>
      <c r="D12" s="44" t="s">
        <v>182</v>
      </c>
      <c r="E12" s="43">
        <v>1</v>
      </c>
      <c r="F12" s="237">
        <v>2</v>
      </c>
      <c r="G12" s="237">
        <v>3</v>
      </c>
      <c r="H12" s="237">
        <v>4</v>
      </c>
      <c r="I12" s="237">
        <v>5</v>
      </c>
      <c r="J12" s="237">
        <v>6</v>
      </c>
      <c r="K12" s="432">
        <v>6</v>
      </c>
      <c r="L12" s="432">
        <v>7</v>
      </c>
      <c r="M12" s="432">
        <v>8</v>
      </c>
      <c r="N12" s="432">
        <v>9</v>
      </c>
      <c r="O12" s="432">
        <v>10</v>
      </c>
      <c r="P12" s="432">
        <v>11</v>
      </c>
      <c r="Q12" s="432">
        <v>12</v>
      </c>
      <c r="R12" s="432">
        <v>13</v>
      </c>
      <c r="S12" s="432">
        <v>14</v>
      </c>
      <c r="T12" s="61"/>
      <c r="U12" s="62"/>
      <c r="V12" s="26"/>
      <c r="Z12" s="902"/>
      <c r="AA12" s="902"/>
      <c r="AB12" s="902"/>
      <c r="AC12" s="902"/>
    </row>
    <row r="13" spans="1:30" s="4" customFormat="1" ht="24.95" customHeight="1">
      <c r="A13" s="10">
        <v>1</v>
      </c>
      <c r="B13" s="70" t="s">
        <v>55</v>
      </c>
      <c r="C13" s="313" t="s">
        <v>56</v>
      </c>
      <c r="D13" s="305">
        <v>150952531</v>
      </c>
      <c r="E13" s="324">
        <v>31947</v>
      </c>
      <c r="F13" s="349">
        <f>VLOOKUP(B13,'KLCN t1 dot 1'!$B$13:$Z$83,25,0)</f>
        <v>13.11</v>
      </c>
      <c r="G13" s="325">
        <f t="shared" ref="G13:G76" si="0">ROUND(F13*E13,0)</f>
        <v>418825</v>
      </c>
      <c r="H13" s="349">
        <f>VLOOKUP(B13,'KLCN t1 dot 2'!$B$13:$AB$83,27,0)</f>
        <v>15.18</v>
      </c>
      <c r="I13" s="325">
        <f>ROUND(E13*H13,0)</f>
        <v>484955</v>
      </c>
      <c r="J13" s="325"/>
      <c r="K13" s="326">
        <f>I13+J13+G13</f>
        <v>903780</v>
      </c>
      <c r="L13" s="452">
        <f>VLOOKUP(B13,'[5]TTL dot​2 (31947)'!B$13:R$83,17,0)</f>
        <v>410448</v>
      </c>
      <c r="M13" s="327">
        <f>IF(G13&lt;=400000,400000*2%,IF(G13&lt;=1200000,ROUND(G13*2%,0),ROUND(1200000*2%,0)))</f>
        <v>8377</v>
      </c>
      <c r="N13" s="327">
        <f>IF(K13&lt;=400000,400000*2%,IF(K13&lt;=1200000,ROUND(K13*2%,0),ROUND(1200000*2%,0)))</f>
        <v>18076</v>
      </c>
      <c r="O13" s="327">
        <f>N13-M13</f>
        <v>9699</v>
      </c>
      <c r="P13" s="328">
        <f>ROUND(IF((K13-J13-N13)&lt;=1500000,0,IF(AND(((K13-J13-N13))&gt;1500000,((K13-J13-N13))&lt;=2000000),((K13-J13-N13))*5%-75000,IF(AND(((K13-J13-N13))&gt;2000000,((K13-J13-N13))&lt;=8500000),((K13-J13-N13))*10%-175000))),0)</f>
        <v>0</v>
      </c>
      <c r="Q13" s="329">
        <f t="shared" ref="Q13:Q75" si="1">L13+M13+O13+P13</f>
        <v>428524</v>
      </c>
      <c r="R13" s="325">
        <f t="shared" ref="R13:R79" si="2">ROUND(K13-Q13,0)</f>
        <v>475256</v>
      </c>
      <c r="S13" s="61"/>
      <c r="T13" s="63"/>
      <c r="U13" s="62">
        <v>50000</v>
      </c>
      <c r="V13" s="46">
        <f>+R13-U13</f>
        <v>425256</v>
      </c>
      <c r="W13" s="13" t="e">
        <f>#REF!</f>
        <v>#REF!</v>
      </c>
      <c r="X13" s="46">
        <v>100000</v>
      </c>
      <c r="Z13" s="902"/>
      <c r="AA13" s="902"/>
      <c r="AB13" s="902"/>
      <c r="AC13" s="902"/>
    </row>
    <row r="14" spans="1:30" s="31" customFormat="1" ht="24.95" customHeight="1">
      <c r="A14" s="10">
        <f>+A13+1</f>
        <v>2</v>
      </c>
      <c r="B14" s="313" t="s">
        <v>57</v>
      </c>
      <c r="C14" s="299" t="s">
        <v>58</v>
      </c>
      <c r="D14" s="305">
        <v>110471355</v>
      </c>
      <c r="E14" s="324">
        <v>31947</v>
      </c>
      <c r="F14" s="349">
        <f>VLOOKUP(B14,'KLCN t1 dot 1'!$B$13:$Z$83,25,0)</f>
        <v>20.189999999999998</v>
      </c>
      <c r="G14" s="325">
        <f t="shared" si="0"/>
        <v>645010</v>
      </c>
      <c r="H14" s="349">
        <f>VLOOKUP(B14,'KLCN t1 dot 2'!$B$13:$AB$83,27,0)</f>
        <v>29.78</v>
      </c>
      <c r="I14" s="325">
        <f t="shared" ref="I14:I77" si="3">ROUND(E14*H14,0)</f>
        <v>951382</v>
      </c>
      <c r="J14" s="325"/>
      <c r="K14" s="326">
        <f t="shared" ref="K14:K79" si="4">I14+J14+G14</f>
        <v>1596392</v>
      </c>
      <c r="L14" s="452">
        <f>VLOOKUP(B14,'[5]TTL dot​2 (31947)'!B$13:R$83,17,0)</f>
        <v>632110</v>
      </c>
      <c r="M14" s="327">
        <f t="shared" ref="M14:M76" si="5">IF(G14&lt;=400000,400000*2%,IF(G14&lt;=1200000,ROUND(G14*2%,0),ROUND(1200000*2%,0)))</f>
        <v>12900</v>
      </c>
      <c r="N14" s="327">
        <f t="shared" ref="N14:N77" si="6">IF(K14&lt;=400000,400000*2%,IF(K14&lt;=1200000,ROUND(K14*2%,0),ROUND(1200000*2%,0)))</f>
        <v>24000</v>
      </c>
      <c r="O14" s="327">
        <f t="shared" ref="O14:O77" si="7">N14-M14</f>
        <v>11100</v>
      </c>
      <c r="P14" s="328">
        <f t="shared" ref="P14:P75" si="8">ROUND(IF((K14-J14-N14)&lt;=1500000,0,IF(AND(((K14-J14-N14))&gt;1500000,((K14-J14-N14))&lt;=2000000),((K14-J14-N14))*5%-75000,IF(AND(((K14-J14-N14))&gt;2000000,((K14-J14-N14))&lt;=8500000),((K14-J14-N14))*10%-175000))),0)</f>
        <v>3620</v>
      </c>
      <c r="Q14" s="329">
        <f t="shared" si="1"/>
        <v>659730</v>
      </c>
      <c r="R14" s="325">
        <f t="shared" si="2"/>
        <v>936662</v>
      </c>
      <c r="S14" s="784"/>
      <c r="T14" s="65"/>
      <c r="U14" s="46">
        <v>200000</v>
      </c>
      <c r="V14" s="46">
        <f>+R14-U14</f>
        <v>736662</v>
      </c>
      <c r="W14" s="13" t="e">
        <f>+#REF!</f>
        <v>#REF!</v>
      </c>
      <c r="X14" s="13">
        <v>200000</v>
      </c>
      <c r="Y14" s="69"/>
      <c r="Z14" s="903"/>
      <c r="AA14" s="903"/>
      <c r="AB14" s="903"/>
      <c r="AC14" s="902"/>
    </row>
    <row r="15" spans="1:30" s="31" customFormat="1" ht="24.95" customHeight="1">
      <c r="A15" s="47">
        <f t="shared" ref="A15:A81" si="9">+A14+1</f>
        <v>3</v>
      </c>
      <c r="B15" s="70" t="s">
        <v>60</v>
      </c>
      <c r="C15" s="313" t="s">
        <v>61</v>
      </c>
      <c r="D15" s="305">
        <v>150981478</v>
      </c>
      <c r="E15" s="324">
        <v>31947</v>
      </c>
      <c r="F15" s="349">
        <f>VLOOKUP(B15,'KLCN t1 dot 1'!$B$13:$Z$83,25,0)</f>
        <v>12.22</v>
      </c>
      <c r="G15" s="325">
        <f t="shared" si="0"/>
        <v>390392</v>
      </c>
      <c r="H15" s="349">
        <f>VLOOKUP(B15,'KLCN t1 dot 2'!$B$13:$AB$83,27,0)</f>
        <v>14.219999999999999</v>
      </c>
      <c r="I15" s="325">
        <f t="shared" si="3"/>
        <v>454286</v>
      </c>
      <c r="J15" s="325"/>
      <c r="K15" s="326">
        <f t="shared" si="4"/>
        <v>844678</v>
      </c>
      <c r="L15" s="452">
        <f>VLOOKUP(B15,'[5]TTL dot​2 (31947)'!B$13:R$83,17,0)</f>
        <v>382392</v>
      </c>
      <c r="M15" s="327">
        <f t="shared" si="5"/>
        <v>8000</v>
      </c>
      <c r="N15" s="327">
        <f t="shared" si="6"/>
        <v>16894</v>
      </c>
      <c r="O15" s="327">
        <f t="shared" si="7"/>
        <v>8894</v>
      </c>
      <c r="P15" s="328">
        <f t="shared" si="8"/>
        <v>0</v>
      </c>
      <c r="Q15" s="329">
        <f t="shared" si="1"/>
        <v>399286</v>
      </c>
      <c r="R15" s="325">
        <f t="shared" si="2"/>
        <v>445392</v>
      </c>
      <c r="S15" s="64"/>
      <c r="T15" s="65"/>
      <c r="U15" s="46"/>
      <c r="V15" s="46">
        <f>R15-U15</f>
        <v>445392</v>
      </c>
      <c r="W15" s="13" t="e">
        <f>+#REF!</f>
        <v>#REF!</v>
      </c>
      <c r="X15" s="13"/>
      <c r="Y15" s="69"/>
      <c r="Z15" s="779">
        <v>1</v>
      </c>
      <c r="AA15" s="780" t="s">
        <v>385</v>
      </c>
      <c r="AB15" s="67">
        <f>SUM(K19:K49,K55:K83)</f>
        <v>79208438</v>
      </c>
      <c r="AC15" s="67"/>
      <c r="AD15" s="782">
        <f>SUM(H19:H49,H55:H83)</f>
        <v>1259.5000000000005</v>
      </c>
    </row>
    <row r="16" spans="1:30" s="31" customFormat="1" ht="24.95" customHeight="1">
      <c r="A16" s="47">
        <f t="shared" si="9"/>
        <v>4</v>
      </c>
      <c r="B16" s="21" t="s">
        <v>62</v>
      </c>
      <c r="C16" s="339" t="s">
        <v>63</v>
      </c>
      <c r="D16" s="305">
        <v>150644309</v>
      </c>
      <c r="E16" s="324">
        <v>31947</v>
      </c>
      <c r="F16" s="349">
        <f>VLOOKUP(B16,'KLCN t1 dot 1'!$B$13:$Z$83,25,0)</f>
        <v>25.66</v>
      </c>
      <c r="G16" s="325">
        <f t="shared" si="0"/>
        <v>819760</v>
      </c>
      <c r="H16" s="349">
        <f>VLOOKUP(B16,'KLCN t1 dot 2'!$B$13:$AB$83,27,0)</f>
        <v>30.830000000000002</v>
      </c>
      <c r="I16" s="325">
        <f t="shared" si="3"/>
        <v>984926</v>
      </c>
      <c r="J16" s="325"/>
      <c r="K16" s="326">
        <f t="shared" si="4"/>
        <v>1804686</v>
      </c>
      <c r="L16" s="452">
        <f>VLOOKUP(B16,'[5]TTL dot​2 (31947)'!B$13:R$83,17,0)</f>
        <v>803365</v>
      </c>
      <c r="M16" s="327">
        <f t="shared" si="5"/>
        <v>16395</v>
      </c>
      <c r="N16" s="327">
        <f t="shared" si="6"/>
        <v>24000</v>
      </c>
      <c r="O16" s="327">
        <f t="shared" si="7"/>
        <v>7605</v>
      </c>
      <c r="P16" s="328">
        <f t="shared" si="8"/>
        <v>14034</v>
      </c>
      <c r="Q16" s="329">
        <f t="shared" si="1"/>
        <v>841399</v>
      </c>
      <c r="R16" s="325">
        <f t="shared" si="2"/>
        <v>963287</v>
      </c>
      <c r="S16" s="64"/>
      <c r="T16" s="65"/>
      <c r="U16" s="46">
        <v>100000</v>
      </c>
      <c r="V16" s="46">
        <f>R16-U16</f>
        <v>863287</v>
      </c>
      <c r="W16" s="13" t="e">
        <f>+#REF!</f>
        <v>#REF!</v>
      </c>
      <c r="X16" s="13"/>
      <c r="Y16" s="69"/>
      <c r="Z16" s="779">
        <v>2</v>
      </c>
      <c r="AA16" s="780" t="s">
        <v>386</v>
      </c>
      <c r="AB16" s="67">
        <f>K14+K50</f>
        <v>2449057</v>
      </c>
      <c r="AC16" s="67"/>
      <c r="AD16" s="782">
        <f>H14+H50</f>
        <v>44.45</v>
      </c>
    </row>
    <row r="17" spans="1:30" s="31" customFormat="1" ht="24.95" customHeight="1">
      <c r="A17" s="47">
        <f t="shared" si="9"/>
        <v>5</v>
      </c>
      <c r="B17" s="70" t="s">
        <v>64</v>
      </c>
      <c r="C17" s="313" t="s">
        <v>65</v>
      </c>
      <c r="D17" s="305">
        <v>220195668</v>
      </c>
      <c r="E17" s="324">
        <v>31947</v>
      </c>
      <c r="F17" s="349">
        <f>VLOOKUP(B17,'KLCN t1 dot 1'!$B$13:$Z$83,25,0)</f>
        <v>16.260000000000002</v>
      </c>
      <c r="G17" s="325">
        <f t="shared" si="0"/>
        <v>519458</v>
      </c>
      <c r="H17" s="349">
        <f>VLOOKUP(B17,'KLCN t1 dot 2'!$B$13:$AB$83,27,0)</f>
        <v>25.130000000000003</v>
      </c>
      <c r="I17" s="325">
        <f t="shared" si="3"/>
        <v>802828</v>
      </c>
      <c r="J17" s="325"/>
      <c r="K17" s="326">
        <f t="shared" si="4"/>
        <v>1322286</v>
      </c>
      <c r="L17" s="452">
        <f>VLOOKUP(B17,'[5]TTL dot​2 (31947)'!B$13:R$83,17,0)</f>
        <v>509069</v>
      </c>
      <c r="M17" s="327">
        <f t="shared" si="5"/>
        <v>10389</v>
      </c>
      <c r="N17" s="327">
        <f t="shared" si="6"/>
        <v>24000</v>
      </c>
      <c r="O17" s="327">
        <f t="shared" si="7"/>
        <v>13611</v>
      </c>
      <c r="P17" s="328">
        <f t="shared" si="8"/>
        <v>0</v>
      </c>
      <c r="Q17" s="329">
        <f t="shared" si="1"/>
        <v>533069</v>
      </c>
      <c r="R17" s="325">
        <f t="shared" si="2"/>
        <v>789217</v>
      </c>
      <c r="S17" s="64"/>
      <c r="T17" s="65"/>
      <c r="U17" s="46">
        <v>200000</v>
      </c>
      <c r="V17" s="46">
        <f>R17-U17</f>
        <v>589217</v>
      </c>
      <c r="W17" s="13" t="e">
        <f>+#REF!</f>
        <v>#REF!</v>
      </c>
      <c r="X17" s="13"/>
      <c r="Y17" s="69"/>
      <c r="Z17" s="779">
        <v>3</v>
      </c>
      <c r="AA17" s="780" t="s">
        <v>387</v>
      </c>
      <c r="AB17" s="67">
        <f>SUM(K18,K54)</f>
        <v>3622470</v>
      </c>
      <c r="AC17" s="67"/>
      <c r="AD17" s="782">
        <f>H18+H54</f>
        <v>60.800000000000011</v>
      </c>
    </row>
    <row r="18" spans="1:30" s="31" customFormat="1" ht="24.95" customHeight="1">
      <c r="A18" s="47">
        <f t="shared" si="9"/>
        <v>6</v>
      </c>
      <c r="B18" s="287" t="s">
        <v>66</v>
      </c>
      <c r="C18" s="298" t="s">
        <v>67</v>
      </c>
      <c r="D18" s="305">
        <v>220208913</v>
      </c>
      <c r="E18" s="324">
        <v>31947</v>
      </c>
      <c r="F18" s="349">
        <f>VLOOKUP(B18,'KLCN t1 dot 1'!$B$13:$Z$83,25,0)</f>
        <v>25.56</v>
      </c>
      <c r="G18" s="325">
        <f t="shared" si="0"/>
        <v>816565</v>
      </c>
      <c r="H18" s="349">
        <f>VLOOKUP(B18,'KLCN t1 dot 2'!$B$13:$AB$83,27,0)</f>
        <v>31.020000000000003</v>
      </c>
      <c r="I18" s="325">
        <f t="shared" si="3"/>
        <v>990996</v>
      </c>
      <c r="J18" s="325"/>
      <c r="K18" s="326">
        <f t="shared" si="4"/>
        <v>1807561</v>
      </c>
      <c r="L18" s="452">
        <f>VLOOKUP(B18,'[5]TTL dot​2 (31947)'!B$13:R$83,17,0)</f>
        <v>800234</v>
      </c>
      <c r="M18" s="327">
        <f t="shared" si="5"/>
        <v>16331</v>
      </c>
      <c r="N18" s="327">
        <f t="shared" si="6"/>
        <v>24000</v>
      </c>
      <c r="O18" s="327">
        <f t="shared" si="7"/>
        <v>7669</v>
      </c>
      <c r="P18" s="328">
        <f t="shared" si="8"/>
        <v>14178</v>
      </c>
      <c r="Q18" s="329">
        <f t="shared" si="1"/>
        <v>838412</v>
      </c>
      <c r="R18" s="325">
        <f t="shared" si="2"/>
        <v>969149</v>
      </c>
      <c r="S18" s="61"/>
      <c r="T18" s="65"/>
      <c r="U18" s="46"/>
      <c r="V18" s="66">
        <f>SUM(V32:V66)</f>
        <v>2212585</v>
      </c>
      <c r="W18" s="67"/>
      <c r="X18" s="50"/>
      <c r="Y18" s="69"/>
      <c r="Z18" s="779">
        <v>4</v>
      </c>
      <c r="AA18" s="780" t="s">
        <v>388</v>
      </c>
      <c r="AB18" s="67">
        <f>SUM(K52:K53,K16:K17)</f>
        <v>6364480</v>
      </c>
      <c r="AC18" s="67"/>
      <c r="AD18" s="782">
        <f>SUM(H16:H17,H52:H53)</f>
        <v>109.07000000000001</v>
      </c>
    </row>
    <row r="19" spans="1:30" s="31" customFormat="1" ht="24.95" customHeight="1">
      <c r="A19" s="47">
        <f t="shared" si="9"/>
        <v>7</v>
      </c>
      <c r="B19" s="434" t="s">
        <v>68</v>
      </c>
      <c r="C19" s="435" t="s">
        <v>69</v>
      </c>
      <c r="D19" s="436">
        <v>150911076</v>
      </c>
      <c r="E19" s="324">
        <v>31947</v>
      </c>
      <c r="F19" s="349">
        <f>VLOOKUP(B19,'KLCN t1 dot 1'!$B$13:$Z$83,25,0)</f>
        <v>22.130000000000003</v>
      </c>
      <c r="G19" s="325">
        <f t="shared" si="0"/>
        <v>706987</v>
      </c>
      <c r="H19" s="349">
        <f>VLOOKUP(B19,'KLCN t1 dot 2'!$B$13:$AB$83,27,0)</f>
        <v>20.78</v>
      </c>
      <c r="I19" s="325">
        <f t="shared" si="3"/>
        <v>663859</v>
      </c>
      <c r="J19" s="325"/>
      <c r="K19" s="326">
        <f t="shared" si="4"/>
        <v>1370846</v>
      </c>
      <c r="L19" s="452">
        <f>VLOOKUP(B19,'[5]TTL dot​2 (31947)'!B$13:R$83,17,0)</f>
        <v>692847</v>
      </c>
      <c r="M19" s="327">
        <f t="shared" si="5"/>
        <v>14140</v>
      </c>
      <c r="N19" s="327">
        <f t="shared" si="6"/>
        <v>24000</v>
      </c>
      <c r="O19" s="327">
        <f t="shared" si="7"/>
        <v>9860</v>
      </c>
      <c r="P19" s="328">
        <f t="shared" si="8"/>
        <v>0</v>
      </c>
      <c r="Q19" s="329">
        <f t="shared" si="1"/>
        <v>716847</v>
      </c>
      <c r="R19" s="325">
        <f t="shared" si="2"/>
        <v>653999</v>
      </c>
      <c r="S19" s="61"/>
      <c r="T19" s="65"/>
      <c r="U19" s="46"/>
      <c r="V19" s="66"/>
      <c r="W19" s="67"/>
      <c r="X19" s="50">
        <v>300000</v>
      </c>
      <c r="Y19" s="69"/>
      <c r="Z19" s="779">
        <v>5</v>
      </c>
      <c r="AA19" s="780" t="s">
        <v>389</v>
      </c>
      <c r="AB19" s="67">
        <f>SUM(K15,K51)</f>
        <v>1735679</v>
      </c>
      <c r="AC19" s="67"/>
      <c r="AD19" s="782">
        <f>H15+H51</f>
        <v>29.4</v>
      </c>
    </row>
    <row r="20" spans="1:30" s="31" customFormat="1" ht="24.95" customHeight="1">
      <c r="A20" s="47">
        <f t="shared" si="9"/>
        <v>8</v>
      </c>
      <c r="B20" s="437" t="s">
        <v>70</v>
      </c>
      <c r="C20" s="297" t="s">
        <v>71</v>
      </c>
      <c r="D20" s="436">
        <v>220102094</v>
      </c>
      <c r="E20" s="324">
        <v>31947</v>
      </c>
      <c r="F20" s="349">
        <f>VLOOKUP(B20,'KLCN t1 dot 1'!$B$13:$Z$83,25,0)</f>
        <v>20.369999999999997</v>
      </c>
      <c r="G20" s="325">
        <f t="shared" si="0"/>
        <v>650760</v>
      </c>
      <c r="H20" s="349">
        <f>VLOOKUP(B20,'KLCN t1 dot 2'!$B$13:$AB$83,27,0)</f>
        <v>12.02</v>
      </c>
      <c r="I20" s="325">
        <f t="shared" si="3"/>
        <v>384003</v>
      </c>
      <c r="J20" s="325"/>
      <c r="K20" s="326">
        <f t="shared" si="4"/>
        <v>1034763</v>
      </c>
      <c r="L20" s="452">
        <f>VLOOKUP(B20,'[5]TTL dot​2 (31947)'!B$13:R$83,17,0)</f>
        <v>637745</v>
      </c>
      <c r="M20" s="327">
        <f t="shared" si="5"/>
        <v>13015</v>
      </c>
      <c r="N20" s="327">
        <f t="shared" si="6"/>
        <v>20695</v>
      </c>
      <c r="O20" s="327">
        <f t="shared" si="7"/>
        <v>7680</v>
      </c>
      <c r="P20" s="328">
        <f t="shared" si="8"/>
        <v>0</v>
      </c>
      <c r="Q20" s="329">
        <f t="shared" si="1"/>
        <v>658440</v>
      </c>
      <c r="R20" s="325">
        <f t="shared" si="2"/>
        <v>376323</v>
      </c>
      <c r="S20" s="61"/>
      <c r="T20" s="65"/>
      <c r="U20" s="46"/>
      <c r="V20" s="66"/>
      <c r="W20" s="67"/>
      <c r="X20" s="50"/>
      <c r="Y20" s="69"/>
      <c r="Z20" s="779">
        <v>6</v>
      </c>
      <c r="AA20" s="780" t="s">
        <v>390</v>
      </c>
      <c r="AB20" s="67">
        <f>K13</f>
        <v>903780</v>
      </c>
      <c r="AC20" s="67"/>
      <c r="AD20" s="782">
        <f>H13</f>
        <v>15.18</v>
      </c>
    </row>
    <row r="21" spans="1:30" s="31" customFormat="1" ht="24.95" customHeight="1">
      <c r="A21" s="47">
        <f t="shared" si="9"/>
        <v>9</v>
      </c>
      <c r="B21" s="437" t="s">
        <v>74</v>
      </c>
      <c r="C21" s="438" t="s">
        <v>75</v>
      </c>
      <c r="D21" s="436">
        <v>210050404</v>
      </c>
      <c r="E21" s="324">
        <v>31947</v>
      </c>
      <c r="F21" s="349">
        <f>VLOOKUP(B21,'KLCN t1 dot 1'!$B$13:$Z$83,25,0)</f>
        <v>13.09</v>
      </c>
      <c r="G21" s="325">
        <f t="shared" si="0"/>
        <v>418186</v>
      </c>
      <c r="H21" s="349">
        <f>VLOOKUP(B21,'KLCN t1 dot 2'!$B$13:$AB$83,27,0)</f>
        <v>9.9499999999999993</v>
      </c>
      <c r="I21" s="325">
        <f t="shared" si="3"/>
        <v>317873</v>
      </c>
      <c r="J21" s="325"/>
      <c r="K21" s="326">
        <f t="shared" si="4"/>
        <v>736059</v>
      </c>
      <c r="L21" s="452">
        <f>VLOOKUP(B21,'[5]TTL dot​2 (31947)'!B$13:R$83,17,0)</f>
        <v>409822</v>
      </c>
      <c r="M21" s="327">
        <f t="shared" si="5"/>
        <v>8364</v>
      </c>
      <c r="N21" s="327">
        <f t="shared" si="6"/>
        <v>14721</v>
      </c>
      <c r="O21" s="327">
        <f t="shared" si="7"/>
        <v>6357</v>
      </c>
      <c r="P21" s="328">
        <f t="shared" si="8"/>
        <v>0</v>
      </c>
      <c r="Q21" s="329">
        <f t="shared" si="1"/>
        <v>424543</v>
      </c>
      <c r="R21" s="325">
        <f t="shared" si="2"/>
        <v>311516</v>
      </c>
      <c r="S21" s="61"/>
      <c r="T21" s="65"/>
      <c r="U21" s="46"/>
      <c r="V21" s="66"/>
      <c r="W21" s="67"/>
      <c r="X21" s="50"/>
      <c r="Y21" s="69"/>
      <c r="AB21" s="67">
        <f>SUM(AB15:AB20)</f>
        <v>94283904</v>
      </c>
      <c r="AC21" s="67">
        <f>SUM(AC15:AC20)</f>
        <v>0</v>
      </c>
      <c r="AD21" s="782">
        <f>SUM(AD15:AD20)</f>
        <v>1518.4000000000005</v>
      </c>
    </row>
    <row r="22" spans="1:30" s="31" customFormat="1" ht="24.95" customHeight="1">
      <c r="A22" s="47">
        <f t="shared" si="9"/>
        <v>10</v>
      </c>
      <c r="B22" s="437" t="s">
        <v>76</v>
      </c>
      <c r="C22" s="439" t="s">
        <v>77</v>
      </c>
      <c r="D22" s="440">
        <v>151006137</v>
      </c>
      <c r="E22" s="324">
        <v>31947</v>
      </c>
      <c r="F22" s="349">
        <f>VLOOKUP(B22,'KLCN t1 dot 1'!$B$13:$Z$83,25,0)</f>
        <v>10.91</v>
      </c>
      <c r="G22" s="325">
        <f t="shared" si="0"/>
        <v>348542</v>
      </c>
      <c r="H22" s="349">
        <f>VLOOKUP(B22,'KLCN t1 dot 2'!$B$13:$AB$83,27,0)</f>
        <v>12.959999999999999</v>
      </c>
      <c r="I22" s="325">
        <f t="shared" si="3"/>
        <v>414033</v>
      </c>
      <c r="J22" s="325"/>
      <c r="K22" s="326">
        <f t="shared" si="4"/>
        <v>762575</v>
      </c>
      <c r="L22" s="452">
        <f>VLOOKUP(B22,'[5]TTL dot​2 (31947)'!B$13:R$83,17,0)</f>
        <v>340542</v>
      </c>
      <c r="M22" s="327">
        <f t="shared" si="5"/>
        <v>8000</v>
      </c>
      <c r="N22" s="327">
        <f t="shared" si="6"/>
        <v>15252</v>
      </c>
      <c r="O22" s="327">
        <f t="shared" si="7"/>
        <v>7252</v>
      </c>
      <c r="P22" s="328">
        <f t="shared" si="8"/>
        <v>0</v>
      </c>
      <c r="Q22" s="329">
        <f t="shared" si="1"/>
        <v>355794</v>
      </c>
      <c r="R22" s="325">
        <f t="shared" si="2"/>
        <v>406781</v>
      </c>
      <c r="S22" s="61"/>
      <c r="T22" s="65"/>
      <c r="U22" s="46"/>
      <c r="V22" s="66"/>
      <c r="W22" s="67"/>
      <c r="X22" s="50"/>
      <c r="Y22" s="69"/>
    </row>
    <row r="23" spans="1:30" s="31" customFormat="1" ht="24.95" customHeight="1">
      <c r="A23" s="47">
        <f t="shared" si="9"/>
        <v>11</v>
      </c>
      <c r="B23" s="437" t="s">
        <v>78</v>
      </c>
      <c r="C23" s="441" t="s">
        <v>79</v>
      </c>
      <c r="D23" s="436" t="s">
        <v>183</v>
      </c>
      <c r="E23" s="324">
        <v>31947</v>
      </c>
      <c r="F23" s="349">
        <f>VLOOKUP(B23,'KLCN t1 dot 1'!$B$13:$Z$83,25,0)</f>
        <v>22.119999999999997</v>
      </c>
      <c r="G23" s="325">
        <f t="shared" si="0"/>
        <v>706668</v>
      </c>
      <c r="H23" s="349">
        <f>VLOOKUP(B23,'KLCN t1 dot 2'!$B$13:$AB$83,27,0)</f>
        <v>9.5699999999999985</v>
      </c>
      <c r="I23" s="325">
        <f t="shared" si="3"/>
        <v>305733</v>
      </c>
      <c r="J23" s="325"/>
      <c r="K23" s="326">
        <f t="shared" si="4"/>
        <v>1012401</v>
      </c>
      <c r="L23" s="452">
        <f>VLOOKUP(B23,'[5]TTL dot​2 (31947)'!B$13:R$83,17,0)</f>
        <v>692535</v>
      </c>
      <c r="M23" s="327">
        <f t="shared" si="5"/>
        <v>14133</v>
      </c>
      <c r="N23" s="327">
        <f t="shared" si="6"/>
        <v>20248</v>
      </c>
      <c r="O23" s="327">
        <f t="shared" si="7"/>
        <v>6115</v>
      </c>
      <c r="P23" s="328">
        <f t="shared" si="8"/>
        <v>0</v>
      </c>
      <c r="Q23" s="329">
        <f t="shared" si="1"/>
        <v>712783</v>
      </c>
      <c r="R23" s="325">
        <f t="shared" si="2"/>
        <v>299618</v>
      </c>
      <c r="S23" s="61"/>
      <c r="T23" s="65"/>
      <c r="U23" s="46"/>
      <c r="V23" s="66"/>
      <c r="W23" s="67"/>
      <c r="X23" s="50"/>
      <c r="Y23" s="69"/>
    </row>
    <row r="24" spans="1:30" s="31" customFormat="1" ht="24.95" customHeight="1">
      <c r="A24" s="47">
        <f t="shared" si="9"/>
        <v>12</v>
      </c>
      <c r="B24" s="437" t="s">
        <v>80</v>
      </c>
      <c r="C24" s="441" t="s">
        <v>81</v>
      </c>
      <c r="D24" s="436">
        <v>150469697</v>
      </c>
      <c r="E24" s="324">
        <v>31947</v>
      </c>
      <c r="F24" s="349">
        <f>VLOOKUP(B24,'KLCN t1 dot 1'!$B$13:$Z$83,25,0)</f>
        <v>15.7</v>
      </c>
      <c r="G24" s="325">
        <f t="shared" si="0"/>
        <v>501568</v>
      </c>
      <c r="H24" s="349">
        <f>VLOOKUP(B24,'KLCN t1 dot 2'!$B$13:$AB$83,27,0)</f>
        <v>9.5699999999999985</v>
      </c>
      <c r="I24" s="325">
        <f t="shared" si="3"/>
        <v>305733</v>
      </c>
      <c r="J24" s="325"/>
      <c r="K24" s="326">
        <f t="shared" si="4"/>
        <v>807301</v>
      </c>
      <c r="L24" s="452">
        <f>VLOOKUP(B24,'[5]TTL dot​2 (31947)'!B$13:R$83,17,0)</f>
        <v>491537</v>
      </c>
      <c r="M24" s="327">
        <f t="shared" si="5"/>
        <v>10031</v>
      </c>
      <c r="N24" s="327">
        <f t="shared" si="6"/>
        <v>16146</v>
      </c>
      <c r="O24" s="327">
        <f t="shared" si="7"/>
        <v>6115</v>
      </c>
      <c r="P24" s="328">
        <f t="shared" si="8"/>
        <v>0</v>
      </c>
      <c r="Q24" s="329">
        <f t="shared" si="1"/>
        <v>507683</v>
      </c>
      <c r="R24" s="325">
        <f t="shared" si="2"/>
        <v>299618</v>
      </c>
      <c r="S24" s="61"/>
      <c r="T24" s="65"/>
      <c r="U24" s="46"/>
      <c r="V24" s="66"/>
      <c r="W24" s="67"/>
      <c r="X24" s="50"/>
      <c r="Y24" s="69"/>
    </row>
    <row r="25" spans="1:30" s="31" customFormat="1" ht="24.95" customHeight="1">
      <c r="A25" s="47">
        <f t="shared" si="9"/>
        <v>13</v>
      </c>
      <c r="B25" s="437" t="s">
        <v>82</v>
      </c>
      <c r="C25" s="441" t="s">
        <v>83</v>
      </c>
      <c r="D25" s="436">
        <v>150927708</v>
      </c>
      <c r="E25" s="324">
        <v>31947</v>
      </c>
      <c r="F25" s="349">
        <f>VLOOKUP(B25,'KLCN t1 dot 1'!$B$13:$Z$83,25,0)</f>
        <v>13.09</v>
      </c>
      <c r="G25" s="325">
        <f t="shared" si="0"/>
        <v>418186</v>
      </c>
      <c r="H25" s="349">
        <f>VLOOKUP(B25,'KLCN t1 dot 2'!$B$13:$AB$83,27,0)</f>
        <v>10.92</v>
      </c>
      <c r="I25" s="325">
        <f t="shared" si="3"/>
        <v>348861</v>
      </c>
      <c r="J25" s="325"/>
      <c r="K25" s="326">
        <f t="shared" si="4"/>
        <v>767047</v>
      </c>
      <c r="L25" s="452">
        <f>VLOOKUP(B25,'[5]TTL dot​2 (31947)'!B$13:R$83,17,0)</f>
        <v>409822</v>
      </c>
      <c r="M25" s="327">
        <f t="shared" si="5"/>
        <v>8364</v>
      </c>
      <c r="N25" s="327">
        <f t="shared" si="6"/>
        <v>15341</v>
      </c>
      <c r="O25" s="327">
        <f t="shared" si="7"/>
        <v>6977</v>
      </c>
      <c r="P25" s="328">
        <f t="shared" si="8"/>
        <v>0</v>
      </c>
      <c r="Q25" s="329">
        <f t="shared" si="1"/>
        <v>425163</v>
      </c>
      <c r="R25" s="325">
        <f t="shared" si="2"/>
        <v>341884</v>
      </c>
      <c r="S25" s="61"/>
      <c r="T25" s="65"/>
      <c r="U25" s="46"/>
      <c r="V25" s="66"/>
      <c r="W25" s="67"/>
      <c r="X25" s="50"/>
      <c r="Y25" s="69"/>
    </row>
    <row r="26" spans="1:30" s="31" customFormat="1" ht="24.95" customHeight="1">
      <c r="A26" s="47">
        <f t="shared" si="9"/>
        <v>14</v>
      </c>
      <c r="B26" s="442" t="s">
        <v>84</v>
      </c>
      <c r="C26" s="443" t="s">
        <v>85</v>
      </c>
      <c r="D26" s="436">
        <v>151034061</v>
      </c>
      <c r="E26" s="324">
        <v>31947</v>
      </c>
      <c r="F26" s="349">
        <f>VLOOKUP(B26,'KLCN t1 dot 1'!$B$13:$Z$83,25,0)</f>
        <v>9.85</v>
      </c>
      <c r="G26" s="325">
        <f t="shared" si="0"/>
        <v>314678</v>
      </c>
      <c r="H26" s="349">
        <f>VLOOKUP(B26,'KLCN t1 dot 2'!$B$13:$AB$83,27,0)</f>
        <v>2.54</v>
      </c>
      <c r="I26" s="325">
        <f t="shared" si="3"/>
        <v>81145</v>
      </c>
      <c r="J26" s="325"/>
      <c r="K26" s="326">
        <f t="shared" si="4"/>
        <v>395823</v>
      </c>
      <c r="L26" s="452">
        <f>VLOOKUP(B26,'[5]TTL dot​2 (31947)'!B$13:R$83,17,0)</f>
        <v>306678</v>
      </c>
      <c r="M26" s="327">
        <f t="shared" si="5"/>
        <v>8000</v>
      </c>
      <c r="N26" s="327">
        <f t="shared" si="6"/>
        <v>8000</v>
      </c>
      <c r="O26" s="327">
        <f t="shared" si="7"/>
        <v>0</v>
      </c>
      <c r="P26" s="328">
        <f t="shared" si="8"/>
        <v>0</v>
      </c>
      <c r="Q26" s="329">
        <f t="shared" si="1"/>
        <v>314678</v>
      </c>
      <c r="R26" s="325">
        <f t="shared" si="2"/>
        <v>81145</v>
      </c>
      <c r="S26" s="61"/>
      <c r="T26" s="65"/>
      <c r="U26" s="46"/>
      <c r="V26" s="66"/>
      <c r="W26" s="67"/>
      <c r="X26" s="50"/>
      <c r="Y26" s="69"/>
    </row>
    <row r="27" spans="1:30" s="31" customFormat="1" ht="24.95" customHeight="1">
      <c r="A27" s="47">
        <f t="shared" si="9"/>
        <v>15</v>
      </c>
      <c r="B27" s="444" t="s">
        <v>86</v>
      </c>
      <c r="C27" s="445" t="s">
        <v>87</v>
      </c>
      <c r="D27" s="436">
        <v>150911069</v>
      </c>
      <c r="E27" s="324">
        <v>31947</v>
      </c>
      <c r="F27" s="349">
        <f>VLOOKUP(B27,'KLCN t1 dot 1'!$B$13:$Z$83,25,0)</f>
        <v>11.34</v>
      </c>
      <c r="G27" s="325">
        <f t="shared" si="0"/>
        <v>362279</v>
      </c>
      <c r="H27" s="349">
        <f>VLOOKUP(B27,'KLCN t1 dot 2'!$B$13:$AB$83,27,0)</f>
        <v>8.89</v>
      </c>
      <c r="I27" s="325">
        <f t="shared" si="3"/>
        <v>284009</v>
      </c>
      <c r="J27" s="325"/>
      <c r="K27" s="326">
        <f t="shared" si="4"/>
        <v>646288</v>
      </c>
      <c r="L27" s="452">
        <f>VLOOKUP(B27,'[5]TTL dot​2 (31947)'!B$13:R$83,17,0)</f>
        <v>354279</v>
      </c>
      <c r="M27" s="327">
        <f t="shared" si="5"/>
        <v>8000</v>
      </c>
      <c r="N27" s="327">
        <f t="shared" si="6"/>
        <v>12926</v>
      </c>
      <c r="O27" s="327">
        <f t="shared" si="7"/>
        <v>4926</v>
      </c>
      <c r="P27" s="328">
        <f t="shared" si="8"/>
        <v>0</v>
      </c>
      <c r="Q27" s="329">
        <f t="shared" si="1"/>
        <v>367205</v>
      </c>
      <c r="R27" s="325">
        <f t="shared" si="2"/>
        <v>279083</v>
      </c>
      <c r="S27" s="61"/>
      <c r="T27" s="65"/>
      <c r="U27" s="46"/>
      <c r="V27" s="66"/>
      <c r="W27" s="67"/>
      <c r="X27" s="50"/>
      <c r="Y27" s="69"/>
    </row>
    <row r="28" spans="1:30" s="31" customFormat="1" ht="24.95" customHeight="1">
      <c r="A28" s="47">
        <f t="shared" si="9"/>
        <v>16</v>
      </c>
      <c r="B28" s="444" t="s">
        <v>88</v>
      </c>
      <c r="C28" s="445" t="s">
        <v>89</v>
      </c>
      <c r="D28" s="436" t="s">
        <v>184</v>
      </c>
      <c r="E28" s="324">
        <v>31947</v>
      </c>
      <c r="F28" s="349">
        <f>VLOOKUP(B28,'KLCN t1 dot 1'!$B$13:$Z$83,25,0)</f>
        <v>20.619999999999997</v>
      </c>
      <c r="G28" s="325">
        <f t="shared" si="0"/>
        <v>658747</v>
      </c>
      <c r="H28" s="349">
        <f>VLOOKUP(B28,'KLCN t1 dot 2'!$B$13:$AB$83,27,0)</f>
        <v>15.819999999999999</v>
      </c>
      <c r="I28" s="325">
        <f t="shared" si="3"/>
        <v>505402</v>
      </c>
      <c r="J28" s="325"/>
      <c r="K28" s="326">
        <f t="shared" si="4"/>
        <v>1164149</v>
      </c>
      <c r="L28" s="452">
        <f>VLOOKUP(B28,'[5]TTL dot​2 (31947)'!B$13:R$83,17,0)</f>
        <v>645572</v>
      </c>
      <c r="M28" s="327">
        <f t="shared" si="5"/>
        <v>13175</v>
      </c>
      <c r="N28" s="327">
        <f t="shared" si="6"/>
        <v>23283</v>
      </c>
      <c r="O28" s="327">
        <f t="shared" si="7"/>
        <v>10108</v>
      </c>
      <c r="P28" s="328">
        <f t="shared" si="8"/>
        <v>0</v>
      </c>
      <c r="Q28" s="329">
        <f t="shared" si="1"/>
        <v>668855</v>
      </c>
      <c r="R28" s="325">
        <f t="shared" si="2"/>
        <v>495294</v>
      </c>
      <c r="S28" s="61"/>
      <c r="T28" s="65"/>
      <c r="U28" s="46"/>
      <c r="V28" s="66"/>
      <c r="W28" s="67"/>
      <c r="X28" s="50">
        <v>200000</v>
      </c>
      <c r="Y28" s="69"/>
    </row>
    <row r="29" spans="1:30" s="31" customFormat="1" ht="24.95" customHeight="1">
      <c r="A29" s="47">
        <f t="shared" si="9"/>
        <v>17</v>
      </c>
      <c r="B29" s="446" t="s">
        <v>90</v>
      </c>
      <c r="C29" s="297" t="s">
        <v>91</v>
      </c>
      <c r="D29" s="436">
        <v>220175393</v>
      </c>
      <c r="E29" s="324">
        <v>31947</v>
      </c>
      <c r="F29" s="349">
        <f>VLOOKUP(B29,'KLCN t1 dot 1'!$B$13:$Z$83,25,0)</f>
        <v>7.29</v>
      </c>
      <c r="G29" s="325">
        <f t="shared" si="0"/>
        <v>232894</v>
      </c>
      <c r="H29" s="349">
        <f>VLOOKUP(B29,'KLCN t1 dot 2'!$B$13:$AB$83,27,0)</f>
        <v>12.02</v>
      </c>
      <c r="I29" s="325">
        <f t="shared" si="3"/>
        <v>384003</v>
      </c>
      <c r="J29" s="325"/>
      <c r="K29" s="326">
        <f t="shared" si="4"/>
        <v>616897</v>
      </c>
      <c r="L29" s="452">
        <f>VLOOKUP(B29,'[5]TTL dot​2 (31947)'!B$13:R$83,17,0)</f>
        <v>224894</v>
      </c>
      <c r="M29" s="327">
        <f t="shared" si="5"/>
        <v>8000</v>
      </c>
      <c r="N29" s="327">
        <f t="shared" si="6"/>
        <v>12338</v>
      </c>
      <c r="O29" s="327">
        <f t="shared" si="7"/>
        <v>4338</v>
      </c>
      <c r="P29" s="328">
        <f t="shared" si="8"/>
        <v>0</v>
      </c>
      <c r="Q29" s="329">
        <f t="shared" si="1"/>
        <v>237232</v>
      </c>
      <c r="R29" s="325">
        <f t="shared" si="2"/>
        <v>379665</v>
      </c>
      <c r="S29" s="61"/>
      <c r="T29" s="65"/>
      <c r="U29" s="46"/>
      <c r="V29" s="66"/>
      <c r="W29" s="67"/>
      <c r="X29" s="50"/>
      <c r="Y29" s="69"/>
    </row>
    <row r="30" spans="1:30" s="31" customFormat="1" ht="24.95" customHeight="1">
      <c r="A30" s="47">
        <f t="shared" si="9"/>
        <v>18</v>
      </c>
      <c r="B30" s="447" t="s">
        <v>92</v>
      </c>
      <c r="C30" s="448" t="s">
        <v>93</v>
      </c>
      <c r="D30" s="436">
        <v>150936257</v>
      </c>
      <c r="E30" s="324">
        <v>31947</v>
      </c>
      <c r="F30" s="349">
        <f>VLOOKUP(B30,'KLCN t1 dot 1'!$B$13:$Z$83,25,0)</f>
        <v>13.09</v>
      </c>
      <c r="G30" s="325">
        <f t="shared" si="0"/>
        <v>418186</v>
      </c>
      <c r="H30" s="349">
        <f>VLOOKUP(B30,'KLCN t1 dot 2'!$B$13:$AB$83,27,0)</f>
        <v>9.99</v>
      </c>
      <c r="I30" s="325">
        <f t="shared" si="3"/>
        <v>319151</v>
      </c>
      <c r="J30" s="325"/>
      <c r="K30" s="326">
        <f t="shared" si="4"/>
        <v>737337</v>
      </c>
      <c r="L30" s="452">
        <f>VLOOKUP(B30,'[5]TTL dot​2 (31947)'!B$13:R$83,17,0)</f>
        <v>409822</v>
      </c>
      <c r="M30" s="327">
        <f t="shared" si="5"/>
        <v>8364</v>
      </c>
      <c r="N30" s="327">
        <f t="shared" si="6"/>
        <v>14747</v>
      </c>
      <c r="O30" s="327">
        <f t="shared" si="7"/>
        <v>6383</v>
      </c>
      <c r="P30" s="328">
        <f t="shared" si="8"/>
        <v>0</v>
      </c>
      <c r="Q30" s="329">
        <f t="shared" si="1"/>
        <v>424569</v>
      </c>
      <c r="R30" s="325">
        <f t="shared" si="2"/>
        <v>312768</v>
      </c>
      <c r="S30" s="61"/>
      <c r="T30" s="65"/>
      <c r="U30" s="46"/>
      <c r="V30" s="66"/>
      <c r="W30" s="67"/>
      <c r="X30" s="50"/>
      <c r="Y30" s="69"/>
    </row>
    <row r="31" spans="1:30" s="31" customFormat="1" ht="24.95" customHeight="1">
      <c r="A31" s="47">
        <f t="shared" si="9"/>
        <v>19</v>
      </c>
      <c r="B31" s="447" t="s">
        <v>94</v>
      </c>
      <c r="C31" s="449" t="s">
        <v>95</v>
      </c>
      <c r="D31" s="436">
        <v>220137301</v>
      </c>
      <c r="E31" s="324">
        <v>31947</v>
      </c>
      <c r="F31" s="349">
        <f>VLOOKUP(B31,'KLCN t1 dot 1'!$B$13:$Z$83,25,0)</f>
        <v>23.759999999999998</v>
      </c>
      <c r="G31" s="325">
        <f t="shared" si="0"/>
        <v>759061</v>
      </c>
      <c r="H31" s="349">
        <f>VLOOKUP(B31,'KLCN t1 dot 2'!$B$13:$AB$83,27,0)</f>
        <v>15.819999999999999</v>
      </c>
      <c r="I31" s="325">
        <f t="shared" si="3"/>
        <v>505402</v>
      </c>
      <c r="J31" s="325"/>
      <c r="K31" s="326">
        <f t="shared" si="4"/>
        <v>1264463</v>
      </c>
      <c r="L31" s="452">
        <f>VLOOKUP(B31,'[5]TTL dot​2 (31947)'!B$13:R$83,17,0)</f>
        <v>743880</v>
      </c>
      <c r="M31" s="327">
        <f t="shared" si="5"/>
        <v>15181</v>
      </c>
      <c r="N31" s="327">
        <f t="shared" si="6"/>
        <v>24000</v>
      </c>
      <c r="O31" s="327">
        <f t="shared" si="7"/>
        <v>8819</v>
      </c>
      <c r="P31" s="328">
        <f t="shared" si="8"/>
        <v>0</v>
      </c>
      <c r="Q31" s="329">
        <f t="shared" si="1"/>
        <v>767880</v>
      </c>
      <c r="R31" s="325">
        <f t="shared" si="2"/>
        <v>496583</v>
      </c>
      <c r="S31" s="61"/>
      <c r="T31" s="65"/>
      <c r="U31" s="46"/>
      <c r="V31" s="66"/>
      <c r="W31" s="67"/>
      <c r="X31" s="50">
        <v>200000</v>
      </c>
      <c r="Y31" s="69"/>
    </row>
    <row r="32" spans="1:30" s="31" customFormat="1" ht="24.95" customHeight="1">
      <c r="A32" s="47">
        <f t="shared" si="9"/>
        <v>20</v>
      </c>
      <c r="B32" s="447" t="s">
        <v>96</v>
      </c>
      <c r="C32" s="449" t="s">
        <v>97</v>
      </c>
      <c r="D32" s="436">
        <v>150940509</v>
      </c>
      <c r="E32" s="324">
        <v>31947</v>
      </c>
      <c r="F32" s="349">
        <f>VLOOKUP(B32,'KLCN t1 dot 1'!$B$13:$Z$83,25,0)</f>
        <v>18.22</v>
      </c>
      <c r="G32" s="325">
        <f t="shared" si="0"/>
        <v>582074</v>
      </c>
      <c r="H32" s="349">
        <f>VLOOKUP(B32,'KLCN t1 dot 2'!$B$13:$AB$83,27,0)</f>
        <v>10.92</v>
      </c>
      <c r="I32" s="325">
        <f t="shared" si="3"/>
        <v>348861</v>
      </c>
      <c r="J32" s="325"/>
      <c r="K32" s="326">
        <f t="shared" si="4"/>
        <v>930935</v>
      </c>
      <c r="L32" s="452">
        <f>VLOOKUP(B32,'[5]TTL dot​2 (31947)'!B$13:R$83,17,0)</f>
        <v>570433</v>
      </c>
      <c r="M32" s="327">
        <f t="shared" si="5"/>
        <v>11641</v>
      </c>
      <c r="N32" s="327">
        <f t="shared" si="6"/>
        <v>18619</v>
      </c>
      <c r="O32" s="327">
        <f t="shared" si="7"/>
        <v>6978</v>
      </c>
      <c r="P32" s="328">
        <f t="shared" si="8"/>
        <v>0</v>
      </c>
      <c r="Q32" s="329">
        <f t="shared" si="1"/>
        <v>589052</v>
      </c>
      <c r="R32" s="325">
        <f t="shared" si="2"/>
        <v>341883</v>
      </c>
      <c r="S32" s="64"/>
      <c r="T32" s="65"/>
      <c r="U32" s="46">
        <v>200000</v>
      </c>
      <c r="V32" s="46">
        <f>R32-U32</f>
        <v>141883</v>
      </c>
      <c r="W32" s="13" t="e">
        <f>#REF!</f>
        <v>#REF!</v>
      </c>
      <c r="X32" s="68"/>
      <c r="Y32" s="69"/>
    </row>
    <row r="33" spans="1:25" s="31" customFormat="1" ht="24.95" customHeight="1">
      <c r="A33" s="47">
        <f t="shared" si="9"/>
        <v>21</v>
      </c>
      <c r="B33" s="447" t="s">
        <v>98</v>
      </c>
      <c r="C33" s="450" t="s">
        <v>99</v>
      </c>
      <c r="D33" s="436">
        <v>150657948</v>
      </c>
      <c r="E33" s="324">
        <v>31947</v>
      </c>
      <c r="F33" s="349">
        <f>VLOOKUP(B33,'KLCN t1 dot 1'!$B$13:$Z$83,25,0)</f>
        <v>15.469999999999999</v>
      </c>
      <c r="G33" s="325">
        <f t="shared" si="0"/>
        <v>494220</v>
      </c>
      <c r="H33" s="349">
        <f>VLOOKUP(B33,'KLCN t1 dot 2'!$B$13:$AB$83,27,0)</f>
        <v>6.67</v>
      </c>
      <c r="I33" s="325">
        <f t="shared" si="3"/>
        <v>213086</v>
      </c>
      <c r="J33" s="325"/>
      <c r="K33" s="326">
        <f t="shared" si="4"/>
        <v>707306</v>
      </c>
      <c r="L33" s="452">
        <f>VLOOKUP(B33,'[5]TTL dot​2 (31947)'!B$13:R$83,17,0)</f>
        <v>484336</v>
      </c>
      <c r="M33" s="327">
        <f t="shared" si="5"/>
        <v>9884</v>
      </c>
      <c r="N33" s="327">
        <f t="shared" si="6"/>
        <v>14146</v>
      </c>
      <c r="O33" s="327">
        <f t="shared" si="7"/>
        <v>4262</v>
      </c>
      <c r="P33" s="328">
        <f t="shared" si="8"/>
        <v>0</v>
      </c>
      <c r="Q33" s="329">
        <f t="shared" si="1"/>
        <v>498482</v>
      </c>
      <c r="R33" s="325">
        <f t="shared" si="2"/>
        <v>208824</v>
      </c>
      <c r="S33" s="64"/>
      <c r="T33" s="65"/>
      <c r="U33" s="46"/>
      <c r="V33" s="46"/>
      <c r="W33" s="13"/>
      <c r="X33" s="68"/>
      <c r="Y33" s="69"/>
    </row>
    <row r="34" spans="1:25" s="31" customFormat="1" ht="27.95" customHeight="1">
      <c r="A34" s="47">
        <f t="shared" si="9"/>
        <v>22</v>
      </c>
      <c r="B34" s="447" t="s">
        <v>100</v>
      </c>
      <c r="C34" s="450" t="s">
        <v>101</v>
      </c>
      <c r="D34" s="436">
        <v>150952503</v>
      </c>
      <c r="E34" s="324">
        <v>31947</v>
      </c>
      <c r="F34" s="349">
        <f>VLOOKUP(B34,'KLCN t1 dot 1'!$B$13:$Z$83,25,0)</f>
        <v>13.09</v>
      </c>
      <c r="G34" s="325">
        <f t="shared" si="0"/>
        <v>418186</v>
      </c>
      <c r="H34" s="349">
        <f>VLOOKUP(B34,'KLCN t1 dot 2'!$B$13:$AB$83,27,0)</f>
        <v>12.959999999999999</v>
      </c>
      <c r="I34" s="325">
        <f t="shared" si="3"/>
        <v>414033</v>
      </c>
      <c r="J34" s="325"/>
      <c r="K34" s="326">
        <f t="shared" si="4"/>
        <v>832219</v>
      </c>
      <c r="L34" s="452">
        <f>VLOOKUP(B34,'[5]TTL dot​2 (31947)'!B$13:R$83,17,0)</f>
        <v>409822</v>
      </c>
      <c r="M34" s="327">
        <f t="shared" si="5"/>
        <v>8364</v>
      </c>
      <c r="N34" s="327">
        <f t="shared" si="6"/>
        <v>16644</v>
      </c>
      <c r="O34" s="327">
        <f t="shared" si="7"/>
        <v>8280</v>
      </c>
      <c r="P34" s="328">
        <f t="shared" si="8"/>
        <v>0</v>
      </c>
      <c r="Q34" s="329">
        <f t="shared" si="1"/>
        <v>426466</v>
      </c>
      <c r="R34" s="325">
        <f t="shared" si="2"/>
        <v>405753</v>
      </c>
      <c r="S34" s="64"/>
      <c r="T34" s="65"/>
      <c r="U34" s="46"/>
      <c r="V34" s="46"/>
      <c r="W34" s="13"/>
      <c r="X34" s="68"/>
      <c r="Y34" s="69"/>
    </row>
    <row r="35" spans="1:25" s="31" customFormat="1" ht="27.95" customHeight="1">
      <c r="A35" s="47">
        <f t="shared" si="9"/>
        <v>23</v>
      </c>
      <c r="B35" s="447" t="s">
        <v>102</v>
      </c>
      <c r="C35" s="450" t="s">
        <v>103</v>
      </c>
      <c r="D35" s="436">
        <v>220248893</v>
      </c>
      <c r="E35" s="324">
        <v>31947</v>
      </c>
      <c r="F35" s="349">
        <f>VLOOKUP(B35,'KLCN t1 dot 1'!$B$13:$Z$83,25,0)</f>
        <v>13.09</v>
      </c>
      <c r="G35" s="325">
        <f t="shared" si="0"/>
        <v>418186</v>
      </c>
      <c r="H35" s="349">
        <f>VLOOKUP(B35,'KLCN t1 dot 2'!$B$13:$AB$83,27,0)</f>
        <v>15.26</v>
      </c>
      <c r="I35" s="325">
        <f t="shared" si="3"/>
        <v>487511</v>
      </c>
      <c r="J35" s="325"/>
      <c r="K35" s="326">
        <f t="shared" si="4"/>
        <v>905697</v>
      </c>
      <c r="L35" s="452">
        <f>VLOOKUP(B35,'[5]TTL dot​2 (31947)'!B$13:R$83,17,0)</f>
        <v>409822</v>
      </c>
      <c r="M35" s="327">
        <f t="shared" si="5"/>
        <v>8364</v>
      </c>
      <c r="N35" s="327">
        <f t="shared" si="6"/>
        <v>18114</v>
      </c>
      <c r="O35" s="327">
        <f t="shared" si="7"/>
        <v>9750</v>
      </c>
      <c r="P35" s="328">
        <f t="shared" si="8"/>
        <v>0</v>
      </c>
      <c r="Q35" s="329">
        <f t="shared" si="1"/>
        <v>427936</v>
      </c>
      <c r="R35" s="325">
        <f t="shared" si="2"/>
        <v>477761</v>
      </c>
      <c r="S35" s="64"/>
      <c r="T35" s="65"/>
      <c r="U35" s="46"/>
      <c r="V35" s="46"/>
      <c r="W35" s="13"/>
      <c r="X35" s="68">
        <v>200000</v>
      </c>
      <c r="Y35" s="69"/>
    </row>
    <row r="36" spans="1:25" s="31" customFormat="1" ht="27.95" customHeight="1">
      <c r="A36" s="47">
        <f t="shared" si="9"/>
        <v>24</v>
      </c>
      <c r="B36" s="447" t="s">
        <v>104</v>
      </c>
      <c r="C36" s="451" t="s">
        <v>105</v>
      </c>
      <c r="D36" s="436">
        <v>220105697</v>
      </c>
      <c r="E36" s="324">
        <v>31947</v>
      </c>
      <c r="F36" s="349">
        <f>VLOOKUP(B36,'KLCN t1 dot 1'!$B$13:$Z$83,25,0)</f>
        <v>13.09</v>
      </c>
      <c r="G36" s="325">
        <f t="shared" si="0"/>
        <v>418186</v>
      </c>
      <c r="H36" s="349">
        <f>VLOOKUP(B36,'KLCN t1 dot 2'!$B$13:$AB$83,27,0)</f>
        <v>9.01</v>
      </c>
      <c r="I36" s="325">
        <f t="shared" si="3"/>
        <v>287842</v>
      </c>
      <c r="J36" s="325"/>
      <c r="K36" s="326">
        <f t="shared" si="4"/>
        <v>706028</v>
      </c>
      <c r="L36" s="452">
        <f>VLOOKUP(B36,'[5]TTL dot​2 (31947)'!B$13:R$83,17,0)</f>
        <v>409822</v>
      </c>
      <c r="M36" s="327">
        <f t="shared" si="5"/>
        <v>8364</v>
      </c>
      <c r="N36" s="327">
        <f t="shared" si="6"/>
        <v>14121</v>
      </c>
      <c r="O36" s="327">
        <f t="shared" si="7"/>
        <v>5757</v>
      </c>
      <c r="P36" s="328">
        <f t="shared" si="8"/>
        <v>0</v>
      </c>
      <c r="Q36" s="329">
        <f t="shared" si="1"/>
        <v>423943</v>
      </c>
      <c r="R36" s="325">
        <f t="shared" si="2"/>
        <v>282085</v>
      </c>
      <c r="S36" s="64"/>
      <c r="T36" s="65"/>
      <c r="U36" s="46"/>
      <c r="V36" s="46"/>
      <c r="W36" s="13"/>
      <c r="X36" s="68"/>
      <c r="Y36" s="69"/>
    </row>
    <row r="37" spans="1:25" s="31" customFormat="1" ht="27.95" customHeight="1">
      <c r="A37" s="47">
        <f t="shared" si="9"/>
        <v>25</v>
      </c>
      <c r="B37" s="444" t="s">
        <v>219</v>
      </c>
      <c r="C37" s="451" t="s">
        <v>220</v>
      </c>
      <c r="D37" s="436">
        <v>220216744</v>
      </c>
      <c r="E37" s="324">
        <v>31947</v>
      </c>
      <c r="F37" s="349">
        <f>VLOOKUP(B37,'KLCN t1 dot 1'!$B$13:$Z$83,25,0)</f>
        <v>13.09</v>
      </c>
      <c r="G37" s="325">
        <f t="shared" si="0"/>
        <v>418186</v>
      </c>
      <c r="H37" s="349">
        <f>VLOOKUP(B37,'KLCN t1 dot 2'!$B$13:$AB$83,27,0)</f>
        <v>12.03</v>
      </c>
      <c r="I37" s="325">
        <f t="shared" si="3"/>
        <v>384322</v>
      </c>
      <c r="J37" s="325"/>
      <c r="K37" s="326">
        <f t="shared" si="4"/>
        <v>802508</v>
      </c>
      <c r="L37" s="452">
        <f>VLOOKUP(B37,'[5]TTL dot​2 (31947)'!B$13:R$83,17,0)</f>
        <v>409822</v>
      </c>
      <c r="M37" s="327">
        <f t="shared" si="5"/>
        <v>8364</v>
      </c>
      <c r="N37" s="327">
        <f t="shared" si="6"/>
        <v>16050</v>
      </c>
      <c r="O37" s="327">
        <f t="shared" si="7"/>
        <v>7686</v>
      </c>
      <c r="P37" s="328">
        <f t="shared" si="8"/>
        <v>0</v>
      </c>
      <c r="Q37" s="329">
        <f t="shared" si="1"/>
        <v>425872</v>
      </c>
      <c r="R37" s="325">
        <f t="shared" si="2"/>
        <v>376636</v>
      </c>
      <c r="S37" s="64"/>
      <c r="T37" s="65"/>
      <c r="U37" s="46"/>
      <c r="V37" s="46"/>
      <c r="W37" s="13"/>
      <c r="X37" s="68">
        <v>100000</v>
      </c>
      <c r="Y37" s="69"/>
    </row>
    <row r="38" spans="1:25" s="31" customFormat="1" ht="27.95" customHeight="1">
      <c r="A38" s="47">
        <f t="shared" si="9"/>
        <v>26</v>
      </c>
      <c r="B38" s="573" t="s">
        <v>278</v>
      </c>
      <c r="C38" s="451" t="s">
        <v>279</v>
      </c>
      <c r="D38" s="436">
        <v>220211460</v>
      </c>
      <c r="E38" s="324">
        <v>31947</v>
      </c>
      <c r="F38" s="349">
        <f>VLOOKUP(B38,'KLCN t1 dot 1'!$B$13:$Z$83,25,0)</f>
        <v>18.509999999999998</v>
      </c>
      <c r="G38" s="325">
        <f t="shared" si="0"/>
        <v>591339</v>
      </c>
      <c r="H38" s="349">
        <f>VLOOKUP(B38,'KLCN t1 dot 2'!$B$13:$AB$83,27,0)</f>
        <v>18.28</v>
      </c>
      <c r="I38" s="325">
        <f t="shared" si="3"/>
        <v>583991</v>
      </c>
      <c r="J38" s="325"/>
      <c r="K38" s="326">
        <f t="shared" si="4"/>
        <v>1175330</v>
      </c>
      <c r="L38" s="452">
        <f>VLOOKUP(B38,'[5]TTL dot​2 (31947)'!B$13:R$83,17,0)</f>
        <v>579512</v>
      </c>
      <c r="M38" s="327">
        <f t="shared" si="5"/>
        <v>11827</v>
      </c>
      <c r="N38" s="327">
        <f t="shared" si="6"/>
        <v>23507</v>
      </c>
      <c r="O38" s="327">
        <f t="shared" si="7"/>
        <v>11680</v>
      </c>
      <c r="P38" s="328">
        <f t="shared" si="8"/>
        <v>0</v>
      </c>
      <c r="Q38" s="329">
        <f t="shared" si="1"/>
        <v>603019</v>
      </c>
      <c r="R38" s="325">
        <f t="shared" si="2"/>
        <v>572311</v>
      </c>
      <c r="S38" s="64"/>
      <c r="T38" s="65"/>
      <c r="U38" s="46"/>
      <c r="V38" s="46"/>
      <c r="W38" s="13"/>
      <c r="X38" s="68">
        <v>200000</v>
      </c>
      <c r="Y38" s="69"/>
    </row>
    <row r="39" spans="1:25" s="31" customFormat="1" ht="27.95" customHeight="1">
      <c r="A39" s="47">
        <f t="shared" si="9"/>
        <v>27</v>
      </c>
      <c r="B39" s="444" t="s">
        <v>280</v>
      </c>
      <c r="C39" s="451" t="s">
        <v>281</v>
      </c>
      <c r="D39" s="436">
        <v>151056059</v>
      </c>
      <c r="E39" s="324">
        <v>31947</v>
      </c>
      <c r="F39" s="349">
        <f>VLOOKUP(B39,'KLCN t1 dot 1'!$B$13:$Z$83,25,0)</f>
        <v>10.52</v>
      </c>
      <c r="G39" s="325">
        <f t="shared" si="0"/>
        <v>336082</v>
      </c>
      <c r="H39" s="349">
        <f>VLOOKUP(B39,'KLCN t1 dot 2'!$B$13:$AB$83,27,0)</f>
        <v>15.07</v>
      </c>
      <c r="I39" s="325">
        <f t="shared" si="3"/>
        <v>481441</v>
      </c>
      <c r="J39" s="325"/>
      <c r="K39" s="326">
        <f t="shared" si="4"/>
        <v>817523</v>
      </c>
      <c r="L39" s="452">
        <f>VLOOKUP(B39,'[5]TTL dot​2 (31947)'!B$13:R$83,17,0)</f>
        <v>328082</v>
      </c>
      <c r="M39" s="327">
        <f t="shared" si="5"/>
        <v>8000</v>
      </c>
      <c r="N39" s="327">
        <f t="shared" si="6"/>
        <v>16350</v>
      </c>
      <c r="O39" s="327">
        <f t="shared" si="7"/>
        <v>8350</v>
      </c>
      <c r="P39" s="328">
        <f t="shared" si="8"/>
        <v>0</v>
      </c>
      <c r="Q39" s="329">
        <f t="shared" si="1"/>
        <v>344432</v>
      </c>
      <c r="R39" s="325">
        <f t="shared" si="2"/>
        <v>473091</v>
      </c>
      <c r="S39" s="64"/>
      <c r="T39" s="65"/>
      <c r="U39" s="46"/>
      <c r="V39" s="46"/>
      <c r="W39" s="13"/>
      <c r="X39" s="68"/>
      <c r="Y39" s="69"/>
    </row>
    <row r="40" spans="1:25" s="31" customFormat="1" ht="27.95" customHeight="1">
      <c r="A40" s="47">
        <f t="shared" si="9"/>
        <v>28</v>
      </c>
      <c r="B40" s="434" t="s">
        <v>135</v>
      </c>
      <c r="C40" s="293" t="s">
        <v>136</v>
      </c>
      <c r="D40" s="436" t="s">
        <v>189</v>
      </c>
      <c r="E40" s="324">
        <v>31947</v>
      </c>
      <c r="F40" s="349">
        <f>VLOOKUP(B40,'KLCN t1 dot 1'!$B$13:$Z$83,25,0)</f>
        <v>17.170000000000002</v>
      </c>
      <c r="G40" s="325">
        <f t="shared" si="0"/>
        <v>548530</v>
      </c>
      <c r="H40" s="349">
        <f>VLOOKUP(B40,'KLCN t1 dot 2'!$B$13:$AB$83,27,0)</f>
        <v>14.71</v>
      </c>
      <c r="I40" s="325">
        <f t="shared" si="3"/>
        <v>469940</v>
      </c>
      <c r="J40" s="325"/>
      <c r="K40" s="326">
        <f t="shared" si="4"/>
        <v>1018470</v>
      </c>
      <c r="L40" s="452">
        <f>VLOOKUP(B40,'[5]TTL dot​2 (31947)'!B$13:R$83,17,0)</f>
        <v>537559</v>
      </c>
      <c r="M40" s="327">
        <f t="shared" si="5"/>
        <v>10971</v>
      </c>
      <c r="N40" s="327">
        <f t="shared" si="6"/>
        <v>20369</v>
      </c>
      <c r="O40" s="327">
        <f t="shared" si="7"/>
        <v>9398</v>
      </c>
      <c r="P40" s="328">
        <f t="shared" si="8"/>
        <v>0</v>
      </c>
      <c r="Q40" s="329">
        <f t="shared" si="1"/>
        <v>557928</v>
      </c>
      <c r="R40" s="325">
        <f t="shared" si="2"/>
        <v>460542</v>
      </c>
      <c r="S40" s="64"/>
      <c r="T40" s="65"/>
      <c r="U40" s="46"/>
      <c r="V40" s="46"/>
      <c r="W40" s="13"/>
      <c r="X40" s="68">
        <v>200000</v>
      </c>
      <c r="Y40" s="69"/>
    </row>
    <row r="41" spans="1:25" s="31" customFormat="1" ht="27.95" customHeight="1">
      <c r="A41" s="47">
        <f t="shared" si="9"/>
        <v>29</v>
      </c>
      <c r="B41" s="249" t="s">
        <v>106</v>
      </c>
      <c r="C41" s="467" t="s">
        <v>107</v>
      </c>
      <c r="D41" s="436" t="s">
        <v>185</v>
      </c>
      <c r="E41" s="324">
        <v>31947</v>
      </c>
      <c r="F41" s="349">
        <f>VLOOKUP(B41,'KLCN t1 dot 1'!$B$13:$Z$83,25,0)</f>
        <v>37.68</v>
      </c>
      <c r="G41" s="325">
        <f t="shared" si="0"/>
        <v>1203763</v>
      </c>
      <c r="H41" s="349">
        <f>VLOOKUP(B41,'KLCN t1 dot 2'!$B$13:$AB$83,27,0)</f>
        <v>45.26</v>
      </c>
      <c r="I41" s="325">
        <f t="shared" si="3"/>
        <v>1445921</v>
      </c>
      <c r="J41" s="325"/>
      <c r="K41" s="326">
        <f>I41+J41+G41</f>
        <v>2649684</v>
      </c>
      <c r="L41" s="452">
        <f>VLOOKUP(B41,'[5]TTL dot​2 (31947)'!B$13:R$83,17,0)</f>
        <v>1179763</v>
      </c>
      <c r="M41" s="327">
        <f t="shared" si="5"/>
        <v>24000</v>
      </c>
      <c r="N41" s="327">
        <f t="shared" si="6"/>
        <v>24000</v>
      </c>
      <c r="O41" s="327">
        <f t="shared" si="7"/>
        <v>0</v>
      </c>
      <c r="P41" s="328">
        <f>ROUND(IF((K41-J41-N41)&lt;=1500000,0,IF(AND(((K41-J41-N41))&gt;1500000,((K41-J41-N41))&lt;=2000000),((K41-J41-N41))*5%-75000,IF(AND(((K41-J41-N41))&gt;2000000,((K41-J41-N41))&lt;=8500000),((K41-J41-N41))*10%-175000))),0)</f>
        <v>87568</v>
      </c>
      <c r="Q41" s="329">
        <f t="shared" si="1"/>
        <v>1291331</v>
      </c>
      <c r="R41" s="325">
        <f t="shared" si="2"/>
        <v>1358353</v>
      </c>
      <c r="S41" s="64"/>
      <c r="T41" s="65"/>
      <c r="U41" s="46"/>
      <c r="V41" s="46"/>
      <c r="W41" s="13"/>
      <c r="X41" s="68"/>
      <c r="Y41" s="69"/>
    </row>
    <row r="42" spans="1:25" s="31" customFormat="1" ht="27.95" customHeight="1">
      <c r="A42" s="47">
        <f t="shared" si="9"/>
        <v>30</v>
      </c>
      <c r="B42" s="249" t="s">
        <v>108</v>
      </c>
      <c r="C42" s="469" t="s">
        <v>109</v>
      </c>
      <c r="D42" s="436">
        <v>150839024</v>
      </c>
      <c r="E42" s="324">
        <v>31947</v>
      </c>
      <c r="F42" s="349">
        <f>VLOOKUP(B42,'KLCN t1 dot 1'!$B$13:$Z$83,25,0)</f>
        <v>34.25</v>
      </c>
      <c r="G42" s="325">
        <f t="shared" si="0"/>
        <v>1094185</v>
      </c>
      <c r="H42" s="349">
        <f>VLOOKUP(B42,'KLCN t1 dot 2'!$B$13:$AB$83,27,0)</f>
        <v>41.300000000000004</v>
      </c>
      <c r="I42" s="325">
        <f t="shared" si="3"/>
        <v>1319411</v>
      </c>
      <c r="J42" s="325"/>
      <c r="K42" s="326">
        <f t="shared" si="4"/>
        <v>2413596</v>
      </c>
      <c r="L42" s="452">
        <f>VLOOKUP(B42,'[5]TTL dot​2 (31947)'!B$13:R$83,17,0)</f>
        <v>1072301</v>
      </c>
      <c r="M42" s="327">
        <f t="shared" si="5"/>
        <v>21884</v>
      </c>
      <c r="N42" s="327">
        <f t="shared" si="6"/>
        <v>24000</v>
      </c>
      <c r="O42" s="327">
        <f t="shared" si="7"/>
        <v>2116</v>
      </c>
      <c r="P42" s="328">
        <f t="shared" si="8"/>
        <v>63960</v>
      </c>
      <c r="Q42" s="329">
        <f t="shared" si="1"/>
        <v>1160261</v>
      </c>
      <c r="R42" s="325">
        <f t="shared" si="2"/>
        <v>1253335</v>
      </c>
      <c r="S42" s="64"/>
      <c r="T42" s="65"/>
      <c r="U42" s="46"/>
      <c r="V42" s="46"/>
      <c r="W42" s="13"/>
      <c r="X42" s="68"/>
      <c r="Y42" s="69"/>
    </row>
    <row r="43" spans="1:25" s="31" customFormat="1" ht="27.95" customHeight="1">
      <c r="A43" s="47">
        <f t="shared" si="9"/>
        <v>31</v>
      </c>
      <c r="B43" s="437" t="s">
        <v>110</v>
      </c>
      <c r="C43" s="441" t="s">
        <v>111</v>
      </c>
      <c r="D43" s="436" t="s">
        <v>186</v>
      </c>
      <c r="E43" s="324">
        <v>31947</v>
      </c>
      <c r="F43" s="349">
        <f>VLOOKUP(B43,'KLCN t1 dot 1'!$B$13:$Z$83,25,0)</f>
        <v>34.25</v>
      </c>
      <c r="G43" s="325">
        <f t="shared" si="0"/>
        <v>1094185</v>
      </c>
      <c r="H43" s="349">
        <f>VLOOKUP(B43,'KLCN t1 dot 2'!$B$13:$AB$83,27,0)</f>
        <v>41.300000000000004</v>
      </c>
      <c r="I43" s="325">
        <f t="shared" si="3"/>
        <v>1319411</v>
      </c>
      <c r="J43" s="325"/>
      <c r="K43" s="326">
        <f t="shared" si="4"/>
        <v>2413596</v>
      </c>
      <c r="L43" s="452">
        <f>VLOOKUP(B43,'[5]TTL dot​2 (31947)'!B$13:R$83,17,0)</f>
        <v>1072301</v>
      </c>
      <c r="M43" s="327">
        <f t="shared" si="5"/>
        <v>21884</v>
      </c>
      <c r="N43" s="327">
        <f t="shared" si="6"/>
        <v>24000</v>
      </c>
      <c r="O43" s="327">
        <f t="shared" si="7"/>
        <v>2116</v>
      </c>
      <c r="P43" s="328">
        <f t="shared" si="8"/>
        <v>63960</v>
      </c>
      <c r="Q43" s="329">
        <f t="shared" si="1"/>
        <v>1160261</v>
      </c>
      <c r="R43" s="325">
        <f t="shared" si="2"/>
        <v>1253335</v>
      </c>
      <c r="S43" s="64"/>
      <c r="T43" s="65"/>
      <c r="U43" s="46"/>
      <c r="V43" s="46"/>
      <c r="W43" s="13"/>
      <c r="X43" s="68"/>
      <c r="Y43" s="69"/>
    </row>
    <row r="44" spans="1:25" s="31" customFormat="1" ht="27.95" customHeight="1">
      <c r="A44" s="47">
        <f t="shared" si="9"/>
        <v>32</v>
      </c>
      <c r="B44" s="249" t="s">
        <v>112</v>
      </c>
      <c r="C44" s="467" t="s">
        <v>113</v>
      </c>
      <c r="D44" s="436" t="s">
        <v>187</v>
      </c>
      <c r="E44" s="324">
        <v>31947</v>
      </c>
      <c r="F44" s="349">
        <f>VLOOKUP(B44,'KLCN t1 dot 1'!$B$13:$Z$83,25,0)</f>
        <v>34.25</v>
      </c>
      <c r="G44" s="325">
        <f t="shared" si="0"/>
        <v>1094185</v>
      </c>
      <c r="H44" s="349">
        <f>VLOOKUP(B44,'KLCN t1 dot 2'!$B$13:$AB$83,27,0)</f>
        <v>41.300000000000004</v>
      </c>
      <c r="I44" s="325">
        <f t="shared" si="3"/>
        <v>1319411</v>
      </c>
      <c r="J44" s="325"/>
      <c r="K44" s="326">
        <f t="shared" si="4"/>
        <v>2413596</v>
      </c>
      <c r="L44" s="452">
        <f>VLOOKUP(B44,'[5]TTL dot​2 (31947)'!B$13:R$83,17,0)</f>
        <v>1072301</v>
      </c>
      <c r="M44" s="327">
        <f t="shared" si="5"/>
        <v>21884</v>
      </c>
      <c r="N44" s="327">
        <f t="shared" si="6"/>
        <v>24000</v>
      </c>
      <c r="O44" s="327">
        <f t="shared" si="7"/>
        <v>2116</v>
      </c>
      <c r="P44" s="328">
        <f t="shared" si="8"/>
        <v>63960</v>
      </c>
      <c r="Q44" s="329">
        <f t="shared" si="1"/>
        <v>1160261</v>
      </c>
      <c r="R44" s="325">
        <f t="shared" si="2"/>
        <v>1253335</v>
      </c>
      <c r="S44" s="64"/>
      <c r="T44" s="65"/>
      <c r="U44" s="46"/>
      <c r="V44" s="46"/>
      <c r="W44" s="13"/>
      <c r="X44" s="68"/>
      <c r="Y44" s="69"/>
    </row>
    <row r="45" spans="1:25" s="31" customFormat="1" ht="27.95" customHeight="1">
      <c r="A45" s="47">
        <f t="shared" si="9"/>
        <v>33</v>
      </c>
      <c r="B45" s="249" t="s">
        <v>114</v>
      </c>
      <c r="C45" s="471" t="s">
        <v>115</v>
      </c>
      <c r="D45" s="436">
        <v>220137744</v>
      </c>
      <c r="E45" s="324">
        <v>31947</v>
      </c>
      <c r="F45" s="349">
        <f>VLOOKUP(B45,'KLCN t1 dot 1'!$B$13:$Z$83,25,0)</f>
        <v>34.25</v>
      </c>
      <c r="G45" s="325">
        <f t="shared" si="0"/>
        <v>1094185</v>
      </c>
      <c r="H45" s="349">
        <f>VLOOKUP(B45,'KLCN t1 dot 2'!$B$13:$AB$83,27,0)</f>
        <v>41.300000000000004</v>
      </c>
      <c r="I45" s="325">
        <f t="shared" si="3"/>
        <v>1319411</v>
      </c>
      <c r="J45" s="325"/>
      <c r="K45" s="326">
        <f t="shared" si="4"/>
        <v>2413596</v>
      </c>
      <c r="L45" s="452">
        <f>VLOOKUP(B45,'[5]TTL dot​2 (31947)'!B$13:R$83,17,0)</f>
        <v>1072301</v>
      </c>
      <c r="M45" s="327">
        <f t="shared" si="5"/>
        <v>21884</v>
      </c>
      <c r="N45" s="327">
        <f t="shared" si="6"/>
        <v>24000</v>
      </c>
      <c r="O45" s="327">
        <f t="shared" si="7"/>
        <v>2116</v>
      </c>
      <c r="P45" s="328">
        <f t="shared" si="8"/>
        <v>63960</v>
      </c>
      <c r="Q45" s="329">
        <f t="shared" si="1"/>
        <v>1160261</v>
      </c>
      <c r="R45" s="325">
        <f t="shared" si="2"/>
        <v>1253335</v>
      </c>
      <c r="S45" s="64"/>
      <c r="T45" s="65"/>
      <c r="U45" s="46"/>
      <c r="V45" s="46"/>
      <c r="W45" s="13"/>
      <c r="X45" s="68"/>
      <c r="Y45" s="69"/>
    </row>
    <row r="46" spans="1:25" s="31" customFormat="1" ht="27.95" customHeight="1">
      <c r="A46" s="47">
        <f t="shared" si="9"/>
        <v>34</v>
      </c>
      <c r="B46" s="249" t="s">
        <v>116</v>
      </c>
      <c r="C46" s="472" t="s">
        <v>117</v>
      </c>
      <c r="D46" s="436">
        <v>150627962</v>
      </c>
      <c r="E46" s="324">
        <v>31947</v>
      </c>
      <c r="F46" s="349">
        <f>VLOOKUP(B46,'KLCN t1 dot 1'!$B$13:$Z$83,25,0)</f>
        <v>31.35</v>
      </c>
      <c r="G46" s="325">
        <f t="shared" si="0"/>
        <v>1001538</v>
      </c>
      <c r="H46" s="349">
        <f>VLOOKUP(B46,'KLCN t1 dot 2'!$B$13:$AB$83,27,0)</f>
        <v>41.300000000000004</v>
      </c>
      <c r="I46" s="325">
        <f t="shared" si="3"/>
        <v>1319411</v>
      </c>
      <c r="J46" s="325"/>
      <c r="K46" s="326">
        <f t="shared" si="4"/>
        <v>2320949</v>
      </c>
      <c r="L46" s="452">
        <f>VLOOKUP(B46,'[5]TTL dot​2 (31947)'!B$13:R$83,17,0)</f>
        <v>981507</v>
      </c>
      <c r="M46" s="327">
        <f t="shared" si="5"/>
        <v>20031</v>
      </c>
      <c r="N46" s="327">
        <f t="shared" si="6"/>
        <v>24000</v>
      </c>
      <c r="O46" s="327">
        <f t="shared" si="7"/>
        <v>3969</v>
      </c>
      <c r="P46" s="328">
        <f t="shared" si="8"/>
        <v>54695</v>
      </c>
      <c r="Q46" s="329">
        <f t="shared" si="1"/>
        <v>1060202</v>
      </c>
      <c r="R46" s="325">
        <f t="shared" si="2"/>
        <v>1260747</v>
      </c>
      <c r="S46" s="64"/>
      <c r="T46" s="65"/>
      <c r="U46" s="46"/>
      <c r="V46" s="46"/>
      <c r="W46" s="13"/>
      <c r="X46" s="68"/>
      <c r="Y46" s="69"/>
    </row>
    <row r="47" spans="1:25" s="31" customFormat="1" ht="27.95" customHeight="1">
      <c r="A47" s="47">
        <f t="shared" si="9"/>
        <v>35</v>
      </c>
      <c r="B47" s="249" t="s">
        <v>118</v>
      </c>
      <c r="C47" s="472" t="s">
        <v>119</v>
      </c>
      <c r="D47" s="436">
        <v>150523228</v>
      </c>
      <c r="E47" s="324">
        <v>31947</v>
      </c>
      <c r="F47" s="349">
        <f>VLOOKUP(B47,'KLCN t1 dot 1'!$B$13:$Z$83,25,0)</f>
        <v>34.25</v>
      </c>
      <c r="G47" s="325">
        <f t="shared" si="0"/>
        <v>1094185</v>
      </c>
      <c r="H47" s="349">
        <f>VLOOKUP(B47,'KLCN t1 dot 2'!$B$13:$AB$83,27,0)</f>
        <v>41.300000000000004</v>
      </c>
      <c r="I47" s="325">
        <f t="shared" si="3"/>
        <v>1319411</v>
      </c>
      <c r="J47" s="325"/>
      <c r="K47" s="326">
        <f t="shared" si="4"/>
        <v>2413596</v>
      </c>
      <c r="L47" s="452">
        <f>VLOOKUP(B47,'[5]TTL dot​2 (31947)'!B$13:R$83,17,0)</f>
        <v>1072301</v>
      </c>
      <c r="M47" s="327">
        <f t="shared" si="5"/>
        <v>21884</v>
      </c>
      <c r="N47" s="327">
        <f t="shared" si="6"/>
        <v>24000</v>
      </c>
      <c r="O47" s="327">
        <f t="shared" si="7"/>
        <v>2116</v>
      </c>
      <c r="P47" s="328">
        <f t="shared" si="8"/>
        <v>63960</v>
      </c>
      <c r="Q47" s="329">
        <f t="shared" si="1"/>
        <v>1160261</v>
      </c>
      <c r="R47" s="325">
        <f t="shared" si="2"/>
        <v>1253335</v>
      </c>
      <c r="S47" s="64"/>
      <c r="T47" s="65"/>
      <c r="U47" s="46"/>
      <c r="V47" s="46"/>
      <c r="W47" s="13"/>
      <c r="X47" s="68"/>
      <c r="Y47" s="69"/>
    </row>
    <row r="48" spans="1:25" s="31" customFormat="1" ht="27.95" customHeight="1">
      <c r="A48" s="47">
        <f t="shared" si="9"/>
        <v>36</v>
      </c>
      <c r="B48" s="249" t="s">
        <v>120</v>
      </c>
      <c r="C48" s="472" t="s">
        <v>121</v>
      </c>
      <c r="D48" s="436">
        <v>151013383</v>
      </c>
      <c r="E48" s="324">
        <v>31947</v>
      </c>
      <c r="F48" s="349">
        <f>VLOOKUP(B48,'KLCN t1 dot 1'!$B$13:$Z$83,25,0)</f>
        <v>34.25</v>
      </c>
      <c r="G48" s="325">
        <f t="shared" si="0"/>
        <v>1094185</v>
      </c>
      <c r="H48" s="349">
        <f>VLOOKUP(B48,'KLCN t1 dot 2'!$B$13:$AB$83,27,0)</f>
        <v>41.300000000000004</v>
      </c>
      <c r="I48" s="325">
        <f t="shared" si="3"/>
        <v>1319411</v>
      </c>
      <c r="J48" s="325"/>
      <c r="K48" s="326">
        <f t="shared" si="4"/>
        <v>2413596</v>
      </c>
      <c r="L48" s="452">
        <f>VLOOKUP(B48,'[5]TTL dot​2 (31947)'!B$13:R$83,17,0)</f>
        <v>1072301</v>
      </c>
      <c r="M48" s="327">
        <f t="shared" si="5"/>
        <v>21884</v>
      </c>
      <c r="N48" s="327">
        <f t="shared" si="6"/>
        <v>24000</v>
      </c>
      <c r="O48" s="327">
        <f t="shared" si="7"/>
        <v>2116</v>
      </c>
      <c r="P48" s="328">
        <f t="shared" si="8"/>
        <v>63960</v>
      </c>
      <c r="Q48" s="329">
        <f t="shared" si="1"/>
        <v>1160261</v>
      </c>
      <c r="R48" s="325">
        <f t="shared" si="2"/>
        <v>1253335</v>
      </c>
      <c r="S48" s="64"/>
      <c r="T48" s="65"/>
      <c r="U48" s="46"/>
      <c r="V48" s="46"/>
      <c r="W48" s="13"/>
      <c r="X48" s="68"/>
      <c r="Y48" s="69"/>
    </row>
    <row r="49" spans="1:25" s="31" customFormat="1" ht="27.95" customHeight="1">
      <c r="A49" s="47">
        <f t="shared" si="9"/>
        <v>37</v>
      </c>
      <c r="B49" s="249" t="s">
        <v>122</v>
      </c>
      <c r="C49" s="471" t="s">
        <v>123</v>
      </c>
      <c r="D49" s="436">
        <v>150537069</v>
      </c>
      <c r="E49" s="324">
        <v>31947</v>
      </c>
      <c r="F49" s="349">
        <f>VLOOKUP(B49,'KLCN t1 dot 1'!$B$13:$Z$83,25,0)</f>
        <v>34.25</v>
      </c>
      <c r="G49" s="325">
        <f t="shared" si="0"/>
        <v>1094185</v>
      </c>
      <c r="H49" s="349">
        <f>VLOOKUP(B49,'KLCN t1 dot 2'!$B$13:$AB$83,27,0)</f>
        <v>41.300000000000004</v>
      </c>
      <c r="I49" s="325">
        <f t="shared" si="3"/>
        <v>1319411</v>
      </c>
      <c r="J49" s="325"/>
      <c r="K49" s="326">
        <f t="shared" si="4"/>
        <v>2413596</v>
      </c>
      <c r="L49" s="452">
        <f>VLOOKUP(B49,'[5]TTL dot​2 (31947)'!B$13:R$83,17,0)</f>
        <v>1072301</v>
      </c>
      <c r="M49" s="327">
        <f t="shared" si="5"/>
        <v>21884</v>
      </c>
      <c r="N49" s="327">
        <f t="shared" si="6"/>
        <v>24000</v>
      </c>
      <c r="O49" s="327">
        <f t="shared" si="7"/>
        <v>2116</v>
      </c>
      <c r="P49" s="328">
        <f t="shared" si="8"/>
        <v>63960</v>
      </c>
      <c r="Q49" s="329">
        <f t="shared" si="1"/>
        <v>1160261</v>
      </c>
      <c r="R49" s="325">
        <f t="shared" si="2"/>
        <v>1253335</v>
      </c>
      <c r="S49" s="64"/>
      <c r="T49" s="65"/>
      <c r="U49" s="46"/>
      <c r="V49" s="46"/>
      <c r="W49" s="13"/>
      <c r="X49" s="68"/>
      <c r="Y49" s="69"/>
    </row>
    <row r="50" spans="1:25" s="31" customFormat="1" ht="27.95" customHeight="1">
      <c r="A50" s="47">
        <f t="shared" si="9"/>
        <v>38</v>
      </c>
      <c r="B50" s="249" t="s">
        <v>333</v>
      </c>
      <c r="C50" s="471" t="s">
        <v>332</v>
      </c>
      <c r="D50" s="436">
        <v>151046569</v>
      </c>
      <c r="E50" s="330">
        <v>31947</v>
      </c>
      <c r="F50" s="349">
        <f>VLOOKUP(B50,'KLCN t1 dot 1'!$B$13:$Z$83,25,0)</f>
        <v>12.02</v>
      </c>
      <c r="G50" s="325">
        <f t="shared" si="0"/>
        <v>384003</v>
      </c>
      <c r="H50" s="349">
        <f>VLOOKUP(B50,'KLCN t1 dot 2'!$B$13:$AB$83,27,0)</f>
        <v>14.67</v>
      </c>
      <c r="I50" s="325">
        <f t="shared" si="3"/>
        <v>468662</v>
      </c>
      <c r="J50" s="331"/>
      <c r="K50" s="326">
        <f t="shared" si="4"/>
        <v>852665</v>
      </c>
      <c r="L50" s="452">
        <f>VLOOKUP(B50,'[5]TTL dot​2 (31947)'!B$13:R$83,17,0)</f>
        <v>376003</v>
      </c>
      <c r="M50" s="327">
        <f t="shared" si="5"/>
        <v>8000</v>
      </c>
      <c r="N50" s="327">
        <f t="shared" si="6"/>
        <v>17053</v>
      </c>
      <c r="O50" s="327">
        <f t="shared" si="7"/>
        <v>9053</v>
      </c>
      <c r="P50" s="328">
        <f t="shared" si="8"/>
        <v>0</v>
      </c>
      <c r="Q50" s="329">
        <f t="shared" si="1"/>
        <v>393056</v>
      </c>
      <c r="R50" s="325">
        <f t="shared" si="2"/>
        <v>459609</v>
      </c>
      <c r="S50" s="64"/>
      <c r="T50" s="65"/>
      <c r="U50" s="46"/>
      <c r="V50" s="46"/>
      <c r="W50" s="13"/>
      <c r="X50" s="68"/>
      <c r="Y50" s="69"/>
    </row>
    <row r="51" spans="1:25" s="31" customFormat="1" ht="27.95" customHeight="1">
      <c r="A51" s="47">
        <f t="shared" si="9"/>
        <v>39</v>
      </c>
      <c r="B51" s="249" t="s">
        <v>124</v>
      </c>
      <c r="C51" s="471" t="s">
        <v>125</v>
      </c>
      <c r="D51" s="436">
        <v>150771197</v>
      </c>
      <c r="E51" s="330">
        <v>31947</v>
      </c>
      <c r="F51" s="349">
        <f>VLOOKUP(B51,'KLCN t1 dot 1'!$B$13:$Z$83,25,0)</f>
        <v>12.71</v>
      </c>
      <c r="G51" s="325">
        <f t="shared" si="0"/>
        <v>406046</v>
      </c>
      <c r="H51" s="349">
        <f>VLOOKUP(B51,'KLCN t1 dot 2'!$B$13:$AB$83,27,0)</f>
        <v>15.18</v>
      </c>
      <c r="I51" s="325">
        <f t="shared" si="3"/>
        <v>484955</v>
      </c>
      <c r="J51" s="331"/>
      <c r="K51" s="326">
        <f t="shared" si="4"/>
        <v>891001</v>
      </c>
      <c r="L51" s="452">
        <f>VLOOKUP(B51,'[5]TTL dot​2 (31947)'!B$13:R$83,17,0)</f>
        <v>397925</v>
      </c>
      <c r="M51" s="327">
        <f t="shared" si="5"/>
        <v>8121</v>
      </c>
      <c r="N51" s="327">
        <f t="shared" si="6"/>
        <v>17820</v>
      </c>
      <c r="O51" s="327">
        <f t="shared" si="7"/>
        <v>9699</v>
      </c>
      <c r="P51" s="328">
        <f t="shared" si="8"/>
        <v>0</v>
      </c>
      <c r="Q51" s="329">
        <f t="shared" si="1"/>
        <v>415745</v>
      </c>
      <c r="R51" s="325">
        <f t="shared" si="2"/>
        <v>475256</v>
      </c>
      <c r="S51" s="64"/>
      <c r="T51" s="65"/>
      <c r="U51" s="46"/>
      <c r="V51" s="46"/>
      <c r="W51" s="13"/>
      <c r="X51" s="68"/>
      <c r="Y51" s="69"/>
    </row>
    <row r="52" spans="1:25" s="31" customFormat="1" ht="27.95" customHeight="1">
      <c r="A52" s="47">
        <f t="shared" si="9"/>
        <v>40</v>
      </c>
      <c r="B52" s="249" t="s">
        <v>126</v>
      </c>
      <c r="C52" s="471" t="s">
        <v>127</v>
      </c>
      <c r="D52" s="436">
        <v>150936930</v>
      </c>
      <c r="E52" s="330">
        <v>31947</v>
      </c>
      <c r="F52" s="349">
        <f>VLOOKUP(B52,'KLCN t1 dot 1'!$B$13:$Z$83,25,0)</f>
        <v>27.54</v>
      </c>
      <c r="G52" s="325">
        <f t="shared" si="0"/>
        <v>879820</v>
      </c>
      <c r="H52" s="349">
        <f>VLOOKUP(B52,'KLCN t1 dot 2'!$B$13:$AB$83,27,0)</f>
        <v>29.41</v>
      </c>
      <c r="I52" s="325">
        <f t="shared" si="3"/>
        <v>939561</v>
      </c>
      <c r="J52" s="331"/>
      <c r="K52" s="326">
        <f t="shared" si="4"/>
        <v>1819381</v>
      </c>
      <c r="L52" s="452">
        <f>VLOOKUP(B52,'[5]TTL dot​2 (31947)'!B$13:R$83,17,0)</f>
        <v>862224</v>
      </c>
      <c r="M52" s="327">
        <f t="shared" si="5"/>
        <v>17596</v>
      </c>
      <c r="N52" s="327">
        <f t="shared" si="6"/>
        <v>24000</v>
      </c>
      <c r="O52" s="327">
        <f t="shared" si="7"/>
        <v>6404</v>
      </c>
      <c r="P52" s="328">
        <f t="shared" si="8"/>
        <v>14769</v>
      </c>
      <c r="Q52" s="329">
        <f t="shared" si="1"/>
        <v>900993</v>
      </c>
      <c r="R52" s="325">
        <f t="shared" si="2"/>
        <v>918388</v>
      </c>
      <c r="S52" s="64"/>
      <c r="T52" s="65"/>
      <c r="U52" s="46"/>
      <c r="V52" s="46"/>
      <c r="W52" s="13"/>
      <c r="X52" s="68"/>
      <c r="Y52" s="69"/>
    </row>
    <row r="53" spans="1:25" s="31" customFormat="1" ht="27.95" customHeight="1">
      <c r="A53" s="47">
        <f t="shared" si="9"/>
        <v>41</v>
      </c>
      <c r="B53" s="249" t="s">
        <v>128</v>
      </c>
      <c r="C53" s="471" t="s">
        <v>129</v>
      </c>
      <c r="D53" s="436">
        <v>180753924</v>
      </c>
      <c r="E53" s="330">
        <v>31947</v>
      </c>
      <c r="F53" s="349">
        <f>VLOOKUP(B53,'KLCN t1 dot 1'!$B$13:$Z$83,25,0)</f>
        <v>20.69</v>
      </c>
      <c r="G53" s="325">
        <f t="shared" si="0"/>
        <v>660983</v>
      </c>
      <c r="H53" s="349">
        <f>VLOOKUP(B53,'KLCN t1 dot 2'!$B$13:$AB$83,27,0)</f>
        <v>23.700000000000003</v>
      </c>
      <c r="I53" s="325">
        <f t="shared" si="3"/>
        <v>757144</v>
      </c>
      <c r="J53" s="331"/>
      <c r="K53" s="326">
        <f t="shared" si="4"/>
        <v>1418127</v>
      </c>
      <c r="L53" s="452">
        <f>VLOOKUP(B53,'[5]TTL dot​2 (31947)'!B$13:R$83,17,0)</f>
        <v>647763</v>
      </c>
      <c r="M53" s="327">
        <f t="shared" si="5"/>
        <v>13220</v>
      </c>
      <c r="N53" s="327">
        <f t="shared" si="6"/>
        <v>24000</v>
      </c>
      <c r="O53" s="327">
        <f t="shared" si="7"/>
        <v>10780</v>
      </c>
      <c r="P53" s="328">
        <f t="shared" si="8"/>
        <v>0</v>
      </c>
      <c r="Q53" s="329">
        <f t="shared" si="1"/>
        <v>671763</v>
      </c>
      <c r="R53" s="325">
        <f t="shared" si="2"/>
        <v>746364</v>
      </c>
      <c r="S53" s="64"/>
      <c r="T53" s="65"/>
      <c r="U53" s="46"/>
      <c r="V53" s="46"/>
      <c r="W53" s="13"/>
      <c r="X53" s="68"/>
      <c r="Y53" s="69"/>
    </row>
    <row r="54" spans="1:25" s="31" customFormat="1" ht="27.95" customHeight="1">
      <c r="A54" s="47">
        <f t="shared" si="9"/>
        <v>42</v>
      </c>
      <c r="B54" s="249" t="s">
        <v>188</v>
      </c>
      <c r="C54" s="471" t="s">
        <v>130</v>
      </c>
      <c r="D54" s="436">
        <v>220208904</v>
      </c>
      <c r="E54" s="330">
        <v>31947</v>
      </c>
      <c r="F54" s="349">
        <f>VLOOKUP(B54,'KLCN t1 dot 1'!$B$13:$Z$83,25,0)</f>
        <v>27.03</v>
      </c>
      <c r="G54" s="325">
        <f t="shared" si="0"/>
        <v>863527</v>
      </c>
      <c r="H54" s="349">
        <f>VLOOKUP(B54,'KLCN t1 dot 2'!$B$13:$AB$83,27,0)</f>
        <v>29.780000000000005</v>
      </c>
      <c r="I54" s="325">
        <f t="shared" si="3"/>
        <v>951382</v>
      </c>
      <c r="J54" s="331"/>
      <c r="K54" s="326">
        <f t="shared" si="4"/>
        <v>1814909</v>
      </c>
      <c r="L54" s="452">
        <f>VLOOKUP(B54,'[5]TTL dot​2 (31947)'!B$13:R$83,17,0)</f>
        <v>846256</v>
      </c>
      <c r="M54" s="327">
        <f t="shared" si="5"/>
        <v>17271</v>
      </c>
      <c r="N54" s="327">
        <f t="shared" si="6"/>
        <v>24000</v>
      </c>
      <c r="O54" s="327">
        <f t="shared" si="7"/>
        <v>6729</v>
      </c>
      <c r="P54" s="328">
        <f t="shared" si="8"/>
        <v>14545</v>
      </c>
      <c r="Q54" s="329">
        <f t="shared" si="1"/>
        <v>884801</v>
      </c>
      <c r="R54" s="325">
        <f t="shared" si="2"/>
        <v>930108</v>
      </c>
      <c r="S54" s="64"/>
      <c r="T54" s="65"/>
      <c r="U54" s="46"/>
      <c r="V54" s="46"/>
      <c r="W54" s="13"/>
      <c r="X54" s="68"/>
      <c r="Y54" s="69"/>
    </row>
    <row r="55" spans="1:25" s="31" customFormat="1" ht="27.95" customHeight="1">
      <c r="A55" s="47">
        <f t="shared" si="9"/>
        <v>43</v>
      </c>
      <c r="B55" s="434" t="s">
        <v>131</v>
      </c>
      <c r="C55" s="570" t="s">
        <v>132</v>
      </c>
      <c r="D55" s="436">
        <v>150978188</v>
      </c>
      <c r="E55" s="324">
        <v>31947</v>
      </c>
      <c r="F55" s="349">
        <f>VLOOKUP(B55,'KLCN t1 dot 1'!$B$13:$Z$83,25,0)</f>
        <v>24.029999999999998</v>
      </c>
      <c r="G55" s="325">
        <f t="shared" si="0"/>
        <v>767686</v>
      </c>
      <c r="H55" s="349">
        <f>VLOOKUP(B55,'KLCN t1 dot 2'!$B$13:$AB$83,27,0)</f>
        <v>23.76</v>
      </c>
      <c r="I55" s="325">
        <f t="shared" si="3"/>
        <v>759061</v>
      </c>
      <c r="J55" s="325"/>
      <c r="K55" s="326">
        <f t="shared" si="4"/>
        <v>1526747</v>
      </c>
      <c r="L55" s="452">
        <f>VLOOKUP(B55,'[5]TTL dot​2 (31947)'!B$13:R$83,17,0)</f>
        <v>752332</v>
      </c>
      <c r="M55" s="327">
        <f t="shared" si="5"/>
        <v>15354</v>
      </c>
      <c r="N55" s="327">
        <f t="shared" si="6"/>
        <v>24000</v>
      </c>
      <c r="O55" s="327">
        <f t="shared" si="7"/>
        <v>8646</v>
      </c>
      <c r="P55" s="328">
        <f t="shared" si="8"/>
        <v>137</v>
      </c>
      <c r="Q55" s="329">
        <f t="shared" si="1"/>
        <v>776469</v>
      </c>
      <c r="R55" s="325">
        <f t="shared" si="2"/>
        <v>750278</v>
      </c>
      <c r="S55" s="64"/>
      <c r="T55" s="65"/>
      <c r="U55" s="46"/>
      <c r="V55" s="46">
        <f>R55-U55</f>
        <v>750278</v>
      </c>
      <c r="W55" s="13" t="e">
        <f>#REF!</f>
        <v>#REF!</v>
      </c>
      <c r="X55" s="13">
        <v>200000</v>
      </c>
      <c r="Y55" s="69"/>
    </row>
    <row r="56" spans="1:25" s="31" customFormat="1" ht="27.95" customHeight="1">
      <c r="A56" s="47">
        <f t="shared" si="9"/>
        <v>44</v>
      </c>
      <c r="B56" s="434" t="s">
        <v>133</v>
      </c>
      <c r="C56" s="293" t="s">
        <v>134</v>
      </c>
      <c r="D56" s="436">
        <v>210070000</v>
      </c>
      <c r="E56" s="324">
        <v>31947</v>
      </c>
      <c r="F56" s="349">
        <f>VLOOKUP(B56,'KLCN t1 dot 1'!$B$13:$Z$83,25,0)</f>
        <v>11.79</v>
      </c>
      <c r="G56" s="325">
        <f t="shared" si="0"/>
        <v>376655</v>
      </c>
      <c r="H56" s="349">
        <f>VLOOKUP(B56,'KLCN t1 dot 2'!$B$13:$AB$83,27,0)</f>
        <v>12.57</v>
      </c>
      <c r="I56" s="325">
        <f t="shared" si="3"/>
        <v>401574</v>
      </c>
      <c r="J56" s="325"/>
      <c r="K56" s="326">
        <f t="shared" si="4"/>
        <v>778229</v>
      </c>
      <c r="L56" s="452">
        <f>VLOOKUP(B56,'[5]TTL dot​2 (31947)'!B$13:R$83,17,0)</f>
        <v>368655</v>
      </c>
      <c r="M56" s="327">
        <f t="shared" si="5"/>
        <v>8000</v>
      </c>
      <c r="N56" s="327">
        <f t="shared" si="6"/>
        <v>15565</v>
      </c>
      <c r="O56" s="327">
        <f t="shared" si="7"/>
        <v>7565</v>
      </c>
      <c r="P56" s="328">
        <f t="shared" si="8"/>
        <v>0</v>
      </c>
      <c r="Q56" s="329">
        <f t="shared" si="1"/>
        <v>384220</v>
      </c>
      <c r="R56" s="325">
        <f t="shared" si="2"/>
        <v>394009</v>
      </c>
      <c r="S56" s="64"/>
      <c r="T56" s="65"/>
      <c r="U56" s="46"/>
      <c r="V56" s="46"/>
      <c r="W56" s="13"/>
      <c r="X56" s="13"/>
      <c r="Y56" s="69"/>
    </row>
    <row r="57" spans="1:25" s="31" customFormat="1" ht="27.95" customHeight="1">
      <c r="A57" s="47">
        <f t="shared" si="9"/>
        <v>45</v>
      </c>
      <c r="B57" s="434" t="s">
        <v>137</v>
      </c>
      <c r="C57" s="293" t="s">
        <v>138</v>
      </c>
      <c r="D57" s="436">
        <v>150582874</v>
      </c>
      <c r="E57" s="324">
        <v>31947</v>
      </c>
      <c r="F57" s="349">
        <f>VLOOKUP(B57,'KLCN t1 dot 1'!$B$13:$Z$83,25,0)</f>
        <v>14</v>
      </c>
      <c r="G57" s="325">
        <f t="shared" si="0"/>
        <v>447258</v>
      </c>
      <c r="H57" s="349">
        <f>VLOOKUP(B57,'KLCN t1 dot 2'!$B$13:$AB$83,27,0)</f>
        <v>10.25</v>
      </c>
      <c r="I57" s="325">
        <f t="shared" si="3"/>
        <v>327457</v>
      </c>
      <c r="J57" s="325"/>
      <c r="K57" s="326">
        <f t="shared" si="4"/>
        <v>774715</v>
      </c>
      <c r="L57" s="452">
        <f>VLOOKUP(B57,'[5]TTL dot​2 (31947)'!B$13:R$83,17,0)</f>
        <v>438313</v>
      </c>
      <c r="M57" s="327">
        <f t="shared" si="5"/>
        <v>8945</v>
      </c>
      <c r="N57" s="327">
        <f t="shared" si="6"/>
        <v>15494</v>
      </c>
      <c r="O57" s="327">
        <f t="shared" si="7"/>
        <v>6549</v>
      </c>
      <c r="P57" s="328">
        <f t="shared" si="8"/>
        <v>0</v>
      </c>
      <c r="Q57" s="329">
        <f t="shared" si="1"/>
        <v>453807</v>
      </c>
      <c r="R57" s="325">
        <f t="shared" si="2"/>
        <v>320908</v>
      </c>
      <c r="S57" s="64"/>
      <c r="T57" s="65"/>
      <c r="U57" s="46"/>
      <c r="V57" s="46"/>
      <c r="W57" s="13"/>
      <c r="X57" s="13"/>
      <c r="Y57" s="69"/>
    </row>
    <row r="58" spans="1:25" s="31" customFormat="1" ht="27.95" customHeight="1">
      <c r="A58" s="47">
        <f t="shared" si="9"/>
        <v>46</v>
      </c>
      <c r="B58" s="434" t="s">
        <v>139</v>
      </c>
      <c r="C58" s="293" t="s">
        <v>140</v>
      </c>
      <c r="D58" s="436" t="s">
        <v>190</v>
      </c>
      <c r="E58" s="324">
        <v>31947</v>
      </c>
      <c r="F58" s="349">
        <f>VLOOKUP(B58,'KLCN t1 dot 1'!$B$13:$Z$83,25,0)</f>
        <v>9.7100000000000009</v>
      </c>
      <c r="G58" s="325">
        <f t="shared" si="0"/>
        <v>310205</v>
      </c>
      <c r="H58" s="349">
        <f>VLOOKUP(B58,'KLCN t1 dot 2'!$B$13:$AB$83,27,0)</f>
        <v>16.68</v>
      </c>
      <c r="I58" s="325">
        <f t="shared" si="3"/>
        <v>532876</v>
      </c>
      <c r="J58" s="325"/>
      <c r="K58" s="326">
        <f t="shared" si="4"/>
        <v>843081</v>
      </c>
      <c r="L58" s="452">
        <f>VLOOKUP(B58,'[5]TTL dot​2 (31947)'!B$13:R$83,17,0)</f>
        <v>302205</v>
      </c>
      <c r="M58" s="327">
        <f t="shared" si="5"/>
        <v>8000</v>
      </c>
      <c r="N58" s="327">
        <f t="shared" si="6"/>
        <v>16862</v>
      </c>
      <c r="O58" s="327">
        <f t="shared" si="7"/>
        <v>8862</v>
      </c>
      <c r="P58" s="328">
        <f t="shared" si="8"/>
        <v>0</v>
      </c>
      <c r="Q58" s="329">
        <f t="shared" si="1"/>
        <v>319067</v>
      </c>
      <c r="R58" s="325">
        <f t="shared" si="2"/>
        <v>524014</v>
      </c>
      <c r="S58" s="64"/>
      <c r="T58" s="65"/>
      <c r="U58" s="46"/>
      <c r="V58" s="46">
        <f>R58-U58</f>
        <v>524014</v>
      </c>
      <c r="W58" s="13" t="e">
        <f>#REF!</f>
        <v>#REF!</v>
      </c>
      <c r="X58" s="68">
        <v>200000</v>
      </c>
      <c r="Y58" s="69"/>
    </row>
    <row r="59" spans="1:25" s="31" customFormat="1" ht="27.95" customHeight="1">
      <c r="A59" s="47">
        <f t="shared" si="9"/>
        <v>47</v>
      </c>
      <c r="B59" s="434" t="s">
        <v>141</v>
      </c>
      <c r="C59" s="293" t="s">
        <v>142</v>
      </c>
      <c r="D59" s="436">
        <v>151058048</v>
      </c>
      <c r="E59" s="324">
        <v>31947</v>
      </c>
      <c r="F59" s="349">
        <f>VLOOKUP(B59,'KLCN t1 dot 1'!$B$13:$Z$83,25,0)</f>
        <v>16.7</v>
      </c>
      <c r="G59" s="325">
        <f t="shared" si="0"/>
        <v>533515</v>
      </c>
      <c r="H59" s="349">
        <f>VLOOKUP(B59,'KLCN t1 dot 2'!$B$13:$AB$83,27,0)</f>
        <v>12.57</v>
      </c>
      <c r="I59" s="325">
        <f t="shared" si="3"/>
        <v>401574</v>
      </c>
      <c r="J59" s="325"/>
      <c r="K59" s="326">
        <f t="shared" si="4"/>
        <v>935089</v>
      </c>
      <c r="L59" s="452">
        <f>VLOOKUP(B59,'[5]TTL dot​2 (31947)'!B$13:R$83,17,0)</f>
        <v>522845</v>
      </c>
      <c r="M59" s="327">
        <f t="shared" si="5"/>
        <v>10670</v>
      </c>
      <c r="N59" s="327">
        <f t="shared" si="6"/>
        <v>18702</v>
      </c>
      <c r="O59" s="327">
        <f t="shared" si="7"/>
        <v>8032</v>
      </c>
      <c r="P59" s="328">
        <f t="shared" si="8"/>
        <v>0</v>
      </c>
      <c r="Q59" s="329">
        <f t="shared" si="1"/>
        <v>541547</v>
      </c>
      <c r="R59" s="325">
        <f t="shared" si="2"/>
        <v>393542</v>
      </c>
      <c r="S59" s="64"/>
      <c r="T59" s="65"/>
      <c r="U59" s="46"/>
      <c r="V59" s="46"/>
      <c r="W59" s="13"/>
      <c r="X59" s="68"/>
      <c r="Y59" s="69"/>
    </row>
    <row r="60" spans="1:25" s="31" customFormat="1" ht="30" customHeight="1">
      <c r="A60" s="47">
        <f t="shared" si="9"/>
        <v>48</v>
      </c>
      <c r="B60" s="434" t="s">
        <v>143</v>
      </c>
      <c r="C60" s="293" t="s">
        <v>144</v>
      </c>
      <c r="D60" s="436">
        <v>150925395</v>
      </c>
      <c r="E60" s="324">
        <v>31947</v>
      </c>
      <c r="F60" s="349">
        <f>VLOOKUP(B60,'KLCN t1 dot 1'!$B$13:$Z$83,25,0)</f>
        <v>19.61</v>
      </c>
      <c r="G60" s="325">
        <f t="shared" si="0"/>
        <v>626481</v>
      </c>
      <c r="H60" s="349">
        <f>VLOOKUP(B60,'KLCN t1 dot 2'!$B$13:$AB$83,27,0)</f>
        <v>18.82</v>
      </c>
      <c r="I60" s="325">
        <f t="shared" si="3"/>
        <v>601243</v>
      </c>
      <c r="J60" s="325"/>
      <c r="K60" s="326">
        <f t="shared" si="4"/>
        <v>1227724</v>
      </c>
      <c r="L60" s="452">
        <f>VLOOKUP(B60,'[5]TTL dot​2 (31947)'!B$13:R$83,17,0)</f>
        <v>613951</v>
      </c>
      <c r="M60" s="327">
        <f t="shared" si="5"/>
        <v>12530</v>
      </c>
      <c r="N60" s="327">
        <f t="shared" si="6"/>
        <v>24000</v>
      </c>
      <c r="O60" s="327">
        <f t="shared" si="7"/>
        <v>11470</v>
      </c>
      <c r="P60" s="328">
        <f t="shared" si="8"/>
        <v>0</v>
      </c>
      <c r="Q60" s="329">
        <f t="shared" si="1"/>
        <v>637951</v>
      </c>
      <c r="R60" s="325">
        <f t="shared" si="2"/>
        <v>589773</v>
      </c>
      <c r="S60" s="64"/>
      <c r="T60" s="65"/>
      <c r="U60" s="46"/>
      <c r="V60" s="46"/>
      <c r="W60" s="13"/>
      <c r="X60" s="68">
        <v>200000</v>
      </c>
      <c r="Y60" s="69"/>
    </row>
    <row r="61" spans="1:25" s="31" customFormat="1" ht="30" customHeight="1">
      <c r="A61" s="47">
        <f t="shared" si="9"/>
        <v>49</v>
      </c>
      <c r="B61" s="434" t="s">
        <v>145</v>
      </c>
      <c r="C61" s="293" t="s">
        <v>146</v>
      </c>
      <c r="D61" s="436">
        <v>151075912</v>
      </c>
      <c r="E61" s="324">
        <v>31947</v>
      </c>
      <c r="F61" s="349">
        <f>VLOOKUP(B61,'KLCN t1 dot 1'!$B$13:$Z$83,25,0)</f>
        <v>16.7</v>
      </c>
      <c r="G61" s="325">
        <f t="shared" si="0"/>
        <v>533515</v>
      </c>
      <c r="H61" s="349">
        <f>VLOOKUP(B61,'KLCN t1 dot 2'!$B$13:$AB$83,27,0)</f>
        <v>14.45</v>
      </c>
      <c r="I61" s="325">
        <f t="shared" si="3"/>
        <v>461634</v>
      </c>
      <c r="J61" s="325"/>
      <c r="K61" s="326">
        <f t="shared" si="4"/>
        <v>995149</v>
      </c>
      <c r="L61" s="452">
        <f>VLOOKUP(B61,'[5]TTL dot​2 (31947)'!B$13:R$83,17,0)</f>
        <v>522845</v>
      </c>
      <c r="M61" s="327">
        <f t="shared" si="5"/>
        <v>10670</v>
      </c>
      <c r="N61" s="327">
        <f t="shared" si="6"/>
        <v>19903</v>
      </c>
      <c r="O61" s="327">
        <f t="shared" si="7"/>
        <v>9233</v>
      </c>
      <c r="P61" s="328">
        <f t="shared" si="8"/>
        <v>0</v>
      </c>
      <c r="Q61" s="329">
        <f t="shared" si="1"/>
        <v>542748</v>
      </c>
      <c r="R61" s="325">
        <f t="shared" si="2"/>
        <v>452401</v>
      </c>
      <c r="S61" s="64"/>
      <c r="T61" s="65"/>
      <c r="U61" s="46"/>
      <c r="V61" s="46">
        <f>R61-U61</f>
        <v>452401</v>
      </c>
      <c r="W61" s="13" t="e">
        <f>#REF!</f>
        <v>#REF!</v>
      </c>
      <c r="X61" s="13"/>
      <c r="Y61" s="69"/>
    </row>
    <row r="62" spans="1:25" s="31" customFormat="1" ht="30" customHeight="1">
      <c r="A62" s="47">
        <f t="shared" si="9"/>
        <v>50</v>
      </c>
      <c r="B62" s="446" t="s">
        <v>147</v>
      </c>
      <c r="C62" s="285" t="s">
        <v>148</v>
      </c>
      <c r="D62" s="436">
        <v>151055393</v>
      </c>
      <c r="E62" s="324">
        <v>31947</v>
      </c>
      <c r="F62" s="349">
        <f>VLOOKUP(B62,'KLCN t1 dot 1'!$B$13:$Z$83,25,0)</f>
        <v>21.49</v>
      </c>
      <c r="G62" s="325">
        <f t="shared" si="0"/>
        <v>686541</v>
      </c>
      <c r="H62" s="349">
        <f>VLOOKUP(B62,'KLCN t1 dot 2'!$B$13:$AB$83,27,0)</f>
        <v>22.580000000000002</v>
      </c>
      <c r="I62" s="325">
        <f t="shared" si="3"/>
        <v>721363</v>
      </c>
      <c r="J62" s="325"/>
      <c r="K62" s="326">
        <f t="shared" si="4"/>
        <v>1407904</v>
      </c>
      <c r="L62" s="452">
        <f>VLOOKUP(B62,'[5]TTL dot​2 (31947)'!B$13:R$83,17,0)</f>
        <v>672810</v>
      </c>
      <c r="M62" s="327">
        <f t="shared" si="5"/>
        <v>13731</v>
      </c>
      <c r="N62" s="327">
        <f t="shared" si="6"/>
        <v>24000</v>
      </c>
      <c r="O62" s="327">
        <f t="shared" si="7"/>
        <v>10269</v>
      </c>
      <c r="P62" s="328">
        <f t="shared" si="8"/>
        <v>0</v>
      </c>
      <c r="Q62" s="329">
        <f t="shared" si="1"/>
        <v>696810</v>
      </c>
      <c r="R62" s="325">
        <f t="shared" si="2"/>
        <v>711094</v>
      </c>
      <c r="S62" s="64"/>
      <c r="T62" s="65"/>
      <c r="U62" s="46"/>
      <c r="V62" s="46"/>
      <c r="W62" s="13"/>
      <c r="X62" s="13">
        <v>200000</v>
      </c>
      <c r="Y62" s="69"/>
    </row>
    <row r="63" spans="1:25" s="31" customFormat="1" ht="30" customHeight="1">
      <c r="A63" s="47">
        <f t="shared" si="9"/>
        <v>51</v>
      </c>
      <c r="B63" s="434" t="s">
        <v>149</v>
      </c>
      <c r="C63" s="293" t="s">
        <v>150</v>
      </c>
      <c r="D63" s="436">
        <v>150981411</v>
      </c>
      <c r="E63" s="324">
        <v>31947</v>
      </c>
      <c r="F63" s="349">
        <f>VLOOKUP(B63,'KLCN t1 dot 1'!$B$13:$Z$83,25,0)</f>
        <v>14.7</v>
      </c>
      <c r="G63" s="325">
        <f t="shared" si="0"/>
        <v>469621</v>
      </c>
      <c r="H63" s="349">
        <f>VLOOKUP(B63,'KLCN t1 dot 2'!$B$13:$AB$83,27,0)</f>
        <v>12.57</v>
      </c>
      <c r="I63" s="325">
        <f t="shared" si="3"/>
        <v>401574</v>
      </c>
      <c r="J63" s="325"/>
      <c r="K63" s="326">
        <f t="shared" si="4"/>
        <v>871195</v>
      </c>
      <c r="L63" s="452">
        <f>VLOOKUP(B63,'[5]TTL dot​2 (31947)'!B$13:R$83,17,0)</f>
        <v>460229</v>
      </c>
      <c r="M63" s="327">
        <f t="shared" si="5"/>
        <v>9392</v>
      </c>
      <c r="N63" s="327">
        <f t="shared" si="6"/>
        <v>17424</v>
      </c>
      <c r="O63" s="327">
        <f t="shared" si="7"/>
        <v>8032</v>
      </c>
      <c r="P63" s="328">
        <f t="shared" si="8"/>
        <v>0</v>
      </c>
      <c r="Q63" s="329">
        <f t="shared" si="1"/>
        <v>477653</v>
      </c>
      <c r="R63" s="325">
        <f t="shared" si="2"/>
        <v>393542</v>
      </c>
      <c r="S63" s="64"/>
      <c r="T63" s="65"/>
      <c r="U63" s="46"/>
      <c r="V63" s="46"/>
      <c r="W63" s="13"/>
      <c r="X63" s="13">
        <v>100000</v>
      </c>
      <c r="Y63" s="69"/>
    </row>
    <row r="64" spans="1:25" s="31" customFormat="1" ht="30" customHeight="1">
      <c r="A64" s="47">
        <f t="shared" si="9"/>
        <v>52</v>
      </c>
      <c r="B64" s="465" t="s">
        <v>151</v>
      </c>
      <c r="C64" s="450" t="s">
        <v>152</v>
      </c>
      <c r="D64" s="436">
        <v>151029997</v>
      </c>
      <c r="E64" s="324">
        <v>31947</v>
      </c>
      <c r="F64" s="349">
        <f>VLOOKUP(B64,'KLCN t1 dot 1'!$B$13:$Z$83,25,0)</f>
        <v>11.79</v>
      </c>
      <c r="G64" s="325">
        <f t="shared" si="0"/>
        <v>376655</v>
      </c>
      <c r="H64" s="349">
        <f>VLOOKUP(B64,'KLCN t1 dot 2'!$B$13:$AB$83,27,0)</f>
        <v>12.57</v>
      </c>
      <c r="I64" s="325">
        <f t="shared" si="3"/>
        <v>401574</v>
      </c>
      <c r="J64" s="325"/>
      <c r="K64" s="326">
        <f t="shared" si="4"/>
        <v>778229</v>
      </c>
      <c r="L64" s="452">
        <f>VLOOKUP(B64,'[5]TTL dot​2 (31947)'!B$13:R$83,17,0)</f>
        <v>368655</v>
      </c>
      <c r="M64" s="327">
        <f t="shared" si="5"/>
        <v>8000</v>
      </c>
      <c r="N64" s="327">
        <f t="shared" si="6"/>
        <v>15565</v>
      </c>
      <c r="O64" s="327">
        <f t="shared" si="7"/>
        <v>7565</v>
      </c>
      <c r="P64" s="328">
        <f t="shared" si="8"/>
        <v>0</v>
      </c>
      <c r="Q64" s="329">
        <f t="shared" si="1"/>
        <v>384220</v>
      </c>
      <c r="R64" s="325">
        <f t="shared" si="2"/>
        <v>394009</v>
      </c>
      <c r="S64" s="64"/>
      <c r="T64" s="65"/>
      <c r="U64" s="46">
        <v>50000</v>
      </c>
      <c r="V64" s="46">
        <f>R64-U64</f>
        <v>344009</v>
      </c>
      <c r="W64" s="13" t="e">
        <f>#REF!</f>
        <v>#REF!</v>
      </c>
      <c r="X64" s="13">
        <v>50000</v>
      </c>
      <c r="Y64" s="69"/>
    </row>
    <row r="65" spans="1:25" s="31" customFormat="1" ht="30" customHeight="1">
      <c r="A65" s="47">
        <f t="shared" si="9"/>
        <v>53</v>
      </c>
      <c r="B65" s="465" t="s">
        <v>153</v>
      </c>
      <c r="C65" s="450" t="s">
        <v>154</v>
      </c>
      <c r="D65" s="436">
        <v>181167293</v>
      </c>
      <c r="E65" s="324">
        <v>31947</v>
      </c>
      <c r="F65" s="349">
        <f>VLOOKUP(B65,'KLCN t1 dot 1'!$B$13:$Z$83,25,0)</f>
        <v>14.7</v>
      </c>
      <c r="G65" s="325">
        <f t="shared" si="0"/>
        <v>469621</v>
      </c>
      <c r="H65" s="349">
        <f>VLOOKUP(B65,'KLCN t1 dot 2'!$B$13:$AB$83,27,0)</f>
        <v>12.57</v>
      </c>
      <c r="I65" s="325">
        <f t="shared" si="3"/>
        <v>401574</v>
      </c>
      <c r="J65" s="325"/>
      <c r="K65" s="326">
        <f t="shared" si="4"/>
        <v>871195</v>
      </c>
      <c r="L65" s="452">
        <f>VLOOKUP(B65,'[5]TTL dot​2 (31947)'!B$13:R$83,17,0)</f>
        <v>460229</v>
      </c>
      <c r="M65" s="327">
        <f t="shared" si="5"/>
        <v>9392</v>
      </c>
      <c r="N65" s="327">
        <f t="shared" si="6"/>
        <v>17424</v>
      </c>
      <c r="O65" s="327">
        <f t="shared" si="7"/>
        <v>8032</v>
      </c>
      <c r="P65" s="328">
        <f t="shared" si="8"/>
        <v>0</v>
      </c>
      <c r="Q65" s="329">
        <f t="shared" si="1"/>
        <v>477653</v>
      </c>
      <c r="R65" s="325">
        <f t="shared" si="2"/>
        <v>393542</v>
      </c>
      <c r="S65" s="64"/>
      <c r="T65" s="65"/>
      <c r="U65" s="46"/>
      <c r="V65" s="46"/>
      <c r="W65" s="13"/>
      <c r="X65" s="13"/>
      <c r="Y65" s="69"/>
    </row>
    <row r="66" spans="1:25" s="31" customFormat="1" ht="30" customHeight="1">
      <c r="A66" s="47">
        <f t="shared" si="9"/>
        <v>54</v>
      </c>
      <c r="B66" s="465" t="s">
        <v>155</v>
      </c>
      <c r="C66" s="450" t="s">
        <v>156</v>
      </c>
      <c r="D66" s="436">
        <v>151048971</v>
      </c>
      <c r="E66" s="324">
        <v>31947</v>
      </c>
      <c r="F66" s="349">
        <f>VLOOKUP(B66,'KLCN t1 dot 1'!$B$13:$Z$83,25,0)</f>
        <v>14.7</v>
      </c>
      <c r="G66" s="325">
        <f t="shared" si="0"/>
        <v>469621</v>
      </c>
      <c r="H66" s="349">
        <f>VLOOKUP(B66,'KLCN t1 dot 2'!$B$13:$AB$83,27,0)</f>
        <v>18.82</v>
      </c>
      <c r="I66" s="325">
        <f t="shared" si="3"/>
        <v>601243</v>
      </c>
      <c r="J66" s="325"/>
      <c r="K66" s="326">
        <f t="shared" si="4"/>
        <v>1070864</v>
      </c>
      <c r="L66" s="452">
        <f>VLOOKUP(B66,'[5]TTL dot​2 (31947)'!B$13:R$83,17,0)</f>
        <v>460229</v>
      </c>
      <c r="M66" s="327">
        <f t="shared" si="5"/>
        <v>9392</v>
      </c>
      <c r="N66" s="327">
        <f t="shared" si="6"/>
        <v>21417</v>
      </c>
      <c r="O66" s="327">
        <f t="shared" si="7"/>
        <v>12025</v>
      </c>
      <c r="P66" s="328">
        <f t="shared" si="8"/>
        <v>0</v>
      </c>
      <c r="Q66" s="329">
        <f t="shared" si="1"/>
        <v>481646</v>
      </c>
      <c r="R66" s="325">
        <f t="shared" si="2"/>
        <v>589218</v>
      </c>
      <c r="S66" s="64"/>
      <c r="T66" s="65"/>
      <c r="U66" s="46"/>
      <c r="V66" s="46"/>
      <c r="W66" s="13"/>
      <c r="X66" s="13">
        <v>250000</v>
      </c>
      <c r="Y66" s="69"/>
    </row>
    <row r="67" spans="1:25" s="31" customFormat="1" ht="30" customHeight="1">
      <c r="A67" s="47">
        <f t="shared" si="9"/>
        <v>55</v>
      </c>
      <c r="B67" s="465" t="s">
        <v>157</v>
      </c>
      <c r="C67" s="450" t="s">
        <v>158</v>
      </c>
      <c r="D67" s="436">
        <v>150845321</v>
      </c>
      <c r="E67" s="324">
        <v>31947</v>
      </c>
      <c r="F67" s="349">
        <f>VLOOKUP(B67,'KLCN t1 dot 1'!$B$13:$Z$83,25,0)</f>
        <v>16.7</v>
      </c>
      <c r="G67" s="325">
        <f t="shared" si="0"/>
        <v>533515</v>
      </c>
      <c r="H67" s="349">
        <f>VLOOKUP(B67,'KLCN t1 dot 2'!$B$13:$AB$83,27,0)</f>
        <v>14.92</v>
      </c>
      <c r="I67" s="325">
        <f t="shared" si="3"/>
        <v>476649</v>
      </c>
      <c r="J67" s="325"/>
      <c r="K67" s="326">
        <f t="shared" si="4"/>
        <v>1010164</v>
      </c>
      <c r="L67" s="452">
        <f>VLOOKUP(B67,'[5]TTL dot​2 (31947)'!B$13:R$83,17,0)</f>
        <v>522845</v>
      </c>
      <c r="M67" s="327">
        <f t="shared" si="5"/>
        <v>10670</v>
      </c>
      <c r="N67" s="327">
        <f t="shared" si="6"/>
        <v>20203</v>
      </c>
      <c r="O67" s="327">
        <f t="shared" si="7"/>
        <v>9533</v>
      </c>
      <c r="P67" s="328">
        <f t="shared" si="8"/>
        <v>0</v>
      </c>
      <c r="Q67" s="329">
        <f t="shared" si="1"/>
        <v>543048</v>
      </c>
      <c r="R67" s="325">
        <f t="shared" si="2"/>
        <v>467116</v>
      </c>
      <c r="S67" s="64"/>
      <c r="T67" s="65"/>
      <c r="U67" s="46"/>
      <c r="V67" s="46"/>
      <c r="W67" s="13"/>
      <c r="X67" s="13"/>
      <c r="Y67" s="69"/>
    </row>
    <row r="68" spans="1:25" s="31" customFormat="1" ht="30" customHeight="1">
      <c r="A68" s="47">
        <f t="shared" si="9"/>
        <v>56</v>
      </c>
      <c r="B68" s="465" t="s">
        <v>221</v>
      </c>
      <c r="C68" s="450" t="s">
        <v>222</v>
      </c>
      <c r="D68" s="436">
        <v>190569581</v>
      </c>
      <c r="E68" s="324">
        <v>31947</v>
      </c>
      <c r="F68" s="349">
        <f>VLOOKUP(B68,'KLCN t1 dot 1'!$B$13:$Z$83,25,0)</f>
        <v>11.79</v>
      </c>
      <c r="G68" s="325">
        <f t="shared" si="0"/>
        <v>376655</v>
      </c>
      <c r="H68" s="349">
        <f>VLOOKUP(B68,'KLCN t1 dot 2'!$B$13:$AB$83,27,0)</f>
        <v>12.57</v>
      </c>
      <c r="I68" s="325">
        <f t="shared" si="3"/>
        <v>401574</v>
      </c>
      <c r="J68" s="325"/>
      <c r="K68" s="326">
        <f t="shared" si="4"/>
        <v>778229</v>
      </c>
      <c r="L68" s="452">
        <f>VLOOKUP(B68,'[5]TTL dot​2 (31947)'!B$13:R$83,17,0)</f>
        <v>368655</v>
      </c>
      <c r="M68" s="327">
        <f t="shared" si="5"/>
        <v>8000</v>
      </c>
      <c r="N68" s="327">
        <f t="shared" si="6"/>
        <v>15565</v>
      </c>
      <c r="O68" s="327">
        <f t="shared" si="7"/>
        <v>7565</v>
      </c>
      <c r="P68" s="328">
        <f t="shared" si="8"/>
        <v>0</v>
      </c>
      <c r="Q68" s="329">
        <f t="shared" si="1"/>
        <v>384220</v>
      </c>
      <c r="R68" s="325">
        <f t="shared" si="2"/>
        <v>394009</v>
      </c>
      <c r="S68" s="64"/>
      <c r="T68" s="65"/>
      <c r="U68" s="46"/>
      <c r="V68" s="46"/>
      <c r="W68" s="13"/>
      <c r="X68" s="13">
        <v>100000</v>
      </c>
      <c r="Y68" s="69"/>
    </row>
    <row r="69" spans="1:25" s="31" customFormat="1" ht="27" customHeight="1">
      <c r="A69" s="47">
        <f t="shared" si="9"/>
        <v>57</v>
      </c>
      <c r="B69" s="465" t="s">
        <v>265</v>
      </c>
      <c r="C69" s="450" t="s">
        <v>266</v>
      </c>
      <c r="D69" s="436">
        <v>150273869</v>
      </c>
      <c r="E69" s="324">
        <v>31947</v>
      </c>
      <c r="F69" s="349">
        <f>VLOOKUP(B69,'KLCN t1 dot 1'!$B$13:$Z$83,25,0)</f>
        <v>11.79</v>
      </c>
      <c r="G69" s="325">
        <f t="shared" si="0"/>
        <v>376655</v>
      </c>
      <c r="H69" s="349">
        <f>VLOOKUP(B69,'KLCN t1 dot 2'!$B$13:$AB$83,27,0)</f>
        <v>7.99</v>
      </c>
      <c r="I69" s="325">
        <f t="shared" si="3"/>
        <v>255257</v>
      </c>
      <c r="J69" s="325"/>
      <c r="K69" s="326">
        <f t="shared" si="4"/>
        <v>631912</v>
      </c>
      <c r="L69" s="452">
        <f>VLOOKUP(B69,'[5]TTL dot​2 (31947)'!B$13:R$83,17,0)</f>
        <v>368655</v>
      </c>
      <c r="M69" s="327">
        <f t="shared" si="5"/>
        <v>8000</v>
      </c>
      <c r="N69" s="327">
        <f t="shared" si="6"/>
        <v>12638</v>
      </c>
      <c r="O69" s="327">
        <f t="shared" si="7"/>
        <v>4638</v>
      </c>
      <c r="P69" s="328">
        <f t="shared" si="8"/>
        <v>0</v>
      </c>
      <c r="Q69" s="329">
        <f t="shared" si="1"/>
        <v>381293</v>
      </c>
      <c r="R69" s="325">
        <f t="shared" si="2"/>
        <v>250619</v>
      </c>
      <c r="S69" s="64"/>
      <c r="T69" s="65"/>
      <c r="U69" s="46"/>
      <c r="V69" s="46">
        <f>R69-U69</f>
        <v>250619</v>
      </c>
      <c r="W69" s="13" t="e">
        <f>#REF!</f>
        <v>#REF!</v>
      </c>
      <c r="X69" s="13"/>
      <c r="Y69" s="69"/>
    </row>
    <row r="70" spans="1:25" s="31" customFormat="1" ht="27" customHeight="1">
      <c r="A70" s="47">
        <f t="shared" si="9"/>
        <v>58</v>
      </c>
      <c r="B70" s="465" t="s">
        <v>282</v>
      </c>
      <c r="C70" s="574" t="s">
        <v>283</v>
      </c>
      <c r="D70" s="436">
        <v>220175294</v>
      </c>
      <c r="E70" s="324">
        <v>31947</v>
      </c>
      <c r="F70" s="349">
        <f>VLOOKUP(B70,'KLCN t1 dot 1'!$B$13:$Z$83,25,0)</f>
        <v>18.569999999999997</v>
      </c>
      <c r="G70" s="325">
        <f t="shared" si="0"/>
        <v>593256</v>
      </c>
      <c r="H70" s="349">
        <f>VLOOKUP(B70,'KLCN t1 dot 2'!$B$13:$AB$83,27,0)</f>
        <v>13.030000000000001</v>
      </c>
      <c r="I70" s="325">
        <f t="shared" si="3"/>
        <v>416269</v>
      </c>
      <c r="J70" s="325"/>
      <c r="K70" s="326">
        <f t="shared" si="4"/>
        <v>1009525</v>
      </c>
      <c r="L70" s="452">
        <f>VLOOKUP(B70,'[5]TTL dot​2 (31947)'!B$13:R$83,17,0)</f>
        <v>581391</v>
      </c>
      <c r="M70" s="327">
        <f t="shared" si="5"/>
        <v>11865</v>
      </c>
      <c r="N70" s="327">
        <f t="shared" si="6"/>
        <v>20191</v>
      </c>
      <c r="O70" s="327">
        <f t="shared" si="7"/>
        <v>8326</v>
      </c>
      <c r="P70" s="328">
        <f t="shared" si="8"/>
        <v>0</v>
      </c>
      <c r="Q70" s="329">
        <f t="shared" si="1"/>
        <v>601582</v>
      </c>
      <c r="R70" s="325">
        <f t="shared" si="2"/>
        <v>407943</v>
      </c>
      <c r="S70" s="64"/>
      <c r="T70" s="65"/>
      <c r="U70" s="46"/>
      <c r="V70" s="46"/>
      <c r="W70" s="13"/>
      <c r="X70" s="13"/>
      <c r="Y70" s="69"/>
    </row>
    <row r="71" spans="1:25" s="31" customFormat="1" ht="27" customHeight="1">
      <c r="A71" s="47">
        <f t="shared" si="9"/>
        <v>59</v>
      </c>
      <c r="B71" s="465" t="s">
        <v>284</v>
      </c>
      <c r="C71" s="450" t="s">
        <v>285</v>
      </c>
      <c r="D71" s="436">
        <v>181068674</v>
      </c>
      <c r="E71" s="324">
        <v>31947</v>
      </c>
      <c r="F71" s="349">
        <f>VLOOKUP(B71,'KLCN t1 dot 1'!$B$13:$Z$83,25,0)</f>
        <v>17.55</v>
      </c>
      <c r="G71" s="325">
        <f t="shared" si="0"/>
        <v>560670</v>
      </c>
      <c r="H71" s="349">
        <f>VLOOKUP(B71,'KLCN t1 dot 2'!$B$13:$AB$83,27,0)</f>
        <v>4.9700000000000006</v>
      </c>
      <c r="I71" s="325">
        <f t="shared" si="3"/>
        <v>158777</v>
      </c>
      <c r="J71" s="325"/>
      <c r="K71" s="326">
        <f t="shared" si="4"/>
        <v>719447</v>
      </c>
      <c r="L71" s="452">
        <f>VLOOKUP(B71,'[5]TTL dot​2 (31947)'!B$13:R$83,17,0)</f>
        <v>549457</v>
      </c>
      <c r="M71" s="327">
        <f t="shared" si="5"/>
        <v>11213</v>
      </c>
      <c r="N71" s="327">
        <f t="shared" si="6"/>
        <v>14389</v>
      </c>
      <c r="O71" s="327">
        <f t="shared" si="7"/>
        <v>3176</v>
      </c>
      <c r="P71" s="328">
        <f t="shared" si="8"/>
        <v>0</v>
      </c>
      <c r="Q71" s="329">
        <f t="shared" si="1"/>
        <v>563846</v>
      </c>
      <c r="R71" s="325">
        <f t="shared" si="2"/>
        <v>155601</v>
      </c>
      <c r="S71" s="64"/>
      <c r="T71" s="65"/>
      <c r="U71" s="46"/>
      <c r="V71" s="46"/>
      <c r="W71" s="13"/>
      <c r="X71" s="13"/>
      <c r="Y71" s="69"/>
    </row>
    <row r="72" spans="1:25" s="31" customFormat="1" ht="27" customHeight="1">
      <c r="A72" s="47">
        <f t="shared" si="9"/>
        <v>60</v>
      </c>
      <c r="B72" s="465" t="s">
        <v>286</v>
      </c>
      <c r="C72" s="450" t="s">
        <v>287</v>
      </c>
      <c r="D72" s="436">
        <v>220139991</v>
      </c>
      <c r="E72" s="324">
        <v>31947</v>
      </c>
      <c r="F72" s="349">
        <f>VLOOKUP(B72,'KLCN t1 dot 1'!$B$13:$Z$83,25,0)</f>
        <v>9.7200000000000006</v>
      </c>
      <c r="G72" s="325">
        <f t="shared" si="0"/>
        <v>310525</v>
      </c>
      <c r="H72" s="349">
        <f>VLOOKUP(B72,'KLCN t1 dot 2'!$B$13:$AB$83,27,0)</f>
        <v>12.57</v>
      </c>
      <c r="I72" s="325">
        <f t="shared" si="3"/>
        <v>401574</v>
      </c>
      <c r="J72" s="325"/>
      <c r="K72" s="326">
        <f t="shared" si="4"/>
        <v>712099</v>
      </c>
      <c r="L72" s="452">
        <f>VLOOKUP(B72,'[5]TTL dot​2 (31947)'!B$13:R$83,17,0)</f>
        <v>302525</v>
      </c>
      <c r="M72" s="327">
        <f t="shared" si="5"/>
        <v>8000</v>
      </c>
      <c r="N72" s="327">
        <f t="shared" si="6"/>
        <v>14242</v>
      </c>
      <c r="O72" s="327">
        <f t="shared" si="7"/>
        <v>6242</v>
      </c>
      <c r="P72" s="328">
        <f t="shared" si="8"/>
        <v>0</v>
      </c>
      <c r="Q72" s="329">
        <f t="shared" si="1"/>
        <v>316767</v>
      </c>
      <c r="R72" s="325">
        <f t="shared" si="2"/>
        <v>395332</v>
      </c>
      <c r="S72" s="64"/>
      <c r="T72" s="65"/>
      <c r="U72" s="46"/>
      <c r="V72" s="46"/>
      <c r="W72" s="13"/>
      <c r="X72" s="13"/>
      <c r="Y72" s="69"/>
    </row>
    <row r="73" spans="1:25" s="31" customFormat="1" ht="27" customHeight="1">
      <c r="A73" s="47">
        <f t="shared" si="9"/>
        <v>61</v>
      </c>
      <c r="B73" s="465" t="s">
        <v>324</v>
      </c>
      <c r="C73" s="574" t="s">
        <v>325</v>
      </c>
      <c r="D73" s="436">
        <v>150582830</v>
      </c>
      <c r="E73" s="324">
        <v>31947</v>
      </c>
      <c r="F73" s="349">
        <f>VLOOKUP(B73,'KLCN t1 dot 1'!$B$13:$Z$83,25,0)</f>
        <v>14.5</v>
      </c>
      <c r="G73" s="325">
        <f t="shared" si="0"/>
        <v>463232</v>
      </c>
      <c r="H73" s="349">
        <f>VLOOKUP(B73,'KLCN t1 dot 2'!$B$13:$AB$83,27,0)</f>
        <v>18.82</v>
      </c>
      <c r="I73" s="325">
        <f t="shared" si="3"/>
        <v>601243</v>
      </c>
      <c r="J73" s="325"/>
      <c r="K73" s="326">
        <f t="shared" si="4"/>
        <v>1064475</v>
      </c>
      <c r="L73" s="452">
        <f>VLOOKUP(B73,'[5]TTL dot​2 (31947)'!B$13:R$83,17,0)</f>
        <v>453967</v>
      </c>
      <c r="M73" s="327">
        <f t="shared" si="5"/>
        <v>9265</v>
      </c>
      <c r="N73" s="327">
        <f t="shared" si="6"/>
        <v>21290</v>
      </c>
      <c r="O73" s="327">
        <f t="shared" si="7"/>
        <v>12025</v>
      </c>
      <c r="P73" s="328">
        <f t="shared" si="8"/>
        <v>0</v>
      </c>
      <c r="Q73" s="329">
        <f t="shared" si="1"/>
        <v>475257</v>
      </c>
      <c r="R73" s="325">
        <f t="shared" si="2"/>
        <v>589218</v>
      </c>
      <c r="S73" s="64"/>
      <c r="T73" s="65"/>
      <c r="U73" s="46"/>
      <c r="V73" s="46"/>
      <c r="W73" s="13"/>
      <c r="X73" s="13">
        <v>300000</v>
      </c>
      <c r="Y73" s="69"/>
    </row>
    <row r="74" spans="1:25" s="31" customFormat="1" ht="27" customHeight="1">
      <c r="A74" s="47">
        <f t="shared" si="9"/>
        <v>62</v>
      </c>
      <c r="B74" s="465" t="s">
        <v>339</v>
      </c>
      <c r="C74" s="450" t="s">
        <v>373</v>
      </c>
      <c r="D74" s="436">
        <v>150352388</v>
      </c>
      <c r="E74" s="324">
        <v>31947</v>
      </c>
      <c r="F74" s="349">
        <f>VLOOKUP(B74,'KLCN t1 dot 1'!$B$13:$Z$83,25,0)</f>
        <v>7.8999999999999995</v>
      </c>
      <c r="G74" s="325">
        <f t="shared" si="0"/>
        <v>252381</v>
      </c>
      <c r="H74" s="349">
        <f>VLOOKUP(B74,'KLCN t1 dot 2'!$B$13:$AB$83,27,0)</f>
        <v>12.57</v>
      </c>
      <c r="I74" s="325">
        <f t="shared" si="3"/>
        <v>401574</v>
      </c>
      <c r="J74" s="325"/>
      <c r="K74" s="326">
        <f t="shared" ref="K74" si="10">I74+J74+G74</f>
        <v>653955</v>
      </c>
      <c r="L74" s="452">
        <f>VLOOKUP(B74,'[5]TTL dot​2 (31947)'!B$13:R$83,17,0)</f>
        <v>244381</v>
      </c>
      <c r="M74" s="327">
        <f t="shared" si="5"/>
        <v>8000</v>
      </c>
      <c r="N74" s="327">
        <f t="shared" si="6"/>
        <v>13079</v>
      </c>
      <c r="O74" s="327">
        <f t="shared" si="7"/>
        <v>5079</v>
      </c>
      <c r="P74" s="328">
        <f t="shared" ref="P74" si="11">ROUND(IF((K74-J74-N74)&lt;=1500000,0,IF(AND(((K74-J74-N74))&gt;1500000,((K74-J74-N74))&lt;=2000000),((K74-J74-N74))*5%-75000,IF(AND(((K74-J74-N74))&gt;2000000,((K74-J74-N74))&lt;=8500000),((K74-J74-N74))*10%-175000))),0)</f>
        <v>0</v>
      </c>
      <c r="Q74" s="329">
        <f t="shared" si="1"/>
        <v>257460</v>
      </c>
      <c r="R74" s="325">
        <f t="shared" si="2"/>
        <v>396495</v>
      </c>
      <c r="S74" s="64"/>
      <c r="T74" s="65"/>
      <c r="U74" s="46"/>
      <c r="V74" s="46"/>
      <c r="W74" s="13"/>
      <c r="X74" s="13"/>
      <c r="Y74" s="69"/>
    </row>
    <row r="75" spans="1:25" s="31" customFormat="1" ht="27" customHeight="1">
      <c r="A75" s="47">
        <f>+A74+1</f>
        <v>63</v>
      </c>
      <c r="B75" s="249" t="s">
        <v>159</v>
      </c>
      <c r="C75" s="472" t="s">
        <v>160</v>
      </c>
      <c r="D75" s="436">
        <v>150740078</v>
      </c>
      <c r="E75" s="324">
        <v>31947</v>
      </c>
      <c r="F75" s="349">
        <f>VLOOKUP(B75,'KLCN t1 dot 1'!$B$13:$Z$83,25,0)</f>
        <v>34.86</v>
      </c>
      <c r="G75" s="325">
        <f t="shared" si="0"/>
        <v>1113672</v>
      </c>
      <c r="H75" s="349">
        <f>VLOOKUP(B75,'KLCN t1 dot 2'!$B$13:$AB$83,27,0)</f>
        <v>43.580000000000005</v>
      </c>
      <c r="I75" s="325">
        <f t="shared" si="3"/>
        <v>1392250</v>
      </c>
      <c r="J75" s="325"/>
      <c r="K75" s="326">
        <f>I75+J75+G75</f>
        <v>2505922</v>
      </c>
      <c r="L75" s="452">
        <f>VLOOKUP(B75,'[5]TTL dot​2 (31947)'!B$13:R$83,17,0)</f>
        <v>1091399</v>
      </c>
      <c r="M75" s="327">
        <f t="shared" si="5"/>
        <v>22273</v>
      </c>
      <c r="N75" s="327">
        <f t="shared" si="6"/>
        <v>24000</v>
      </c>
      <c r="O75" s="327">
        <f t="shared" si="7"/>
        <v>1727</v>
      </c>
      <c r="P75" s="328">
        <f t="shared" si="8"/>
        <v>73192</v>
      </c>
      <c r="Q75" s="329">
        <f t="shared" si="1"/>
        <v>1188591</v>
      </c>
      <c r="R75" s="325">
        <f t="shared" si="2"/>
        <v>1317331</v>
      </c>
      <c r="S75" s="64"/>
      <c r="T75" s="65"/>
      <c r="U75" s="46"/>
      <c r="V75" s="46"/>
      <c r="W75" s="13"/>
      <c r="X75" s="13"/>
      <c r="Y75" s="69"/>
    </row>
    <row r="76" spans="1:25" s="31" customFormat="1" ht="27" customHeight="1">
      <c r="A76" s="47">
        <f t="shared" si="9"/>
        <v>64</v>
      </c>
      <c r="B76" s="249" t="s">
        <v>161</v>
      </c>
      <c r="C76" s="469" t="s">
        <v>162</v>
      </c>
      <c r="D76" s="436">
        <v>150922981</v>
      </c>
      <c r="E76" s="324">
        <v>31947</v>
      </c>
      <c r="F76" s="349">
        <f>VLOOKUP(B76,'KLCN t1 dot 1'!$B$13:$Z$83,25,0)</f>
        <v>31.7</v>
      </c>
      <c r="G76" s="325">
        <f t="shared" si="0"/>
        <v>1012720</v>
      </c>
      <c r="H76" s="349">
        <f>VLOOKUP(B76,'KLCN t1 dot 2'!$B$13:$AB$83,27,0)</f>
        <v>32.239999999999995</v>
      </c>
      <c r="I76" s="325">
        <f t="shared" si="3"/>
        <v>1029971</v>
      </c>
      <c r="J76" s="325"/>
      <c r="K76" s="326">
        <f t="shared" ref="K76:K77" si="12">I76+J76+G76</f>
        <v>2042691</v>
      </c>
      <c r="L76" s="452">
        <f>VLOOKUP(B76,'[5]TTL dot​2 (31947)'!B$13:R$83,17,0)</f>
        <v>992466</v>
      </c>
      <c r="M76" s="327">
        <f t="shared" si="5"/>
        <v>20254</v>
      </c>
      <c r="N76" s="327">
        <f t="shared" si="6"/>
        <v>24000</v>
      </c>
      <c r="O76" s="327">
        <f t="shared" si="7"/>
        <v>3746</v>
      </c>
      <c r="P76" s="328">
        <f t="shared" ref="P76:P77" si="13">ROUND(IF((K76-J76-N76)&lt;=1500000,0,IF(AND(((K76-J76-N76))&gt;1500000,((K76-J76-N76))&lt;=2000000),((K76-J76-N76))*5%-75000,IF(AND(((K76-J76-N76))&gt;2000000,((K76-J76-N76))&lt;=8500000),((K76-J76-N76))*10%-175000))),0)</f>
        <v>26869</v>
      </c>
      <c r="Q76" s="329">
        <f t="shared" ref="Q76:Q83" si="14">L76+M76+O76+P76</f>
        <v>1043335</v>
      </c>
      <c r="R76" s="325">
        <f t="shared" si="2"/>
        <v>999356</v>
      </c>
      <c r="S76" s="64"/>
      <c r="T76" s="65"/>
      <c r="U76" s="46"/>
      <c r="V76" s="46"/>
      <c r="W76" s="13"/>
      <c r="X76" s="13"/>
      <c r="Y76" s="69"/>
    </row>
    <row r="77" spans="1:25" s="31" customFormat="1" ht="27" customHeight="1">
      <c r="A77" s="47">
        <f t="shared" si="9"/>
        <v>65</v>
      </c>
      <c r="B77" s="474" t="s">
        <v>163</v>
      </c>
      <c r="C77" s="472" t="s">
        <v>164</v>
      </c>
      <c r="D77" s="436">
        <v>150627964</v>
      </c>
      <c r="E77" s="324">
        <v>31947</v>
      </c>
      <c r="F77" s="349">
        <f>VLOOKUP(B77,'KLCN t1 dot 1'!$B$13:$Z$83,25,0)</f>
        <v>31.7</v>
      </c>
      <c r="G77" s="325">
        <f t="shared" ref="G77:G83" si="15">ROUND(F77*E77,0)</f>
        <v>1012720</v>
      </c>
      <c r="H77" s="349">
        <f>VLOOKUP(B77,'KLCN t1 dot 2'!$B$13:$AB$83,27,0)</f>
        <v>36.650000000000006</v>
      </c>
      <c r="I77" s="325">
        <f t="shared" si="3"/>
        <v>1170858</v>
      </c>
      <c r="J77" s="325"/>
      <c r="K77" s="326">
        <f t="shared" si="12"/>
        <v>2183578</v>
      </c>
      <c r="L77" s="452">
        <f>VLOOKUP(B77,'[5]TTL dot​2 (31947)'!B$13:R$83,17,0)</f>
        <v>992466</v>
      </c>
      <c r="M77" s="327">
        <f t="shared" ref="M77:M83" si="16">IF(G77&lt;=400000,400000*2%,IF(G77&lt;=1200000,ROUND(G77*2%,0),ROUND(1200000*2%,0)))</f>
        <v>20254</v>
      </c>
      <c r="N77" s="327">
        <f t="shared" si="6"/>
        <v>24000</v>
      </c>
      <c r="O77" s="327">
        <f t="shared" si="7"/>
        <v>3746</v>
      </c>
      <c r="P77" s="328">
        <f t="shared" si="13"/>
        <v>40958</v>
      </c>
      <c r="Q77" s="329">
        <f t="shared" si="14"/>
        <v>1057424</v>
      </c>
      <c r="R77" s="325">
        <f t="shared" si="2"/>
        <v>1126154</v>
      </c>
      <c r="S77" s="64"/>
      <c r="T77" s="65"/>
      <c r="U77" s="46"/>
      <c r="V77" s="46"/>
      <c r="W77" s="13"/>
      <c r="X77" s="13"/>
      <c r="Y77" s="69"/>
    </row>
    <row r="78" spans="1:25" s="31" customFormat="1" ht="27" customHeight="1">
      <c r="A78" s="47">
        <f t="shared" si="9"/>
        <v>66</v>
      </c>
      <c r="B78" s="474" t="s">
        <v>217</v>
      </c>
      <c r="C78" s="575" t="s">
        <v>218</v>
      </c>
      <c r="D78" s="436">
        <v>220234318</v>
      </c>
      <c r="E78" s="324">
        <v>31947</v>
      </c>
      <c r="F78" s="349">
        <f>VLOOKUP(B78,'KLCN t1 dot 1'!$B$13:$Z$83,25,0)</f>
        <v>23.19</v>
      </c>
      <c r="G78" s="325">
        <f t="shared" si="15"/>
        <v>740851</v>
      </c>
      <c r="H78" s="349">
        <f>VLOOKUP(B78,'KLCN t1 dot 2'!$B$13:$AB$83,27,0)</f>
        <v>33.979999999999997</v>
      </c>
      <c r="I78" s="325">
        <f>ROUND(E78*H78,0)+1</f>
        <v>1085560</v>
      </c>
      <c r="J78" s="325"/>
      <c r="K78" s="326">
        <f t="shared" si="4"/>
        <v>1826411</v>
      </c>
      <c r="L78" s="452">
        <f>VLOOKUP(B78,'[5]TTL dot​2 (31947)'!B$13:R$83,17,0)</f>
        <v>726034</v>
      </c>
      <c r="M78" s="327">
        <f t="shared" si="16"/>
        <v>14817</v>
      </c>
      <c r="N78" s="327">
        <f t="shared" ref="N78:N83" si="17">IF(K78&lt;=400000,400000*2%,IF(K78&lt;=1200000,ROUND(K78*2%,0),ROUND(1200000*2%,0)))</f>
        <v>24000</v>
      </c>
      <c r="O78" s="327">
        <f t="shared" ref="O78:O83" si="18">N78-M78</f>
        <v>9183</v>
      </c>
      <c r="P78" s="328">
        <f t="shared" ref="P78:P82" si="19">ROUND(IF((K78-J78-N78)&lt;=1500000,0,IF(AND(((K78-J78-N78))&gt;1500000,((K78-J78-N78))&lt;=2000000),((K78-J78-N78))*5%-75000,IF(AND(((K78-J78-N78))&gt;2000000,((K78-J78-N78))&lt;=8500000),((K78-J78-N78))*10%-175000))),0)</f>
        <v>15121</v>
      </c>
      <c r="Q78" s="329">
        <f t="shared" si="14"/>
        <v>765155</v>
      </c>
      <c r="R78" s="325">
        <f t="shared" si="2"/>
        <v>1061256</v>
      </c>
      <c r="S78" s="64"/>
      <c r="T78" s="65"/>
      <c r="U78" s="46"/>
      <c r="V78" s="46"/>
      <c r="W78" s="13"/>
      <c r="X78" s="13"/>
      <c r="Y78" s="69"/>
    </row>
    <row r="79" spans="1:25" s="31" customFormat="1" ht="27" customHeight="1">
      <c r="A79" s="47">
        <f t="shared" si="9"/>
        <v>67</v>
      </c>
      <c r="B79" s="249" t="s">
        <v>165</v>
      </c>
      <c r="C79" s="467" t="s">
        <v>191</v>
      </c>
      <c r="D79" s="436">
        <v>220175244</v>
      </c>
      <c r="E79" s="324">
        <v>31947</v>
      </c>
      <c r="F79" s="349">
        <f>VLOOKUP(B79,'KLCN t1 dot 1'!$B$13:$Z$83,25,0)</f>
        <v>31.7</v>
      </c>
      <c r="G79" s="325">
        <f t="shared" si="15"/>
        <v>1012720</v>
      </c>
      <c r="H79" s="349">
        <f>VLOOKUP(B79,'KLCN t1 dot 2'!$B$13:$AB$83,27,0)</f>
        <v>36.46</v>
      </c>
      <c r="I79" s="325">
        <f t="shared" ref="I79:I82" si="20">ROUND(E79*H79,0)</f>
        <v>1164788</v>
      </c>
      <c r="J79" s="325"/>
      <c r="K79" s="326">
        <f t="shared" si="4"/>
        <v>2177508</v>
      </c>
      <c r="L79" s="452">
        <f>VLOOKUP(B79,'[5]TTL dot​2 (31947)'!B$13:R$83,17,0)</f>
        <v>992466</v>
      </c>
      <c r="M79" s="327">
        <f t="shared" si="16"/>
        <v>20254</v>
      </c>
      <c r="N79" s="327">
        <f t="shared" si="17"/>
        <v>24000</v>
      </c>
      <c r="O79" s="327">
        <f t="shared" si="18"/>
        <v>3746</v>
      </c>
      <c r="P79" s="328">
        <f t="shared" si="19"/>
        <v>40351</v>
      </c>
      <c r="Q79" s="329">
        <f t="shared" si="14"/>
        <v>1056817</v>
      </c>
      <c r="R79" s="325">
        <f t="shared" si="2"/>
        <v>1120691</v>
      </c>
      <c r="S79" s="64"/>
      <c r="T79" s="65"/>
      <c r="U79" s="46"/>
      <c r="V79" s="46"/>
      <c r="W79" s="13"/>
      <c r="X79" s="13"/>
      <c r="Y79" s="69"/>
    </row>
    <row r="80" spans="1:25" s="31" customFormat="1" ht="27" customHeight="1">
      <c r="A80" s="47">
        <f t="shared" si="9"/>
        <v>68</v>
      </c>
      <c r="B80" s="249" t="s">
        <v>166</v>
      </c>
      <c r="C80" s="467" t="s">
        <v>167</v>
      </c>
      <c r="D80" s="436">
        <v>150565864</v>
      </c>
      <c r="E80" s="324">
        <v>31947</v>
      </c>
      <c r="F80" s="349">
        <f>VLOOKUP(B80,'KLCN t1 dot 1'!$B$13:$Z$83,25,0)</f>
        <v>31.7</v>
      </c>
      <c r="G80" s="325">
        <f t="shared" si="15"/>
        <v>1012720</v>
      </c>
      <c r="H80" s="349">
        <f>VLOOKUP(B80,'KLCN t1 dot 2'!$B$13:$AB$83,27,0)</f>
        <v>36.46</v>
      </c>
      <c r="I80" s="325">
        <f t="shared" si="20"/>
        <v>1164788</v>
      </c>
      <c r="J80" s="325"/>
      <c r="K80" s="326">
        <f>I80+J80+G80</f>
        <v>2177508</v>
      </c>
      <c r="L80" s="452">
        <f>VLOOKUP(B80,'[5]TTL dot​2 (31947)'!B$13:R$83,17,0)</f>
        <v>992466</v>
      </c>
      <c r="M80" s="327">
        <f t="shared" si="16"/>
        <v>20254</v>
      </c>
      <c r="N80" s="327">
        <f t="shared" si="17"/>
        <v>24000</v>
      </c>
      <c r="O80" s="327">
        <f t="shared" si="18"/>
        <v>3746</v>
      </c>
      <c r="P80" s="328">
        <f t="shared" si="19"/>
        <v>40351</v>
      </c>
      <c r="Q80" s="329">
        <f t="shared" si="14"/>
        <v>1056817</v>
      </c>
      <c r="R80" s="325">
        <f t="shared" ref="R80:R83" si="21">ROUND(K80-Q80,0)</f>
        <v>1120691</v>
      </c>
      <c r="S80" s="64"/>
      <c r="T80" s="65"/>
      <c r="U80" s="46"/>
      <c r="V80" s="46"/>
      <c r="W80" s="13"/>
      <c r="X80" s="13"/>
      <c r="Y80" s="69"/>
    </row>
    <row r="81" spans="1:30" s="31" customFormat="1" ht="27" customHeight="1">
      <c r="A81" s="47">
        <f t="shared" si="9"/>
        <v>69</v>
      </c>
      <c r="B81" s="475" t="s">
        <v>168</v>
      </c>
      <c r="C81" s="476" t="s">
        <v>169</v>
      </c>
      <c r="D81" s="436">
        <v>150612355</v>
      </c>
      <c r="E81" s="324">
        <v>31947</v>
      </c>
      <c r="F81" s="349">
        <f>VLOOKUP(B81,'KLCN t1 dot 1'!$B$13:$Z$83,25,0)</f>
        <v>28.790000000000003</v>
      </c>
      <c r="G81" s="325">
        <f>ROUND(F81*E81,0)+3</f>
        <v>919757</v>
      </c>
      <c r="H81" s="349">
        <f>VLOOKUP(B81,'KLCN t1 dot 2'!$B$13:$AB$83,27,0)</f>
        <v>39.770000000000003</v>
      </c>
      <c r="I81" s="325">
        <f t="shared" si="20"/>
        <v>1270532</v>
      </c>
      <c r="J81" s="325"/>
      <c r="K81" s="326">
        <f>I81+J81+G81</f>
        <v>2190289</v>
      </c>
      <c r="L81" s="452">
        <f>VLOOKUP(B81,'[5]TTL dot​2 (31947)'!B$13:R$83,17,0)</f>
        <v>901362</v>
      </c>
      <c r="M81" s="327">
        <f t="shared" si="16"/>
        <v>18395</v>
      </c>
      <c r="N81" s="327">
        <f t="shared" si="17"/>
        <v>24000</v>
      </c>
      <c r="O81" s="327">
        <f t="shared" si="18"/>
        <v>5605</v>
      </c>
      <c r="P81" s="328">
        <f t="shared" si="19"/>
        <v>41629</v>
      </c>
      <c r="Q81" s="329">
        <f t="shared" si="14"/>
        <v>966991</v>
      </c>
      <c r="R81" s="325">
        <f t="shared" si="21"/>
        <v>1223298</v>
      </c>
      <c r="S81" s="64"/>
      <c r="T81" s="65"/>
      <c r="U81" s="46"/>
      <c r="V81" s="46"/>
      <c r="W81" s="13"/>
      <c r="X81" s="13"/>
      <c r="Y81" s="69"/>
    </row>
    <row r="82" spans="1:30" s="31" customFormat="1" ht="27" customHeight="1">
      <c r="A82" s="47">
        <f>+A81+1</f>
        <v>70</v>
      </c>
      <c r="B82" s="437" t="s">
        <v>72</v>
      </c>
      <c r="C82" s="441" t="s">
        <v>73</v>
      </c>
      <c r="D82" s="436">
        <v>150468451</v>
      </c>
      <c r="E82" s="324">
        <v>31947</v>
      </c>
      <c r="F82" s="349">
        <f>VLOOKUP(B82,'KLCN t1 dot 1'!$B$13:$Z$83,25,0)</f>
        <v>31.7</v>
      </c>
      <c r="G82" s="325">
        <f t="shared" si="15"/>
        <v>1012720</v>
      </c>
      <c r="H82" s="349">
        <f>VLOOKUP(B82,'KLCN t1 dot 2'!$B$13:$AB$83,27,0)</f>
        <v>39.770000000000003</v>
      </c>
      <c r="I82" s="325">
        <f t="shared" si="20"/>
        <v>1270532</v>
      </c>
      <c r="J82" s="325"/>
      <c r="K82" s="326">
        <f>I82+J82+G82</f>
        <v>2283252</v>
      </c>
      <c r="L82" s="452">
        <f>VLOOKUP(B82,'[5]TTL dot​2 (31947)'!B$13:R$83,17,0)</f>
        <v>992466</v>
      </c>
      <c r="M82" s="327">
        <f t="shared" si="16"/>
        <v>20254</v>
      </c>
      <c r="N82" s="327">
        <f t="shared" si="17"/>
        <v>24000</v>
      </c>
      <c r="O82" s="327">
        <f t="shared" si="18"/>
        <v>3746</v>
      </c>
      <c r="P82" s="328">
        <f t="shared" si="19"/>
        <v>50925</v>
      </c>
      <c r="Q82" s="329">
        <f t="shared" si="14"/>
        <v>1067391</v>
      </c>
      <c r="R82" s="325">
        <f t="shared" si="21"/>
        <v>1215861</v>
      </c>
      <c r="S82" s="64"/>
      <c r="T82" s="65"/>
      <c r="U82" s="46"/>
      <c r="V82" s="46"/>
      <c r="W82" s="13"/>
      <c r="X82" s="13"/>
      <c r="Y82" s="69"/>
    </row>
    <row r="83" spans="1:30" s="31" customFormat="1" ht="27" customHeight="1">
      <c r="A83" s="47">
        <f t="shared" ref="A83" si="22">+A82+1</f>
        <v>71</v>
      </c>
      <c r="B83" s="249" t="s">
        <v>170</v>
      </c>
      <c r="C83" s="467" t="s">
        <v>171</v>
      </c>
      <c r="D83" s="436">
        <v>150952614</v>
      </c>
      <c r="E83" s="324">
        <v>31947</v>
      </c>
      <c r="F83" s="349">
        <f>VLOOKUP(B83,'KLCN t1 dot 1'!$B$13:$Z$83,25,0)</f>
        <v>31.7</v>
      </c>
      <c r="G83" s="325">
        <f t="shared" si="15"/>
        <v>1012720</v>
      </c>
      <c r="H83" s="349">
        <f>VLOOKUP(B83,'KLCN t1 dot 2'!$B$13:$AB$83,27,0)</f>
        <v>33.520000000000003</v>
      </c>
      <c r="I83" s="325">
        <f>ROUND(E83*H83,0)-1</f>
        <v>1070862</v>
      </c>
      <c r="J83" s="325"/>
      <c r="K83" s="326">
        <f t="shared" ref="K83" si="23">I83+J83+G83</f>
        <v>2083582</v>
      </c>
      <c r="L83" s="452">
        <f>VLOOKUP(B83,'[5]TTL dot​2 (31947)'!B$13:R$83,17,0)</f>
        <v>992466</v>
      </c>
      <c r="M83" s="327">
        <f t="shared" si="16"/>
        <v>20254</v>
      </c>
      <c r="N83" s="327">
        <f t="shared" si="17"/>
        <v>24000</v>
      </c>
      <c r="O83" s="327">
        <f t="shared" si="18"/>
        <v>3746</v>
      </c>
      <c r="P83" s="328">
        <f t="shared" ref="P83" si="24">ROUND(IF((K83-J83-N83)&lt;=1500000,0,IF(AND(((K83-J83-N83))&gt;1500000,((K83-J83-N83))&lt;=2000000),((K83-J83-N83))*5%-75000,IF(AND(((K83-J83-N83))&gt;2000000,((K83-J83-N83))&lt;=8500000),((K83-J83-N83))*10%-175000))),0)</f>
        <v>30958</v>
      </c>
      <c r="Q83" s="329">
        <f t="shared" si="14"/>
        <v>1047424</v>
      </c>
      <c r="R83" s="325">
        <f t="shared" si="21"/>
        <v>1036158</v>
      </c>
      <c r="S83" s="64"/>
      <c r="T83" s="65"/>
      <c r="U83" s="46"/>
      <c r="V83" s="46"/>
      <c r="W83" s="13"/>
      <c r="X83" s="13"/>
      <c r="Y83" s="69"/>
    </row>
    <row r="84" spans="1:30" s="31" customFormat="1" ht="27.95" customHeight="1">
      <c r="A84" s="911" t="s">
        <v>192</v>
      </c>
      <c r="B84" s="912"/>
      <c r="C84" s="912"/>
      <c r="D84" s="912"/>
      <c r="E84" s="912"/>
      <c r="F84" s="71">
        <f t="shared" ref="F84:R84" si="25">SUM(F13:F83)</f>
        <v>1432.8600000000001</v>
      </c>
      <c r="G84" s="66">
        <f t="shared" si="25"/>
        <v>45775579</v>
      </c>
      <c r="H84" s="71">
        <f t="shared" si="25"/>
        <v>1518.3999999999994</v>
      </c>
      <c r="I84" s="66">
        <f t="shared" si="25"/>
        <v>48508325</v>
      </c>
      <c r="J84" s="66">
        <f t="shared" si="25"/>
        <v>0</v>
      </c>
      <c r="K84" s="783">
        <f t="shared" si="25"/>
        <v>94283904</v>
      </c>
      <c r="L84" s="66">
        <f t="shared" si="25"/>
        <v>44843116</v>
      </c>
      <c r="M84" s="66">
        <f t="shared" si="25"/>
        <v>932463</v>
      </c>
      <c r="N84" s="66">
        <f t="shared" si="25"/>
        <v>1411413</v>
      </c>
      <c r="O84" s="66">
        <f t="shared" si="25"/>
        <v>478950</v>
      </c>
      <c r="P84" s="66">
        <f t="shared" si="25"/>
        <v>1011620</v>
      </c>
      <c r="Q84" s="66">
        <f t="shared" si="25"/>
        <v>47266149</v>
      </c>
      <c r="R84" s="783">
        <f t="shared" si="25"/>
        <v>47017755</v>
      </c>
      <c r="S84" s="100"/>
      <c r="T84" s="65"/>
      <c r="U84" s="66">
        <f>SUM(U13:U66)</f>
        <v>800000</v>
      </c>
      <c r="V84" s="66" t="e">
        <f>+#REF!+#REF!+#REF!+V18+#REF!+#REF!+#REF!+#REF!+#REF!+#REF!</f>
        <v>#REF!</v>
      </c>
      <c r="W84" s="67" t="e">
        <f>ROUND(#REF!*#REF!,0)</f>
        <v>#REF!</v>
      </c>
      <c r="X84" s="50" t="e">
        <f>SUM(#REF!,#REF!,X32:X66,X13:X17)</f>
        <v>#REF!</v>
      </c>
      <c r="Y84" s="69"/>
    </row>
    <row r="85" spans="1:30" s="31" customFormat="1" ht="8.25" customHeight="1">
      <c r="A85" s="72"/>
      <c r="B85" s="317"/>
      <c r="C85" s="18"/>
      <c r="D85" s="18"/>
      <c r="E85" s="17"/>
      <c r="F85" s="17"/>
      <c r="G85" s="17"/>
      <c r="H85" s="73"/>
      <c r="I85" s="73"/>
      <c r="J85" s="73"/>
      <c r="K85" s="89"/>
      <c r="L85" s="89"/>
      <c r="M85" s="69"/>
      <c r="N85" s="69"/>
      <c r="O85" s="69"/>
      <c r="P85" s="90"/>
      <c r="Q85" s="101"/>
      <c r="R85" s="67"/>
      <c r="S85" s="102"/>
      <c r="T85" s="67"/>
      <c r="U85" s="67"/>
      <c r="V85" s="67"/>
      <c r="W85" s="67"/>
      <c r="X85" s="50"/>
      <c r="Y85" s="69"/>
    </row>
    <row r="86" spans="1:30" s="31" customFormat="1" ht="24.95" customHeight="1">
      <c r="A86" s="793" t="s">
        <v>398</v>
      </c>
      <c r="B86" s="793"/>
      <c r="C86" s="793"/>
      <c r="D86" s="793"/>
      <c r="E86" s="793"/>
      <c r="F86" s="793"/>
      <c r="G86" s="793"/>
      <c r="H86" s="793"/>
      <c r="I86" s="793"/>
      <c r="J86" s="793"/>
      <c r="K86" s="793"/>
      <c r="L86" s="793"/>
      <c r="M86" s="793"/>
      <c r="N86" s="793"/>
      <c r="O86" s="793"/>
      <c r="P86" s="793"/>
      <c r="Q86" s="793"/>
      <c r="R86" s="793"/>
      <c r="S86" s="793"/>
      <c r="T86" s="67"/>
      <c r="U86" s="67"/>
      <c r="V86" s="67">
        <f>R84-U84</f>
        <v>46217755</v>
      </c>
      <c r="W86" s="67"/>
      <c r="X86" s="50" t="b">
        <f>A86=[2]Sheet1!$N$9</f>
        <v>0</v>
      </c>
      <c r="Y86" s="69"/>
    </row>
    <row r="87" spans="1:30" ht="24.95" customHeight="1">
      <c r="A87" s="914" t="s">
        <v>399</v>
      </c>
      <c r="B87" s="914"/>
      <c r="C87" s="914"/>
      <c r="D87" s="914"/>
      <c r="E87" s="914"/>
      <c r="F87" s="914"/>
      <c r="G87" s="914"/>
      <c r="H87" s="914"/>
      <c r="I87" s="914"/>
      <c r="J87" s="914"/>
      <c r="K87" s="914"/>
      <c r="L87" s="914"/>
      <c r="M87" s="914"/>
      <c r="N87" s="914"/>
      <c r="O87" s="914"/>
      <c r="P87" s="914"/>
      <c r="Q87" s="914"/>
      <c r="R87" s="914"/>
      <c r="S87" s="914"/>
      <c r="T87" s="74"/>
      <c r="U87" s="103"/>
      <c r="V87" s="28"/>
      <c r="W87" s="104"/>
      <c r="X87" s="28">
        <f>ROUND(H84*31947,0)</f>
        <v>48508325</v>
      </c>
    </row>
    <row r="88" spans="1:30" ht="24.95" customHeight="1">
      <c r="A88" s="798" t="s">
        <v>276</v>
      </c>
      <c r="B88" s="798"/>
      <c r="C88" s="798"/>
      <c r="D88" s="798"/>
      <c r="E88" s="798"/>
      <c r="F88" s="344"/>
      <c r="G88" s="592"/>
      <c r="H88" s="345"/>
      <c r="I88" s="345"/>
      <c r="J88" s="345"/>
      <c r="L88" s="99"/>
      <c r="M88" s="99"/>
      <c r="N88" s="99"/>
      <c r="O88" s="915" t="s">
        <v>277</v>
      </c>
      <c r="P88" s="915"/>
      <c r="Q88" s="915"/>
      <c r="R88" s="915"/>
      <c r="S88" s="344"/>
      <c r="T88" s="105"/>
      <c r="U88" s="105"/>
      <c r="V88" s="28"/>
      <c r="X88" s="28" t="e">
        <f>#REF!+#REF!</f>
        <v>#REF!</v>
      </c>
      <c r="AC88" s="15" t="e">
        <f>#REF!-AC87</f>
        <v>#REF!</v>
      </c>
    </row>
    <row r="89" spans="1:30" ht="24.95" customHeight="1">
      <c r="A89" s="77"/>
      <c r="B89" s="317"/>
      <c r="C89" s="75"/>
      <c r="D89" s="75"/>
      <c r="E89" s="75"/>
      <c r="F89" s="75"/>
      <c r="G89" s="75"/>
      <c r="H89" s="76"/>
      <c r="I89" s="76"/>
      <c r="J89" s="76"/>
      <c r="K89" s="92"/>
      <c r="L89" s="93"/>
      <c r="M89" s="93"/>
      <c r="N89" s="93"/>
      <c r="O89" s="94"/>
      <c r="P89" s="75"/>
      <c r="Q89" s="101"/>
      <c r="R89" s="75"/>
      <c r="S89" s="75"/>
      <c r="T89" s="105"/>
      <c r="U89" s="105"/>
      <c r="V89" s="28"/>
      <c r="X89" s="15" t="e">
        <f>R84=X88</f>
        <v>#REF!</v>
      </c>
    </row>
    <row r="90" spans="1:30" s="32" customFormat="1" ht="24.95" customHeight="1">
      <c r="A90" s="78"/>
      <c r="C90" s="79"/>
      <c r="D90" s="80"/>
      <c r="E90" s="79"/>
      <c r="F90" s="79"/>
      <c r="G90" s="79"/>
      <c r="H90" s="79"/>
      <c r="I90" s="79"/>
      <c r="J90" s="79"/>
      <c r="K90" s="92"/>
      <c r="L90" s="95"/>
      <c r="M90" s="95"/>
      <c r="N90" s="95"/>
      <c r="R90" s="79"/>
      <c r="S90" s="106"/>
      <c r="T90" s="107"/>
      <c r="U90" s="107"/>
      <c r="V90" s="108"/>
    </row>
    <row r="91" spans="1:30" s="33" customFormat="1" ht="24.95" customHeight="1">
      <c r="A91" s="81"/>
      <c r="B91" s="913"/>
      <c r="C91" s="913"/>
      <c r="D91" s="913"/>
      <c r="E91" s="82"/>
      <c r="F91" s="82"/>
      <c r="G91" s="82"/>
      <c r="K91" s="92"/>
      <c r="L91" s="96"/>
      <c r="M91" s="96"/>
      <c r="N91" s="96"/>
      <c r="O91" s="825" t="s">
        <v>17</v>
      </c>
      <c r="P91" s="825"/>
      <c r="Q91" s="825"/>
      <c r="R91" s="825"/>
      <c r="S91" s="8"/>
      <c r="T91" s="109"/>
      <c r="U91" s="109"/>
      <c r="V91" s="110"/>
      <c r="W91" s="111"/>
      <c r="X91" s="111"/>
      <c r="Y91" s="111"/>
      <c r="Z91" s="111"/>
      <c r="AA91" s="111"/>
      <c r="AB91" s="111"/>
      <c r="AC91" s="111"/>
      <c r="AD91" s="111"/>
    </row>
    <row r="92" spans="1:30" s="33" customFormat="1" ht="21.95" customHeight="1">
      <c r="A92" s="39"/>
      <c r="B92" s="315"/>
      <c r="C92" s="27"/>
      <c r="D92" s="83"/>
      <c r="I92" s="97"/>
      <c r="K92" s="98"/>
      <c r="L92" s="96"/>
      <c r="M92" s="96"/>
      <c r="N92" s="96"/>
      <c r="Q92" s="101"/>
      <c r="S92" s="112"/>
      <c r="V92" s="110"/>
      <c r="W92" s="110"/>
      <c r="X92" s="110"/>
      <c r="Y92" s="110"/>
      <c r="Z92" s="110"/>
      <c r="AA92" s="110"/>
      <c r="AB92" s="110"/>
      <c r="AC92" s="110"/>
      <c r="AD92" s="110"/>
    </row>
    <row r="93" spans="1:30" s="4" customFormat="1" ht="33.950000000000003" customHeight="1">
      <c r="A93" s="918"/>
      <c r="B93" s="918"/>
      <c r="C93" s="918"/>
      <c r="D93" s="918"/>
      <c r="E93" s="84"/>
      <c r="F93" s="84"/>
      <c r="G93" s="84"/>
      <c r="I93" s="99"/>
      <c r="K93" s="13"/>
      <c r="Q93" s="101"/>
      <c r="S93" s="15"/>
      <c r="V93" s="2"/>
      <c r="X93" s="13"/>
    </row>
    <row r="94" spans="1:30" s="4" customFormat="1">
      <c r="A94" s="39"/>
      <c r="B94" s="315"/>
      <c r="C94" s="16"/>
      <c r="D94" s="40"/>
      <c r="I94" s="11"/>
      <c r="K94" s="13"/>
      <c r="Q94" s="101"/>
      <c r="S94" s="15"/>
      <c r="V94" s="2"/>
      <c r="X94" s="46"/>
    </row>
    <row r="95" spans="1:30" s="4" customFormat="1">
      <c r="A95" s="39"/>
      <c r="B95" s="315"/>
      <c r="C95" s="16"/>
      <c r="D95" s="40"/>
      <c r="K95" s="13"/>
      <c r="Q95" s="101"/>
      <c r="R95" s="13"/>
      <c r="S95" s="15"/>
      <c r="V95" s="113"/>
    </row>
    <row r="96" spans="1:30" s="2" customFormat="1" ht="18.75">
      <c r="A96" s="85"/>
      <c r="B96" s="318"/>
      <c r="C96" s="86"/>
      <c r="D96" s="87"/>
      <c r="K96" s="50"/>
      <c r="L96" s="81"/>
      <c r="M96" s="81"/>
      <c r="N96" s="81"/>
      <c r="O96" s="81"/>
      <c r="P96" s="81"/>
      <c r="Q96" s="101"/>
      <c r="R96" s="114"/>
      <c r="S96" s="94"/>
      <c r="T96" s="81"/>
      <c r="U96" s="81"/>
    </row>
    <row r="97" spans="1:22" ht="18.75">
      <c r="H97" s="28"/>
      <c r="I97" s="28"/>
      <c r="J97" s="28"/>
      <c r="L97" s="19"/>
      <c r="M97" s="19"/>
      <c r="N97" s="19"/>
      <c r="O97" s="19"/>
      <c r="P97" s="19"/>
      <c r="Q97" s="101"/>
      <c r="R97" s="19"/>
      <c r="S97" s="19"/>
      <c r="T97" s="19"/>
      <c r="U97" s="19"/>
      <c r="V97" s="28"/>
    </row>
    <row r="98" spans="1:22">
      <c r="H98" s="28"/>
      <c r="I98" s="28"/>
      <c r="J98" s="28"/>
      <c r="L98" s="28"/>
      <c r="M98" s="28"/>
      <c r="N98" s="28"/>
      <c r="O98" s="28"/>
      <c r="P98" s="28"/>
      <c r="Q98" s="101"/>
      <c r="S98" s="28"/>
      <c r="T98" s="28"/>
      <c r="U98" s="13"/>
      <c r="V98" s="28"/>
    </row>
    <row r="99" spans="1:22">
      <c r="H99" s="28"/>
      <c r="I99" s="28"/>
      <c r="J99" s="28"/>
      <c r="L99" s="28"/>
      <c r="M99" s="28"/>
      <c r="N99" s="28"/>
      <c r="O99" s="28"/>
      <c r="P99" s="28"/>
      <c r="Q99" s="101"/>
      <c r="S99" s="28"/>
      <c r="T99" s="28"/>
      <c r="U99" s="13"/>
      <c r="V99" s="28"/>
    </row>
    <row r="100" spans="1:22" ht="18">
      <c r="A100" s="923"/>
      <c r="B100" s="923"/>
      <c r="C100" s="923"/>
      <c r="D100" s="923"/>
      <c r="E100" s="923"/>
      <c r="F100" s="923"/>
      <c r="G100" s="923"/>
      <c r="H100" s="923"/>
      <c r="I100" s="923"/>
      <c r="J100" s="923"/>
      <c r="K100" s="923"/>
      <c r="L100" s="923"/>
      <c r="M100" s="88"/>
      <c r="N100" s="88"/>
      <c r="O100" s="88"/>
      <c r="P100" s="28"/>
      <c r="Q100" s="101"/>
      <c r="S100" s="28"/>
      <c r="T100" s="28"/>
      <c r="U100" s="13"/>
      <c r="V100" s="28"/>
    </row>
    <row r="101" spans="1:22" ht="18.75">
      <c r="A101" s="904"/>
      <c r="B101" s="904"/>
      <c r="C101" s="904"/>
      <c r="D101" s="904"/>
      <c r="E101" s="904"/>
      <c r="F101" s="904"/>
      <c r="G101" s="904"/>
      <c r="H101" s="904"/>
      <c r="I101" s="904"/>
      <c r="J101" s="904"/>
      <c r="K101" s="904"/>
      <c r="L101" s="904"/>
      <c r="M101" s="76"/>
      <c r="N101" s="76"/>
      <c r="O101" s="76"/>
      <c r="P101" s="28"/>
      <c r="Q101" s="101"/>
      <c r="S101" s="28"/>
      <c r="T101" s="28"/>
      <c r="U101" s="13"/>
      <c r="V101" s="28"/>
    </row>
    <row r="102" spans="1:22">
      <c r="H102" s="28"/>
      <c r="I102" s="28"/>
      <c r="J102" s="28"/>
      <c r="L102" s="28"/>
      <c r="M102" s="28"/>
      <c r="N102" s="28"/>
      <c r="O102" s="28"/>
      <c r="P102" s="28"/>
      <c r="Q102" s="101"/>
      <c r="S102" s="28"/>
      <c r="T102" s="28"/>
      <c r="U102" s="13"/>
      <c r="V102" s="28"/>
    </row>
    <row r="103" spans="1:22">
      <c r="H103" s="28"/>
      <c r="I103" s="28"/>
      <c r="J103" s="28"/>
      <c r="L103" s="28"/>
      <c r="M103" s="28"/>
      <c r="N103" s="28"/>
      <c r="O103" s="28"/>
      <c r="P103" s="28"/>
      <c r="Q103" s="101"/>
      <c r="S103" s="28"/>
      <c r="T103" s="28"/>
      <c r="U103" s="13"/>
      <c r="V103" s="28"/>
    </row>
    <row r="104" spans="1:22">
      <c r="H104" s="28"/>
      <c r="I104" s="28"/>
      <c r="J104" s="28"/>
      <c r="L104" s="28"/>
      <c r="M104" s="28"/>
      <c r="N104" s="28"/>
      <c r="O104" s="28"/>
      <c r="P104" s="28"/>
      <c r="Q104" s="101"/>
      <c r="S104" s="28"/>
      <c r="T104" s="28"/>
      <c r="U104" s="13"/>
      <c r="V104" s="28"/>
    </row>
    <row r="105" spans="1:22">
      <c r="H105" s="28"/>
      <c r="I105" s="28"/>
      <c r="J105" s="28"/>
      <c r="L105" s="28"/>
      <c r="M105" s="28"/>
      <c r="N105" s="28"/>
      <c r="O105" s="28"/>
      <c r="P105" s="28"/>
      <c r="Q105" s="101"/>
      <c r="S105" s="28"/>
      <c r="T105" s="28"/>
      <c r="U105" s="13"/>
      <c r="V105" s="28"/>
    </row>
    <row r="106" spans="1:22">
      <c r="H106" s="28"/>
      <c r="I106" s="28"/>
      <c r="J106" s="28"/>
      <c r="L106" s="28"/>
      <c r="M106" s="28"/>
      <c r="N106" s="28"/>
      <c r="O106" s="28"/>
      <c r="P106" s="28"/>
      <c r="Q106" s="101"/>
      <c r="S106" s="28"/>
      <c r="T106" s="28"/>
      <c r="U106" s="13"/>
      <c r="V106" s="28"/>
    </row>
    <row r="107" spans="1:22">
      <c r="H107" s="28"/>
      <c r="I107" s="28"/>
      <c r="J107" s="28"/>
      <c r="L107" s="28"/>
      <c r="M107" s="28"/>
      <c r="N107" s="28"/>
      <c r="O107" s="28"/>
      <c r="P107" s="28"/>
      <c r="Q107" s="101"/>
      <c r="S107" s="28"/>
      <c r="T107" s="28"/>
      <c r="U107" s="13"/>
      <c r="V107" s="28"/>
    </row>
    <row r="108" spans="1:22">
      <c r="H108" s="28"/>
      <c r="I108" s="28"/>
      <c r="J108" s="28"/>
      <c r="L108" s="28"/>
      <c r="M108" s="28"/>
      <c r="N108" s="28"/>
      <c r="O108" s="28"/>
      <c r="P108" s="28"/>
      <c r="Q108" s="101"/>
      <c r="S108" s="28"/>
      <c r="T108" s="28"/>
      <c r="U108" s="13"/>
      <c r="V108" s="28"/>
    </row>
    <row r="109" spans="1:22" ht="15.75">
      <c r="A109" s="15"/>
      <c r="C109" s="15"/>
      <c r="D109" s="15"/>
      <c r="H109" s="28"/>
      <c r="I109" s="28"/>
      <c r="J109" s="28"/>
      <c r="L109" s="28"/>
      <c r="M109" s="28"/>
      <c r="N109" s="28"/>
      <c r="O109" s="28"/>
      <c r="P109" s="28"/>
      <c r="Q109" s="101"/>
      <c r="S109" s="28"/>
      <c r="T109" s="28"/>
      <c r="U109" s="13"/>
      <c r="V109" s="28"/>
    </row>
    <row r="110" spans="1:22" ht="15.75">
      <c r="A110" s="15"/>
      <c r="C110" s="15"/>
      <c r="D110" s="15"/>
      <c r="H110" s="28"/>
      <c r="I110" s="28"/>
      <c r="J110" s="28"/>
      <c r="L110" s="28"/>
      <c r="M110" s="28"/>
      <c r="N110" s="28"/>
      <c r="O110" s="28"/>
      <c r="P110" s="28"/>
      <c r="Q110" s="101"/>
      <c r="S110" s="28"/>
      <c r="T110" s="28"/>
      <c r="U110" s="13"/>
      <c r="V110" s="28"/>
    </row>
    <row r="111" spans="1:22" ht="15.75">
      <c r="A111" s="15"/>
      <c r="C111" s="15"/>
      <c r="D111" s="15"/>
      <c r="H111" s="28"/>
      <c r="I111" s="28"/>
      <c r="J111" s="28"/>
      <c r="L111" s="28"/>
      <c r="M111" s="28"/>
      <c r="N111" s="28"/>
      <c r="O111" s="28"/>
      <c r="P111" s="28"/>
      <c r="Q111" s="101"/>
      <c r="S111" s="28"/>
      <c r="T111" s="28"/>
      <c r="U111" s="13"/>
      <c r="V111" s="28"/>
    </row>
    <row r="112" spans="1:22" ht="15.75">
      <c r="A112" s="15"/>
      <c r="C112" s="15"/>
      <c r="D112" s="15"/>
      <c r="H112" s="28"/>
      <c r="I112" s="28"/>
      <c r="J112" s="28"/>
      <c r="L112" s="28"/>
      <c r="M112" s="28"/>
      <c r="N112" s="28"/>
      <c r="O112" s="28"/>
      <c r="P112" s="28"/>
      <c r="Q112" s="101"/>
      <c r="S112" s="28"/>
      <c r="T112" s="28"/>
      <c r="U112" s="13"/>
      <c r="V112" s="28"/>
    </row>
    <row r="113" spans="1:22" ht="15.75">
      <c r="A113" s="15"/>
      <c r="C113" s="15"/>
      <c r="D113" s="15"/>
      <c r="H113" s="28"/>
      <c r="I113" s="28"/>
      <c r="J113" s="28"/>
      <c r="L113" s="28"/>
      <c r="M113" s="28"/>
      <c r="N113" s="28"/>
      <c r="O113" s="28"/>
      <c r="P113" s="28"/>
      <c r="Q113" s="101"/>
      <c r="S113" s="28"/>
      <c r="T113" s="28"/>
      <c r="U113" s="13"/>
      <c r="V113" s="28"/>
    </row>
    <row r="114" spans="1:22" ht="15.75">
      <c r="A114" s="15"/>
      <c r="C114" s="15"/>
      <c r="D114" s="15"/>
      <c r="H114" s="28"/>
      <c r="I114" s="28"/>
      <c r="J114" s="28"/>
      <c r="L114" s="28"/>
      <c r="M114" s="28"/>
      <c r="N114" s="28"/>
      <c r="O114" s="28"/>
      <c r="P114" s="28"/>
      <c r="Q114" s="101"/>
      <c r="S114" s="28"/>
      <c r="T114" s="28"/>
      <c r="U114" s="13"/>
      <c r="V114" s="28"/>
    </row>
    <row r="115" spans="1:22" ht="15.75">
      <c r="A115" s="15"/>
      <c r="C115" s="15"/>
      <c r="D115" s="15"/>
      <c r="H115" s="28"/>
      <c r="I115" s="28"/>
      <c r="J115" s="28"/>
      <c r="L115" s="28"/>
      <c r="M115" s="28"/>
      <c r="N115" s="28"/>
      <c r="O115" s="28"/>
      <c r="P115" s="28"/>
      <c r="Q115" s="101"/>
      <c r="S115" s="28"/>
      <c r="T115" s="28"/>
      <c r="U115" s="13"/>
      <c r="V115" s="28"/>
    </row>
    <row r="116" spans="1:22" ht="15.75">
      <c r="A116" s="15"/>
      <c r="C116" s="15"/>
      <c r="D116" s="15"/>
      <c r="H116" s="28"/>
      <c r="I116" s="28"/>
      <c r="J116" s="28"/>
      <c r="L116" s="28"/>
      <c r="M116" s="28"/>
      <c r="N116" s="28"/>
      <c r="O116" s="28"/>
      <c r="P116" s="28"/>
      <c r="Q116" s="101"/>
      <c r="S116" s="28"/>
      <c r="T116" s="28"/>
      <c r="U116" s="13"/>
      <c r="V116" s="28"/>
    </row>
    <row r="117" spans="1:22" ht="15.75">
      <c r="A117" s="15"/>
      <c r="C117" s="15"/>
      <c r="D117" s="15"/>
      <c r="H117" s="28"/>
      <c r="I117" s="28"/>
      <c r="J117" s="28"/>
      <c r="L117" s="28"/>
      <c r="M117" s="28"/>
      <c r="N117" s="28"/>
      <c r="O117" s="28"/>
      <c r="P117" s="28"/>
      <c r="Q117" s="99"/>
      <c r="S117" s="28"/>
      <c r="T117" s="28"/>
      <c r="U117" s="13"/>
      <c r="V117" s="28"/>
    </row>
    <row r="118" spans="1:22" ht="15.75">
      <c r="A118" s="15"/>
      <c r="C118" s="15"/>
      <c r="D118" s="15"/>
      <c r="H118" s="28"/>
      <c r="I118" s="28"/>
      <c r="J118" s="28"/>
      <c r="L118" s="28"/>
      <c r="M118" s="28"/>
      <c r="N118" s="28"/>
      <c r="O118" s="28"/>
      <c r="P118" s="28"/>
      <c r="Q118" s="101"/>
      <c r="S118" s="28"/>
      <c r="T118" s="28"/>
      <c r="U118" s="13"/>
      <c r="V118" s="28"/>
    </row>
    <row r="119" spans="1:22" ht="18">
      <c r="A119" s="15"/>
      <c r="C119" s="15"/>
      <c r="D119" s="15"/>
      <c r="H119" s="28"/>
      <c r="I119" s="28"/>
      <c r="J119" s="28"/>
      <c r="L119" s="28"/>
      <c r="M119" s="28"/>
      <c r="N119" s="28"/>
      <c r="O119" s="28"/>
      <c r="P119" s="28"/>
      <c r="Q119" s="91"/>
      <c r="S119" s="28"/>
      <c r="T119" s="28"/>
      <c r="U119" s="13"/>
      <c r="V119" s="28"/>
    </row>
    <row r="120" spans="1:22" ht="18.75">
      <c r="A120" s="15"/>
      <c r="C120" s="15"/>
      <c r="D120" s="15"/>
      <c r="H120" s="28"/>
      <c r="I120" s="28"/>
      <c r="J120" s="28"/>
      <c r="L120" s="28"/>
      <c r="M120" s="28"/>
      <c r="N120" s="28"/>
      <c r="O120" s="28"/>
      <c r="P120" s="28"/>
      <c r="Q120" s="74"/>
      <c r="S120" s="28"/>
      <c r="T120" s="28"/>
      <c r="U120" s="13"/>
      <c r="V120" s="28"/>
    </row>
    <row r="121" spans="1:22" ht="18">
      <c r="A121" s="15"/>
      <c r="C121" s="15"/>
      <c r="D121" s="15"/>
      <c r="H121" s="28"/>
      <c r="I121" s="28"/>
      <c r="J121" s="28"/>
      <c r="L121" s="28"/>
      <c r="M121" s="28"/>
      <c r="N121" s="28"/>
      <c r="O121" s="28"/>
      <c r="P121" s="28"/>
      <c r="Q121" s="75"/>
      <c r="S121" s="28"/>
      <c r="T121" s="28"/>
      <c r="U121" s="13"/>
      <c r="V121" s="28"/>
    </row>
    <row r="122" spans="1:22" ht="18">
      <c r="A122" s="15"/>
      <c r="C122" s="15"/>
      <c r="D122" s="15"/>
      <c r="H122" s="28"/>
      <c r="I122" s="28"/>
      <c r="J122" s="28"/>
      <c r="L122" s="28"/>
      <c r="M122" s="28"/>
      <c r="N122" s="28"/>
      <c r="O122" s="28"/>
      <c r="P122" s="28"/>
      <c r="Q122" s="75"/>
      <c r="S122" s="28"/>
      <c r="T122" s="28"/>
      <c r="U122" s="13"/>
      <c r="V122" s="28"/>
    </row>
    <row r="123" spans="1:22" ht="18">
      <c r="A123" s="15"/>
      <c r="C123" s="15"/>
      <c r="D123" s="15"/>
      <c r="H123" s="28"/>
      <c r="I123" s="28"/>
      <c r="J123" s="28"/>
      <c r="L123" s="28"/>
      <c r="M123" s="28"/>
      <c r="N123" s="28"/>
      <c r="O123" s="28"/>
      <c r="P123" s="28"/>
      <c r="Q123" s="115"/>
      <c r="S123" s="28"/>
      <c r="T123" s="28"/>
      <c r="U123" s="13"/>
      <c r="V123" s="28"/>
    </row>
    <row r="124" spans="1:22" ht="18.75">
      <c r="A124" s="15"/>
      <c r="C124" s="15"/>
      <c r="D124" s="15"/>
      <c r="H124" s="28"/>
      <c r="I124" s="28"/>
      <c r="J124" s="28"/>
      <c r="L124" s="28"/>
      <c r="M124" s="28"/>
      <c r="N124" s="28"/>
      <c r="O124" s="28"/>
      <c r="P124" s="28"/>
      <c r="Q124" s="8"/>
      <c r="S124" s="28"/>
      <c r="T124" s="28"/>
      <c r="U124" s="13"/>
      <c r="V124" s="28"/>
    </row>
    <row r="125" spans="1:22" ht="18.75">
      <c r="A125" s="15"/>
      <c r="C125" s="15"/>
      <c r="D125" s="15"/>
      <c r="H125" s="28"/>
      <c r="I125" s="28"/>
      <c r="J125" s="28"/>
      <c r="L125" s="28"/>
      <c r="M125" s="28"/>
      <c r="N125" s="28"/>
      <c r="O125" s="28"/>
      <c r="P125" s="28"/>
      <c r="Q125" s="33"/>
      <c r="S125" s="28"/>
      <c r="T125" s="28"/>
      <c r="U125" s="13"/>
      <c r="V125" s="28"/>
    </row>
    <row r="126" spans="1:22" ht="15.75">
      <c r="A126" s="15"/>
      <c r="C126" s="15"/>
      <c r="D126" s="15"/>
      <c r="H126" s="28"/>
      <c r="I126" s="28"/>
      <c r="J126" s="28"/>
      <c r="L126" s="28"/>
      <c r="M126" s="28"/>
      <c r="N126" s="28"/>
      <c r="O126" s="28"/>
      <c r="P126" s="28"/>
      <c r="Q126" s="55"/>
      <c r="S126" s="28"/>
      <c r="T126" s="28"/>
      <c r="U126" s="13"/>
      <c r="V126" s="28"/>
    </row>
    <row r="127" spans="1:22" ht="15.75">
      <c r="A127" s="15"/>
      <c r="C127" s="15"/>
      <c r="D127" s="15"/>
      <c r="H127" s="28"/>
      <c r="I127" s="28"/>
      <c r="J127" s="28"/>
      <c r="L127" s="28"/>
      <c r="M127" s="28"/>
      <c r="N127" s="28"/>
      <c r="O127" s="28"/>
      <c r="P127" s="28"/>
      <c r="Q127" s="55"/>
      <c r="S127" s="28"/>
      <c r="T127" s="28"/>
      <c r="U127" s="13"/>
      <c r="V127" s="28"/>
    </row>
    <row r="128" spans="1:22" ht="15.75">
      <c r="A128" s="15"/>
      <c r="C128" s="15"/>
      <c r="D128" s="15"/>
      <c r="H128" s="28"/>
      <c r="I128" s="28"/>
      <c r="J128" s="28"/>
      <c r="L128" s="28"/>
      <c r="M128" s="28"/>
      <c r="N128" s="28"/>
      <c r="O128" s="28"/>
      <c r="P128" s="28"/>
      <c r="Q128" s="55"/>
      <c r="S128" s="28"/>
      <c r="T128" s="28"/>
      <c r="U128" s="13"/>
      <c r="V128" s="28"/>
    </row>
    <row r="129" spans="1:22" ht="18.75">
      <c r="A129" s="15"/>
      <c r="C129" s="15"/>
      <c r="D129" s="15"/>
      <c r="H129" s="28"/>
      <c r="I129" s="28"/>
      <c r="J129" s="28"/>
      <c r="L129" s="28"/>
      <c r="M129" s="28"/>
      <c r="N129" s="28"/>
      <c r="O129" s="28"/>
      <c r="P129" s="28"/>
      <c r="Q129" s="116"/>
      <c r="S129" s="28"/>
      <c r="T129" s="28"/>
      <c r="U129" s="13"/>
      <c r="V129" s="28"/>
    </row>
    <row r="130" spans="1:22" ht="18.75">
      <c r="A130" s="15"/>
      <c r="C130" s="15"/>
      <c r="D130" s="15"/>
      <c r="H130" s="28"/>
      <c r="I130" s="28"/>
      <c r="J130" s="28"/>
      <c r="L130" s="28"/>
      <c r="M130" s="28"/>
      <c r="N130" s="28"/>
      <c r="O130" s="28"/>
      <c r="P130" s="28"/>
      <c r="Q130" s="19"/>
      <c r="S130" s="28"/>
      <c r="T130" s="28"/>
      <c r="U130" s="13"/>
      <c r="V130" s="28"/>
    </row>
    <row r="131" spans="1:22" ht="15.75">
      <c r="A131" s="15"/>
      <c r="C131" s="15"/>
      <c r="D131" s="15"/>
      <c r="H131" s="28"/>
      <c r="I131" s="28"/>
      <c r="J131" s="28"/>
      <c r="L131" s="28"/>
      <c r="M131" s="28"/>
      <c r="N131" s="28"/>
      <c r="O131" s="28"/>
      <c r="P131" s="28"/>
      <c r="S131" s="28"/>
      <c r="T131" s="28"/>
      <c r="U131" s="13"/>
      <c r="V131" s="28"/>
    </row>
    <row r="132" spans="1:22" ht="15.75">
      <c r="A132" s="15"/>
      <c r="C132" s="15"/>
      <c r="D132" s="15"/>
      <c r="H132" s="28"/>
      <c r="I132" s="28"/>
      <c r="J132" s="28"/>
      <c r="L132" s="28"/>
      <c r="M132" s="28"/>
      <c r="N132" s="28"/>
      <c r="O132" s="28"/>
      <c r="P132" s="28"/>
      <c r="S132" s="28"/>
      <c r="T132" s="28"/>
      <c r="U132" s="13"/>
      <c r="V132" s="28"/>
    </row>
    <row r="133" spans="1:22" ht="15.75">
      <c r="A133" s="15"/>
      <c r="C133" s="15"/>
      <c r="D133" s="15"/>
      <c r="H133" s="28"/>
      <c r="I133" s="28"/>
      <c r="J133" s="28"/>
      <c r="L133" s="28"/>
      <c r="M133" s="28"/>
      <c r="N133" s="28"/>
      <c r="O133" s="28"/>
      <c r="P133" s="28"/>
      <c r="S133" s="28"/>
      <c r="T133" s="28"/>
      <c r="U133" s="13"/>
      <c r="V133" s="28"/>
    </row>
    <row r="134" spans="1:22" ht="15.75">
      <c r="A134" s="15"/>
      <c r="C134" s="15"/>
      <c r="D134" s="15"/>
      <c r="H134" s="28"/>
      <c r="I134" s="28"/>
      <c r="J134" s="28"/>
      <c r="L134" s="28"/>
      <c r="M134" s="28"/>
      <c r="N134" s="28"/>
      <c r="O134" s="28"/>
      <c r="P134" s="28"/>
      <c r="S134" s="28"/>
      <c r="T134" s="28"/>
      <c r="U134" s="13"/>
      <c r="V134" s="28"/>
    </row>
    <row r="135" spans="1:22" ht="15.75">
      <c r="A135" s="15"/>
      <c r="C135" s="15"/>
      <c r="D135" s="15"/>
      <c r="H135" s="28"/>
      <c r="I135" s="28"/>
      <c r="J135" s="28"/>
      <c r="L135" s="28"/>
      <c r="M135" s="28"/>
      <c r="N135" s="28"/>
      <c r="O135" s="28"/>
      <c r="P135" s="28"/>
      <c r="S135" s="28"/>
      <c r="T135" s="28"/>
      <c r="U135" s="13"/>
      <c r="V135" s="28"/>
    </row>
    <row r="136" spans="1:22" ht="15.75">
      <c r="A136" s="15"/>
      <c r="C136" s="15"/>
      <c r="D136" s="15"/>
      <c r="H136" s="28"/>
      <c r="I136" s="28"/>
      <c r="J136" s="28"/>
      <c r="L136" s="28"/>
      <c r="M136" s="28"/>
      <c r="N136" s="28"/>
      <c r="O136" s="28"/>
      <c r="P136" s="28"/>
      <c r="S136" s="28"/>
      <c r="T136" s="28"/>
      <c r="U136" s="13"/>
      <c r="V136" s="28"/>
    </row>
    <row r="137" spans="1:22" ht="15.75">
      <c r="A137" s="15"/>
      <c r="C137" s="15"/>
      <c r="D137" s="15"/>
      <c r="H137" s="28"/>
      <c r="I137" s="28"/>
      <c r="J137" s="28"/>
      <c r="L137" s="28"/>
      <c r="M137" s="28"/>
      <c r="N137" s="28"/>
      <c r="O137" s="28"/>
      <c r="P137" s="28"/>
      <c r="S137" s="28"/>
      <c r="T137" s="28"/>
      <c r="U137" s="13"/>
      <c r="V137" s="28"/>
    </row>
    <row r="138" spans="1:22" ht="15.75">
      <c r="A138" s="15"/>
      <c r="C138" s="15"/>
      <c r="D138" s="15"/>
      <c r="H138" s="28"/>
      <c r="I138" s="28"/>
      <c r="J138" s="28"/>
      <c r="L138" s="28"/>
      <c r="M138" s="28"/>
      <c r="N138" s="28"/>
      <c r="O138" s="28"/>
      <c r="P138" s="28"/>
      <c r="S138" s="28"/>
      <c r="T138" s="28"/>
      <c r="U138" s="13"/>
      <c r="V138" s="28"/>
    </row>
    <row r="139" spans="1:22" ht="15.75">
      <c r="A139" s="15"/>
      <c r="C139" s="15"/>
      <c r="D139" s="15"/>
      <c r="H139" s="28"/>
      <c r="I139" s="28"/>
      <c r="J139" s="28"/>
      <c r="L139" s="28"/>
      <c r="M139" s="28"/>
      <c r="N139" s="28"/>
      <c r="O139" s="28"/>
      <c r="P139" s="28"/>
      <c r="S139" s="28"/>
      <c r="T139" s="28"/>
      <c r="U139" s="13"/>
      <c r="V139" s="28"/>
    </row>
    <row r="140" spans="1:22" ht="15.75">
      <c r="A140" s="15"/>
      <c r="C140" s="15"/>
      <c r="D140" s="15"/>
      <c r="H140" s="28"/>
      <c r="I140" s="28"/>
      <c r="J140" s="28"/>
      <c r="L140" s="28"/>
      <c r="M140" s="28"/>
      <c r="N140" s="28"/>
      <c r="O140" s="28"/>
      <c r="P140" s="28"/>
      <c r="S140" s="28"/>
      <c r="T140" s="28"/>
      <c r="U140" s="13"/>
      <c r="V140" s="28"/>
    </row>
    <row r="141" spans="1:22" ht="15.75">
      <c r="A141" s="15"/>
      <c r="C141" s="15"/>
      <c r="D141" s="15"/>
      <c r="H141" s="28"/>
      <c r="I141" s="28"/>
      <c r="J141" s="28"/>
      <c r="L141" s="28"/>
      <c r="M141" s="28"/>
      <c r="N141" s="28"/>
      <c r="O141" s="28"/>
      <c r="P141" s="28"/>
      <c r="S141" s="28"/>
      <c r="T141" s="28"/>
      <c r="U141" s="13"/>
      <c r="V141" s="28"/>
    </row>
    <row r="142" spans="1:22" ht="15.75">
      <c r="A142" s="15"/>
      <c r="C142" s="15"/>
      <c r="D142" s="15"/>
      <c r="H142" s="28"/>
      <c r="I142" s="28"/>
      <c r="J142" s="28"/>
      <c r="L142" s="28"/>
      <c r="M142" s="28"/>
      <c r="N142" s="28"/>
      <c r="O142" s="28"/>
      <c r="P142" s="28"/>
      <c r="S142" s="28"/>
      <c r="T142" s="28"/>
      <c r="U142" s="13"/>
      <c r="V142" s="28"/>
    </row>
    <row r="143" spans="1:22" ht="15.75">
      <c r="A143" s="15"/>
      <c r="C143" s="15"/>
      <c r="D143" s="15"/>
      <c r="H143" s="28"/>
      <c r="I143" s="28"/>
      <c r="J143" s="28"/>
      <c r="L143" s="28"/>
      <c r="M143" s="28"/>
      <c r="N143" s="28"/>
      <c r="O143" s="28"/>
      <c r="P143" s="28"/>
      <c r="S143" s="28"/>
      <c r="T143" s="28"/>
      <c r="U143" s="13"/>
      <c r="V143" s="28"/>
    </row>
    <row r="144" spans="1:22" ht="15.75">
      <c r="A144" s="15"/>
      <c r="C144" s="15"/>
      <c r="D144" s="15"/>
      <c r="H144" s="28"/>
      <c r="I144" s="28"/>
      <c r="J144" s="28"/>
      <c r="L144" s="28"/>
      <c r="M144" s="28"/>
      <c r="N144" s="28"/>
      <c r="O144" s="28"/>
      <c r="P144" s="28"/>
      <c r="S144" s="28"/>
      <c r="T144" s="28"/>
      <c r="U144" s="13"/>
      <c r="V144" s="28"/>
    </row>
    <row r="145" spans="1:22" ht="15.75">
      <c r="A145" s="15"/>
      <c r="C145" s="15"/>
      <c r="D145" s="15"/>
      <c r="H145" s="28"/>
      <c r="I145" s="28"/>
      <c r="J145" s="28"/>
      <c r="L145" s="28"/>
      <c r="M145" s="28"/>
      <c r="N145" s="28"/>
      <c r="O145" s="28"/>
      <c r="P145" s="28"/>
      <c r="S145" s="28"/>
      <c r="T145" s="28"/>
      <c r="U145" s="13"/>
      <c r="V145" s="28"/>
    </row>
    <row r="146" spans="1:22" ht="15.75">
      <c r="A146" s="15"/>
      <c r="C146" s="15"/>
      <c r="D146" s="15"/>
      <c r="H146" s="28"/>
      <c r="I146" s="28"/>
      <c r="J146" s="28"/>
      <c r="L146" s="28"/>
      <c r="M146" s="28"/>
      <c r="N146" s="28"/>
      <c r="O146" s="28"/>
      <c r="P146" s="28"/>
      <c r="S146" s="28"/>
      <c r="T146" s="28"/>
      <c r="U146" s="13"/>
      <c r="V146" s="28"/>
    </row>
    <row r="147" spans="1:22" ht="15.75">
      <c r="A147" s="15"/>
      <c r="C147" s="15"/>
      <c r="D147" s="15"/>
      <c r="H147" s="28"/>
      <c r="I147" s="28"/>
      <c r="J147" s="28"/>
      <c r="L147" s="28"/>
      <c r="M147" s="28"/>
      <c r="N147" s="28"/>
      <c r="O147" s="28"/>
      <c r="P147" s="28"/>
      <c r="S147" s="28"/>
      <c r="T147" s="28"/>
      <c r="U147" s="13"/>
      <c r="V147" s="28"/>
    </row>
    <row r="148" spans="1:22" ht="15.75">
      <c r="A148" s="15"/>
      <c r="C148" s="15"/>
      <c r="D148" s="15"/>
      <c r="H148" s="28"/>
      <c r="I148" s="28"/>
      <c r="J148" s="28"/>
      <c r="L148" s="28"/>
      <c r="M148" s="28"/>
      <c r="N148" s="28"/>
      <c r="O148" s="28"/>
      <c r="P148" s="28"/>
      <c r="S148" s="28"/>
      <c r="T148" s="28"/>
      <c r="U148" s="13"/>
      <c r="V148" s="28"/>
    </row>
    <row r="149" spans="1:22" ht="15.75">
      <c r="A149" s="15"/>
      <c r="C149" s="15"/>
      <c r="D149" s="15"/>
      <c r="H149" s="28"/>
      <c r="I149" s="28"/>
      <c r="J149" s="28"/>
      <c r="L149" s="28"/>
      <c r="M149" s="28"/>
      <c r="N149" s="28"/>
      <c r="O149" s="28"/>
      <c r="P149" s="28"/>
      <c r="S149" s="28"/>
      <c r="T149" s="28"/>
      <c r="U149" s="13"/>
      <c r="V149" s="28"/>
    </row>
    <row r="150" spans="1:22" ht="15.75">
      <c r="A150" s="15"/>
      <c r="C150" s="15"/>
      <c r="D150" s="15"/>
      <c r="H150" s="28"/>
      <c r="I150" s="28"/>
      <c r="J150" s="28"/>
      <c r="L150" s="28"/>
      <c r="M150" s="28"/>
      <c r="N150" s="28"/>
      <c r="O150" s="28"/>
      <c r="P150" s="28"/>
      <c r="S150" s="28"/>
      <c r="T150" s="28"/>
      <c r="U150" s="13"/>
      <c r="V150" s="28"/>
    </row>
    <row r="151" spans="1:22" ht="15.75">
      <c r="A151" s="15"/>
      <c r="C151" s="15"/>
      <c r="D151" s="15"/>
      <c r="H151" s="28"/>
      <c r="I151" s="28"/>
      <c r="J151" s="28"/>
      <c r="L151" s="28"/>
      <c r="M151" s="28"/>
      <c r="N151" s="28"/>
      <c r="O151" s="28"/>
      <c r="P151" s="28"/>
      <c r="S151" s="28"/>
      <c r="T151" s="28"/>
      <c r="U151" s="13"/>
      <c r="V151" s="28"/>
    </row>
    <row r="152" spans="1:22" ht="15.75">
      <c r="A152" s="15"/>
      <c r="C152" s="15"/>
      <c r="D152" s="15"/>
      <c r="H152" s="28"/>
      <c r="I152" s="28"/>
      <c r="J152" s="28"/>
      <c r="L152" s="28"/>
      <c r="M152" s="28"/>
      <c r="N152" s="28"/>
      <c r="O152" s="28"/>
      <c r="P152" s="28"/>
      <c r="S152" s="28"/>
      <c r="T152" s="28"/>
      <c r="U152" s="13"/>
      <c r="V152" s="28"/>
    </row>
    <row r="153" spans="1:22" ht="15.75">
      <c r="A153" s="15"/>
      <c r="C153" s="15"/>
      <c r="D153" s="15"/>
      <c r="H153" s="28"/>
      <c r="I153" s="28"/>
      <c r="J153" s="28"/>
      <c r="L153" s="28"/>
      <c r="M153" s="28"/>
      <c r="N153" s="28"/>
      <c r="O153" s="28"/>
      <c r="P153" s="28"/>
      <c r="S153" s="28"/>
      <c r="T153" s="28"/>
      <c r="U153" s="13"/>
      <c r="V153" s="28"/>
    </row>
    <row r="154" spans="1:22" ht="15.75">
      <c r="A154" s="15"/>
      <c r="C154" s="15"/>
      <c r="D154" s="15"/>
      <c r="H154" s="28"/>
      <c r="I154" s="28"/>
      <c r="J154" s="28"/>
      <c r="L154" s="28"/>
      <c r="M154" s="28"/>
      <c r="N154" s="28"/>
      <c r="O154" s="28"/>
      <c r="P154" s="28"/>
      <c r="S154" s="28"/>
      <c r="T154" s="28"/>
      <c r="U154" s="13"/>
      <c r="V154" s="28"/>
    </row>
    <row r="155" spans="1:22" ht="15.75">
      <c r="A155" s="15"/>
      <c r="C155" s="15"/>
      <c r="D155" s="15"/>
      <c r="H155" s="28"/>
      <c r="I155" s="28"/>
      <c r="J155" s="28"/>
      <c r="L155" s="28"/>
      <c r="M155" s="28"/>
      <c r="N155" s="28"/>
      <c r="O155" s="28"/>
      <c r="P155" s="28"/>
      <c r="S155" s="28"/>
      <c r="T155" s="28"/>
      <c r="U155" s="13"/>
      <c r="V155" s="28"/>
    </row>
    <row r="156" spans="1:22" ht="15.75">
      <c r="A156" s="15"/>
      <c r="C156" s="15"/>
      <c r="D156" s="15"/>
      <c r="H156" s="28"/>
      <c r="I156" s="28"/>
      <c r="J156" s="28"/>
      <c r="L156" s="28"/>
      <c r="M156" s="28"/>
      <c r="N156" s="28"/>
      <c r="O156" s="28"/>
      <c r="P156" s="28"/>
      <c r="S156" s="28"/>
      <c r="T156" s="28"/>
      <c r="U156" s="13"/>
      <c r="V156" s="28"/>
    </row>
    <row r="157" spans="1:22" ht="15.75">
      <c r="A157" s="15"/>
      <c r="C157" s="15"/>
      <c r="D157" s="15"/>
      <c r="H157" s="28"/>
      <c r="I157" s="28"/>
      <c r="J157" s="28"/>
      <c r="L157" s="28"/>
      <c r="M157" s="28"/>
      <c r="N157" s="28"/>
      <c r="O157" s="28"/>
      <c r="P157" s="28"/>
      <c r="S157" s="28"/>
      <c r="T157" s="28"/>
      <c r="U157" s="13"/>
      <c r="V157" s="28"/>
    </row>
    <row r="158" spans="1:22" ht="15.75">
      <c r="A158" s="15"/>
      <c r="C158" s="15"/>
      <c r="D158" s="15"/>
      <c r="H158" s="28"/>
      <c r="I158" s="28"/>
      <c r="J158" s="28"/>
      <c r="L158" s="28"/>
      <c r="M158" s="28"/>
      <c r="N158" s="28"/>
      <c r="O158" s="28"/>
      <c r="P158" s="28"/>
      <c r="S158" s="28"/>
      <c r="T158" s="28"/>
      <c r="U158" s="13"/>
      <c r="V158" s="28"/>
    </row>
    <row r="159" spans="1:22" ht="15.75">
      <c r="A159" s="15"/>
      <c r="C159" s="15"/>
      <c r="D159" s="15"/>
      <c r="H159" s="28"/>
      <c r="I159" s="28"/>
      <c r="J159" s="28"/>
      <c r="L159" s="28"/>
      <c r="M159" s="28"/>
      <c r="N159" s="28"/>
      <c r="O159" s="28"/>
      <c r="P159" s="28"/>
      <c r="S159" s="28"/>
      <c r="T159" s="28"/>
      <c r="U159" s="13"/>
      <c r="V159" s="28"/>
    </row>
    <row r="160" spans="1:22" ht="15.75">
      <c r="A160" s="15"/>
      <c r="C160" s="15"/>
      <c r="D160" s="15"/>
      <c r="H160" s="28"/>
      <c r="I160" s="28"/>
      <c r="J160" s="28"/>
      <c r="L160" s="28"/>
      <c r="M160" s="28"/>
      <c r="N160" s="28"/>
      <c r="O160" s="28"/>
      <c r="P160" s="28"/>
      <c r="S160" s="28"/>
      <c r="T160" s="28"/>
      <c r="U160" s="13"/>
      <c r="V160" s="28"/>
    </row>
    <row r="161" spans="1:22" ht="15.75">
      <c r="A161" s="15"/>
      <c r="C161" s="15"/>
      <c r="D161" s="15"/>
      <c r="H161" s="28"/>
      <c r="I161" s="28"/>
      <c r="J161" s="28"/>
      <c r="L161" s="28"/>
      <c r="M161" s="28"/>
      <c r="N161" s="28"/>
      <c r="O161" s="28"/>
      <c r="P161" s="28"/>
      <c r="S161" s="28"/>
      <c r="T161" s="28"/>
      <c r="U161" s="13"/>
      <c r="V161" s="28"/>
    </row>
    <row r="162" spans="1:22" ht="15.75">
      <c r="A162" s="15"/>
      <c r="C162" s="15"/>
      <c r="D162" s="15"/>
      <c r="H162" s="28"/>
      <c r="I162" s="28"/>
      <c r="J162" s="28"/>
      <c r="L162" s="28"/>
      <c r="M162" s="28"/>
      <c r="N162" s="28"/>
      <c r="O162" s="28"/>
      <c r="P162" s="28"/>
      <c r="S162" s="28"/>
      <c r="T162" s="28"/>
      <c r="U162" s="13"/>
      <c r="V162" s="28"/>
    </row>
    <row r="163" spans="1:22" ht="15.75">
      <c r="A163" s="15"/>
      <c r="C163" s="15"/>
      <c r="D163" s="15"/>
      <c r="H163" s="28"/>
      <c r="I163" s="28"/>
      <c r="J163" s="28"/>
      <c r="L163" s="28"/>
      <c r="M163" s="28"/>
      <c r="N163" s="28"/>
      <c r="O163" s="28"/>
      <c r="P163" s="28"/>
      <c r="S163" s="28"/>
      <c r="T163" s="28"/>
      <c r="U163" s="13"/>
      <c r="V163" s="28"/>
    </row>
    <row r="164" spans="1:22" ht="15.75">
      <c r="A164" s="15"/>
      <c r="C164" s="15"/>
      <c r="D164" s="15"/>
      <c r="H164" s="28"/>
      <c r="I164" s="28"/>
      <c r="J164" s="28"/>
      <c r="L164" s="28"/>
      <c r="M164" s="28"/>
      <c r="N164" s="28"/>
      <c r="O164" s="28"/>
      <c r="P164" s="28"/>
      <c r="S164" s="28"/>
      <c r="T164" s="28"/>
      <c r="U164" s="13"/>
      <c r="V164" s="28"/>
    </row>
    <row r="165" spans="1:22" ht="15.75">
      <c r="A165" s="15"/>
      <c r="C165" s="15"/>
      <c r="D165" s="15"/>
      <c r="H165" s="28"/>
      <c r="I165" s="28"/>
      <c r="J165" s="28"/>
      <c r="L165" s="28"/>
      <c r="M165" s="28"/>
      <c r="N165" s="28"/>
      <c r="O165" s="28"/>
      <c r="P165" s="28"/>
      <c r="S165" s="28"/>
      <c r="T165" s="28"/>
      <c r="U165" s="13"/>
      <c r="V165" s="28"/>
    </row>
    <row r="166" spans="1:22" ht="15.75">
      <c r="A166" s="15"/>
      <c r="C166" s="15"/>
      <c r="D166" s="15"/>
      <c r="H166" s="28"/>
      <c r="I166" s="28"/>
      <c r="J166" s="28"/>
      <c r="L166" s="28"/>
      <c r="M166" s="28"/>
      <c r="N166" s="28"/>
      <c r="O166" s="28"/>
      <c r="P166" s="28"/>
      <c r="S166" s="28"/>
      <c r="T166" s="28"/>
      <c r="U166" s="13"/>
      <c r="V166" s="28"/>
    </row>
    <row r="167" spans="1:22" ht="15.75">
      <c r="A167" s="15"/>
      <c r="C167" s="15"/>
      <c r="D167" s="15"/>
      <c r="H167" s="28"/>
      <c r="I167" s="28"/>
      <c r="J167" s="28"/>
      <c r="L167" s="28"/>
      <c r="M167" s="28"/>
      <c r="N167" s="28"/>
      <c r="O167" s="28"/>
      <c r="P167" s="28"/>
      <c r="S167" s="28"/>
      <c r="T167" s="28"/>
      <c r="U167" s="13"/>
      <c r="V167" s="28"/>
    </row>
    <row r="168" spans="1:22" ht="15.75">
      <c r="A168" s="15"/>
      <c r="C168" s="15"/>
      <c r="D168" s="15"/>
      <c r="H168" s="28"/>
      <c r="I168" s="28"/>
      <c r="J168" s="28"/>
      <c r="L168" s="28"/>
      <c r="M168" s="28"/>
      <c r="N168" s="28"/>
      <c r="O168" s="28"/>
      <c r="P168" s="28"/>
      <c r="S168" s="28"/>
      <c r="T168" s="28"/>
      <c r="U168" s="13"/>
      <c r="V168" s="28"/>
    </row>
    <row r="169" spans="1:22" ht="15.75">
      <c r="A169" s="15"/>
      <c r="C169" s="15"/>
      <c r="D169" s="15"/>
      <c r="H169" s="28"/>
      <c r="I169" s="28"/>
      <c r="J169" s="28"/>
      <c r="L169" s="28"/>
      <c r="M169" s="28"/>
      <c r="N169" s="28"/>
      <c r="O169" s="28"/>
      <c r="P169" s="28"/>
      <c r="S169" s="28"/>
      <c r="T169" s="28"/>
      <c r="U169" s="13"/>
      <c r="V169" s="28"/>
    </row>
    <row r="170" spans="1:22" ht="15.75">
      <c r="A170" s="15"/>
      <c r="C170" s="15"/>
      <c r="D170" s="15"/>
      <c r="H170" s="28"/>
      <c r="I170" s="28"/>
      <c r="J170" s="28"/>
      <c r="L170" s="28"/>
      <c r="M170" s="28"/>
      <c r="N170" s="28"/>
      <c r="O170" s="28"/>
      <c r="P170" s="28"/>
      <c r="S170" s="28"/>
      <c r="T170" s="28"/>
      <c r="U170" s="13"/>
      <c r="V170" s="28"/>
    </row>
    <row r="171" spans="1:22" ht="15.75">
      <c r="A171" s="15"/>
      <c r="C171" s="15"/>
      <c r="D171" s="15"/>
      <c r="H171" s="28"/>
      <c r="I171" s="28"/>
      <c r="J171" s="28"/>
      <c r="L171" s="28"/>
      <c r="M171" s="28"/>
      <c r="N171" s="28"/>
      <c r="O171" s="28"/>
      <c r="P171" s="28"/>
      <c r="S171" s="28"/>
      <c r="T171" s="28"/>
      <c r="U171" s="13"/>
      <c r="V171" s="28"/>
    </row>
    <row r="172" spans="1:22" ht="15.75">
      <c r="A172" s="15"/>
      <c r="C172" s="15"/>
      <c r="D172" s="15"/>
      <c r="H172" s="28"/>
      <c r="I172" s="28"/>
      <c r="J172" s="28"/>
      <c r="L172" s="28"/>
      <c r="M172" s="28"/>
      <c r="N172" s="28"/>
      <c r="O172" s="28"/>
      <c r="P172" s="28"/>
      <c r="S172" s="28"/>
      <c r="T172" s="28"/>
      <c r="U172" s="13"/>
      <c r="V172" s="28"/>
    </row>
    <row r="173" spans="1:22" ht="15.75">
      <c r="A173" s="15"/>
      <c r="C173" s="15"/>
      <c r="D173" s="15"/>
      <c r="H173" s="28"/>
      <c r="I173" s="28"/>
      <c r="J173" s="28"/>
      <c r="L173" s="28"/>
      <c r="M173" s="28"/>
      <c r="N173" s="28"/>
      <c r="O173" s="28"/>
      <c r="P173" s="28"/>
      <c r="S173" s="28"/>
      <c r="T173" s="28"/>
      <c r="U173" s="13"/>
      <c r="V173" s="28"/>
    </row>
    <row r="174" spans="1:22" ht="15.75">
      <c r="A174" s="15"/>
      <c r="C174" s="15"/>
      <c r="D174" s="15"/>
      <c r="H174" s="28"/>
      <c r="I174" s="28"/>
      <c r="J174" s="28"/>
      <c r="L174" s="28"/>
      <c r="M174" s="28"/>
      <c r="N174" s="28"/>
      <c r="O174" s="28"/>
      <c r="P174" s="28"/>
      <c r="S174" s="28"/>
      <c r="T174" s="28"/>
      <c r="U174" s="13"/>
      <c r="V174" s="28"/>
    </row>
    <row r="175" spans="1:22" ht="15.75">
      <c r="A175" s="15"/>
      <c r="C175" s="15"/>
      <c r="D175" s="15"/>
      <c r="H175" s="28"/>
      <c r="I175" s="28"/>
      <c r="J175" s="28"/>
      <c r="L175" s="28"/>
      <c r="M175" s="28"/>
      <c r="N175" s="28"/>
      <c r="O175" s="28"/>
      <c r="P175" s="28"/>
      <c r="S175" s="28"/>
      <c r="T175" s="28"/>
      <c r="U175" s="13"/>
      <c r="V175" s="28"/>
    </row>
    <row r="176" spans="1:22" ht="15.75">
      <c r="A176" s="15"/>
      <c r="C176" s="15"/>
      <c r="D176" s="15"/>
      <c r="H176" s="28"/>
      <c r="I176" s="28"/>
      <c r="J176" s="28"/>
      <c r="L176" s="28"/>
      <c r="M176" s="28"/>
      <c r="N176" s="28"/>
      <c r="O176" s="28"/>
      <c r="P176" s="28"/>
      <c r="S176" s="28"/>
      <c r="T176" s="28"/>
      <c r="U176" s="13"/>
      <c r="V176" s="28"/>
    </row>
    <row r="177" spans="1:22" ht="15.75">
      <c r="A177" s="15"/>
      <c r="C177" s="15"/>
      <c r="D177" s="15"/>
      <c r="H177" s="28"/>
      <c r="I177" s="28"/>
      <c r="J177" s="28"/>
      <c r="L177" s="28"/>
      <c r="M177" s="28"/>
      <c r="N177" s="28"/>
      <c r="O177" s="28"/>
      <c r="P177" s="28"/>
      <c r="S177" s="28"/>
      <c r="T177" s="28"/>
      <c r="U177" s="13"/>
      <c r="V177" s="28"/>
    </row>
    <row r="178" spans="1:22" ht="15.75">
      <c r="A178" s="15"/>
      <c r="C178" s="15"/>
      <c r="D178" s="15"/>
      <c r="H178" s="28"/>
      <c r="I178" s="28"/>
      <c r="J178" s="28"/>
      <c r="L178" s="28"/>
      <c r="M178" s="28"/>
      <c r="N178" s="28"/>
      <c r="O178" s="28"/>
      <c r="P178" s="28"/>
      <c r="S178" s="28"/>
      <c r="T178" s="28"/>
      <c r="U178" s="13"/>
      <c r="V178" s="28"/>
    </row>
    <row r="179" spans="1:22" ht="15.75">
      <c r="A179" s="15"/>
      <c r="C179" s="15"/>
      <c r="D179" s="15"/>
      <c r="H179" s="28"/>
      <c r="I179" s="28"/>
      <c r="J179" s="28"/>
      <c r="L179" s="28"/>
      <c r="M179" s="28"/>
      <c r="N179" s="28"/>
      <c r="O179" s="28"/>
      <c r="P179" s="28"/>
      <c r="S179" s="28"/>
      <c r="T179" s="28"/>
      <c r="U179" s="13"/>
      <c r="V179" s="28"/>
    </row>
    <row r="180" spans="1:22" ht="15.75">
      <c r="A180" s="15"/>
      <c r="C180" s="15"/>
      <c r="D180" s="15"/>
      <c r="H180" s="28"/>
      <c r="I180" s="28"/>
      <c r="J180" s="28"/>
      <c r="L180" s="28"/>
      <c r="M180" s="28"/>
      <c r="N180" s="28"/>
      <c r="O180" s="28"/>
      <c r="P180" s="28"/>
      <c r="S180" s="28"/>
      <c r="T180" s="28"/>
      <c r="U180" s="13"/>
      <c r="V180" s="28"/>
    </row>
    <row r="181" spans="1:22" ht="15.75">
      <c r="A181" s="15"/>
      <c r="C181" s="15"/>
      <c r="D181" s="15"/>
      <c r="H181" s="28"/>
      <c r="I181" s="28"/>
      <c r="J181" s="28"/>
      <c r="L181" s="28"/>
      <c r="M181" s="28"/>
      <c r="N181" s="28"/>
      <c r="O181" s="28"/>
      <c r="P181" s="28"/>
      <c r="S181" s="28"/>
      <c r="T181" s="28"/>
      <c r="U181" s="13"/>
      <c r="V181" s="28"/>
    </row>
    <row r="182" spans="1:22" ht="15.75">
      <c r="A182" s="15"/>
      <c r="C182" s="15"/>
      <c r="D182" s="15"/>
      <c r="H182" s="28"/>
      <c r="I182" s="28"/>
      <c r="J182" s="28"/>
      <c r="L182" s="28"/>
      <c r="M182" s="28"/>
      <c r="N182" s="28"/>
      <c r="O182" s="28"/>
      <c r="P182" s="28"/>
      <c r="S182" s="28"/>
      <c r="T182" s="28"/>
      <c r="U182" s="13"/>
      <c r="V182" s="28"/>
    </row>
    <row r="183" spans="1:22" ht="15.75">
      <c r="A183" s="15"/>
      <c r="C183" s="15"/>
      <c r="D183" s="15"/>
      <c r="H183" s="28"/>
      <c r="I183" s="28"/>
      <c r="J183" s="28"/>
      <c r="L183" s="28"/>
      <c r="M183" s="28"/>
      <c r="N183" s="28"/>
      <c r="O183" s="28"/>
      <c r="P183" s="28"/>
      <c r="S183" s="28"/>
      <c r="T183" s="28"/>
      <c r="U183" s="13"/>
      <c r="V183" s="28"/>
    </row>
    <row r="184" spans="1:22" ht="15.75">
      <c r="A184" s="15"/>
      <c r="C184" s="15"/>
      <c r="D184" s="15"/>
      <c r="H184" s="28"/>
      <c r="I184" s="28"/>
      <c r="J184" s="28"/>
      <c r="L184" s="28"/>
      <c r="M184" s="28"/>
      <c r="N184" s="28"/>
      <c r="O184" s="28"/>
      <c r="P184" s="28"/>
      <c r="S184" s="28"/>
      <c r="T184" s="28"/>
      <c r="U184" s="13"/>
      <c r="V184" s="28"/>
    </row>
    <row r="185" spans="1:22" ht="15.75">
      <c r="A185" s="15"/>
      <c r="C185" s="15"/>
      <c r="D185" s="15"/>
      <c r="H185" s="28"/>
      <c r="I185" s="28"/>
      <c r="J185" s="28"/>
      <c r="L185" s="28"/>
      <c r="M185" s="28"/>
      <c r="N185" s="28"/>
      <c r="O185" s="28"/>
      <c r="P185" s="28"/>
      <c r="S185" s="28"/>
      <c r="T185" s="28"/>
      <c r="U185" s="13"/>
      <c r="V185" s="28"/>
    </row>
    <row r="186" spans="1:22" ht="15.75">
      <c r="A186" s="15"/>
      <c r="C186" s="15"/>
      <c r="D186" s="15"/>
      <c r="H186" s="28"/>
      <c r="I186" s="28"/>
      <c r="J186" s="28"/>
      <c r="L186" s="28"/>
      <c r="M186" s="28"/>
      <c r="N186" s="28"/>
      <c r="O186" s="28"/>
      <c r="P186" s="28"/>
      <c r="S186" s="28"/>
      <c r="T186" s="28"/>
      <c r="U186" s="13"/>
      <c r="V186" s="28"/>
    </row>
    <row r="187" spans="1:22" ht="15.75">
      <c r="A187" s="15"/>
      <c r="C187" s="15"/>
      <c r="D187" s="15"/>
      <c r="H187" s="28"/>
      <c r="I187" s="28"/>
      <c r="J187" s="28"/>
      <c r="L187" s="28"/>
      <c r="M187" s="28"/>
      <c r="N187" s="28"/>
      <c r="O187" s="28"/>
      <c r="P187" s="28"/>
      <c r="S187" s="28"/>
      <c r="T187" s="28"/>
      <c r="U187" s="13"/>
      <c r="V187" s="28"/>
    </row>
    <row r="188" spans="1:22" ht="15.75">
      <c r="A188" s="15"/>
      <c r="C188" s="15"/>
      <c r="D188" s="15"/>
      <c r="H188" s="28"/>
      <c r="I188" s="28"/>
      <c r="J188" s="28"/>
      <c r="L188" s="28"/>
      <c r="M188" s="28"/>
      <c r="N188" s="28"/>
      <c r="O188" s="28"/>
      <c r="P188" s="28"/>
      <c r="S188" s="28"/>
      <c r="T188" s="28"/>
      <c r="U188" s="13"/>
      <c r="V188" s="28"/>
    </row>
    <row r="189" spans="1:22" ht="15.75">
      <c r="A189" s="15"/>
      <c r="C189" s="15"/>
      <c r="D189" s="15"/>
      <c r="H189" s="28"/>
      <c r="I189" s="28"/>
      <c r="J189" s="28"/>
      <c r="L189" s="28"/>
      <c r="M189" s="28"/>
      <c r="N189" s="28"/>
      <c r="O189" s="28"/>
      <c r="P189" s="28"/>
      <c r="S189" s="28"/>
      <c r="T189" s="28"/>
      <c r="U189" s="13"/>
      <c r="V189" s="28"/>
    </row>
    <row r="190" spans="1:22" ht="15.75">
      <c r="A190" s="15"/>
      <c r="C190" s="15"/>
      <c r="D190" s="15"/>
      <c r="H190" s="28"/>
      <c r="I190" s="28"/>
      <c r="J190" s="28"/>
      <c r="L190" s="28"/>
      <c r="M190" s="28"/>
      <c r="N190" s="28"/>
      <c r="O190" s="28"/>
      <c r="P190" s="28"/>
      <c r="S190" s="28"/>
      <c r="T190" s="28"/>
      <c r="U190" s="13"/>
      <c r="V190" s="28"/>
    </row>
    <row r="191" spans="1:22" ht="15.75">
      <c r="A191" s="15"/>
      <c r="C191" s="15"/>
      <c r="D191" s="15"/>
      <c r="H191" s="28"/>
      <c r="I191" s="28"/>
      <c r="J191" s="28"/>
      <c r="L191" s="28"/>
      <c r="M191" s="28"/>
      <c r="N191" s="28"/>
      <c r="O191" s="28"/>
      <c r="P191" s="28"/>
      <c r="S191" s="28"/>
      <c r="T191" s="28"/>
      <c r="U191" s="13"/>
      <c r="V191" s="28"/>
    </row>
    <row r="192" spans="1:22" ht="15.75">
      <c r="A192" s="15"/>
      <c r="C192" s="15"/>
      <c r="D192" s="15"/>
      <c r="H192" s="28"/>
      <c r="I192" s="28"/>
      <c r="J192" s="28"/>
      <c r="L192" s="28"/>
      <c r="M192" s="28"/>
      <c r="N192" s="28"/>
      <c r="O192" s="28"/>
      <c r="P192" s="28"/>
      <c r="S192" s="28"/>
      <c r="T192" s="28"/>
      <c r="U192" s="13"/>
      <c r="V192" s="28"/>
    </row>
    <row r="193" spans="1:22" ht="15.75">
      <c r="A193" s="15"/>
      <c r="C193" s="15"/>
      <c r="D193" s="15"/>
      <c r="H193" s="28"/>
      <c r="I193" s="28"/>
      <c r="J193" s="28"/>
      <c r="L193" s="28"/>
      <c r="M193" s="28"/>
      <c r="N193" s="28"/>
      <c r="O193" s="28"/>
      <c r="P193" s="28"/>
      <c r="S193" s="28"/>
      <c r="T193" s="28"/>
      <c r="U193" s="13"/>
      <c r="V193" s="28"/>
    </row>
    <row r="194" spans="1:22" ht="15.75">
      <c r="A194" s="15"/>
      <c r="C194" s="15"/>
      <c r="D194" s="15"/>
      <c r="H194" s="28"/>
      <c r="I194" s="28"/>
      <c r="J194" s="28"/>
      <c r="L194" s="28"/>
      <c r="M194" s="28"/>
      <c r="N194" s="28"/>
      <c r="O194" s="28"/>
      <c r="P194" s="28"/>
      <c r="S194" s="28"/>
      <c r="T194" s="28"/>
      <c r="U194" s="13"/>
      <c r="V194" s="28"/>
    </row>
    <row r="195" spans="1:22" ht="15.75">
      <c r="A195" s="15"/>
      <c r="C195" s="15"/>
      <c r="D195" s="15"/>
      <c r="H195" s="28"/>
      <c r="I195" s="28"/>
      <c r="J195" s="28"/>
      <c r="L195" s="28"/>
      <c r="M195" s="28"/>
      <c r="N195" s="28"/>
      <c r="O195" s="28"/>
      <c r="P195" s="28"/>
      <c r="S195" s="28"/>
      <c r="T195" s="28"/>
      <c r="U195" s="13"/>
      <c r="V195" s="28"/>
    </row>
    <row r="196" spans="1:22" ht="15.75">
      <c r="A196" s="15"/>
      <c r="C196" s="15"/>
      <c r="D196" s="15"/>
      <c r="H196" s="28"/>
      <c r="I196" s="28"/>
      <c r="J196" s="28"/>
      <c r="L196" s="28"/>
      <c r="M196" s="28"/>
      <c r="N196" s="28"/>
      <c r="O196" s="28"/>
      <c r="P196" s="28"/>
      <c r="S196" s="28"/>
      <c r="T196" s="28"/>
      <c r="U196" s="13"/>
      <c r="V196" s="28"/>
    </row>
    <row r="197" spans="1:22" ht="15.75">
      <c r="A197" s="15"/>
      <c r="C197" s="15"/>
      <c r="D197" s="15"/>
      <c r="H197" s="28"/>
      <c r="I197" s="28"/>
      <c r="J197" s="28"/>
      <c r="L197" s="28"/>
      <c r="M197" s="28"/>
      <c r="N197" s="28"/>
      <c r="O197" s="28"/>
      <c r="P197" s="28"/>
      <c r="S197" s="28"/>
      <c r="T197" s="28"/>
      <c r="U197" s="13"/>
      <c r="V197" s="28"/>
    </row>
    <row r="198" spans="1:22" ht="15.75">
      <c r="A198" s="15"/>
      <c r="C198" s="15"/>
      <c r="D198" s="15"/>
      <c r="H198" s="28"/>
      <c r="I198" s="28"/>
      <c r="J198" s="28"/>
      <c r="L198" s="28"/>
      <c r="M198" s="28"/>
      <c r="N198" s="28"/>
      <c r="O198" s="28"/>
      <c r="P198" s="28"/>
      <c r="S198" s="28"/>
      <c r="T198" s="28"/>
      <c r="U198" s="13"/>
      <c r="V198" s="28"/>
    </row>
    <row r="199" spans="1:22" ht="15.75">
      <c r="A199" s="15"/>
      <c r="C199" s="15"/>
      <c r="D199" s="15"/>
      <c r="H199" s="28"/>
      <c r="I199" s="28"/>
      <c r="J199" s="28"/>
      <c r="L199" s="28"/>
      <c r="M199" s="28"/>
      <c r="N199" s="28"/>
      <c r="O199" s="28"/>
      <c r="P199" s="28"/>
      <c r="S199" s="28"/>
      <c r="T199" s="28"/>
      <c r="U199" s="13"/>
      <c r="V199" s="28"/>
    </row>
    <row r="200" spans="1:22" ht="15.75">
      <c r="A200" s="15"/>
      <c r="C200" s="15"/>
      <c r="D200" s="15"/>
      <c r="H200" s="28"/>
      <c r="I200" s="28"/>
      <c r="J200" s="28"/>
      <c r="L200" s="28"/>
      <c r="M200" s="28"/>
      <c r="N200" s="28"/>
      <c r="O200" s="28"/>
      <c r="P200" s="28"/>
      <c r="S200" s="28"/>
      <c r="T200" s="28"/>
      <c r="U200" s="13"/>
      <c r="V200" s="28"/>
    </row>
    <row r="201" spans="1:22" ht="15.75">
      <c r="A201" s="15"/>
      <c r="C201" s="15"/>
      <c r="D201" s="15"/>
      <c r="H201" s="28"/>
      <c r="I201" s="28"/>
      <c r="J201" s="28"/>
      <c r="L201" s="28"/>
      <c r="M201" s="28"/>
      <c r="N201" s="28"/>
      <c r="O201" s="28"/>
      <c r="P201" s="28"/>
      <c r="S201" s="28"/>
      <c r="T201" s="28"/>
      <c r="U201" s="13"/>
      <c r="V201" s="28"/>
    </row>
    <row r="202" spans="1:22" ht="15.75">
      <c r="A202" s="15"/>
      <c r="C202" s="15"/>
      <c r="D202" s="15"/>
      <c r="H202" s="28"/>
      <c r="I202" s="28"/>
      <c r="J202" s="28"/>
      <c r="L202" s="28"/>
      <c r="M202" s="28"/>
      <c r="N202" s="28"/>
      <c r="O202" s="28"/>
      <c r="P202" s="28"/>
      <c r="S202" s="28"/>
      <c r="T202" s="28"/>
      <c r="U202" s="13"/>
      <c r="V202" s="28"/>
    </row>
    <row r="203" spans="1:22" ht="15.75">
      <c r="A203" s="15"/>
      <c r="C203" s="15"/>
      <c r="D203" s="15"/>
      <c r="H203" s="28"/>
      <c r="I203" s="28"/>
      <c r="J203" s="28"/>
      <c r="L203" s="28"/>
      <c r="M203" s="28"/>
      <c r="N203" s="28"/>
      <c r="O203" s="28"/>
      <c r="P203" s="28"/>
      <c r="S203" s="28"/>
      <c r="T203" s="28"/>
      <c r="U203" s="13"/>
      <c r="V203" s="28"/>
    </row>
    <row r="204" spans="1:22" ht="15.75">
      <c r="A204" s="15"/>
      <c r="C204" s="15"/>
      <c r="D204" s="15"/>
      <c r="H204" s="28"/>
      <c r="I204" s="28"/>
      <c r="J204" s="28"/>
      <c r="L204" s="28"/>
      <c r="M204" s="28"/>
      <c r="N204" s="28"/>
      <c r="O204" s="28"/>
      <c r="P204" s="28"/>
      <c r="S204" s="28"/>
      <c r="T204" s="28"/>
      <c r="U204" s="13"/>
      <c r="V204" s="28"/>
    </row>
    <row r="205" spans="1:22" ht="15.75">
      <c r="A205" s="15"/>
      <c r="C205" s="15"/>
      <c r="D205" s="15"/>
      <c r="H205" s="28"/>
      <c r="I205" s="28"/>
      <c r="J205" s="28"/>
      <c r="L205" s="28"/>
      <c r="M205" s="28"/>
      <c r="N205" s="28"/>
      <c r="O205" s="28"/>
      <c r="P205" s="28"/>
      <c r="S205" s="28"/>
      <c r="T205" s="28"/>
      <c r="U205" s="13"/>
      <c r="V205" s="28"/>
    </row>
    <row r="206" spans="1:22" ht="15.75">
      <c r="A206" s="15"/>
      <c r="C206" s="15"/>
      <c r="D206" s="15"/>
      <c r="H206" s="28"/>
      <c r="I206" s="28"/>
      <c r="J206" s="28"/>
      <c r="L206" s="28"/>
      <c r="M206" s="28"/>
      <c r="N206" s="28"/>
      <c r="O206" s="28"/>
      <c r="P206" s="28"/>
      <c r="S206" s="28"/>
      <c r="T206" s="28"/>
      <c r="U206" s="13"/>
      <c r="V206" s="28"/>
    </row>
    <row r="207" spans="1:22" ht="15.75">
      <c r="A207" s="15"/>
      <c r="C207" s="15"/>
      <c r="D207" s="15"/>
      <c r="H207" s="28"/>
      <c r="I207" s="28"/>
      <c r="J207" s="28"/>
      <c r="L207" s="28"/>
      <c r="M207" s="28"/>
      <c r="N207" s="28"/>
      <c r="O207" s="28"/>
      <c r="P207" s="28"/>
      <c r="S207" s="28"/>
      <c r="T207" s="28"/>
      <c r="U207" s="13"/>
      <c r="V207" s="28"/>
    </row>
    <row r="208" spans="1:22" ht="15.75">
      <c r="A208" s="15"/>
      <c r="C208" s="15"/>
      <c r="D208" s="15"/>
      <c r="H208" s="28"/>
      <c r="I208" s="28"/>
      <c r="J208" s="28"/>
      <c r="L208" s="28"/>
      <c r="M208" s="28"/>
      <c r="N208" s="28"/>
      <c r="O208" s="28"/>
      <c r="P208" s="28"/>
      <c r="S208" s="28"/>
      <c r="T208" s="28"/>
      <c r="U208" s="13"/>
      <c r="V208" s="28"/>
    </row>
    <row r="209" spans="1:22" ht="15.75">
      <c r="A209" s="15"/>
      <c r="C209" s="15"/>
      <c r="D209" s="15"/>
      <c r="H209" s="28"/>
      <c r="I209" s="28"/>
      <c r="J209" s="28"/>
      <c r="L209" s="28"/>
      <c r="M209" s="28"/>
      <c r="N209" s="28"/>
      <c r="O209" s="28"/>
      <c r="P209" s="28"/>
      <c r="S209" s="28"/>
      <c r="T209" s="28"/>
      <c r="U209" s="13"/>
      <c r="V209" s="28"/>
    </row>
    <row r="210" spans="1:22" ht="15.75">
      <c r="A210" s="15"/>
      <c r="C210" s="15"/>
      <c r="D210" s="15"/>
      <c r="H210" s="28"/>
      <c r="I210" s="28"/>
      <c r="J210" s="28"/>
      <c r="L210" s="28"/>
      <c r="M210" s="28"/>
      <c r="N210" s="28"/>
      <c r="O210" s="28"/>
      <c r="P210" s="28"/>
      <c r="S210" s="28"/>
      <c r="T210" s="28"/>
      <c r="U210" s="13"/>
      <c r="V210" s="28"/>
    </row>
    <row r="211" spans="1:22" ht="15.75">
      <c r="A211" s="15"/>
      <c r="C211" s="15"/>
      <c r="D211" s="15"/>
      <c r="H211" s="28"/>
      <c r="I211" s="28"/>
      <c r="J211" s="28"/>
      <c r="L211" s="28"/>
      <c r="M211" s="28"/>
      <c r="N211" s="28"/>
      <c r="O211" s="28"/>
      <c r="P211" s="28"/>
      <c r="S211" s="28"/>
      <c r="T211" s="28"/>
      <c r="U211" s="13"/>
      <c r="V211" s="28"/>
    </row>
    <row r="212" spans="1:22" ht="15.75">
      <c r="A212" s="15"/>
      <c r="C212" s="15"/>
      <c r="D212" s="15"/>
      <c r="H212" s="28"/>
      <c r="I212" s="28"/>
      <c r="J212" s="28"/>
      <c r="L212" s="28"/>
      <c r="M212" s="28"/>
      <c r="N212" s="28"/>
      <c r="O212" s="28"/>
      <c r="P212" s="28"/>
      <c r="S212" s="28"/>
      <c r="T212" s="28"/>
      <c r="U212" s="13"/>
      <c r="V212" s="28"/>
    </row>
    <row r="213" spans="1:22" ht="15.75">
      <c r="A213" s="15"/>
      <c r="C213" s="15"/>
      <c r="D213" s="15"/>
      <c r="H213" s="28"/>
      <c r="I213" s="28"/>
      <c r="J213" s="28"/>
      <c r="L213" s="28"/>
      <c r="M213" s="28"/>
      <c r="N213" s="28"/>
      <c r="O213" s="28"/>
      <c r="P213" s="28"/>
      <c r="S213" s="28"/>
      <c r="T213" s="28"/>
      <c r="U213" s="13"/>
      <c r="V213" s="28"/>
    </row>
    <row r="214" spans="1:22" ht="15.75">
      <c r="A214" s="15"/>
      <c r="C214" s="15"/>
      <c r="D214" s="15"/>
      <c r="H214" s="28"/>
      <c r="I214" s="28"/>
      <c r="J214" s="28"/>
      <c r="L214" s="28"/>
      <c r="M214" s="28"/>
      <c r="N214" s="28"/>
      <c r="O214" s="28"/>
      <c r="P214" s="28"/>
      <c r="S214" s="28"/>
      <c r="T214" s="28"/>
      <c r="U214" s="13"/>
      <c r="V214" s="28"/>
    </row>
    <row r="215" spans="1:22" ht="15.75">
      <c r="A215" s="15"/>
      <c r="C215" s="15"/>
      <c r="D215" s="15"/>
      <c r="H215" s="28"/>
      <c r="I215" s="28"/>
      <c r="J215" s="28"/>
      <c r="L215" s="28"/>
      <c r="M215" s="28"/>
      <c r="N215" s="28"/>
      <c r="O215" s="28"/>
      <c r="P215" s="28"/>
      <c r="S215" s="28"/>
      <c r="T215" s="28"/>
      <c r="U215" s="13"/>
      <c r="V215" s="28"/>
    </row>
    <row r="216" spans="1:22" ht="15.75">
      <c r="A216" s="15"/>
      <c r="C216" s="15"/>
      <c r="D216" s="15"/>
      <c r="H216" s="28"/>
      <c r="I216" s="28"/>
      <c r="J216" s="28"/>
      <c r="L216" s="28"/>
      <c r="M216" s="28"/>
      <c r="N216" s="28"/>
      <c r="O216" s="28"/>
      <c r="P216" s="28"/>
      <c r="S216" s="28"/>
      <c r="T216" s="28"/>
      <c r="U216" s="13"/>
      <c r="V216" s="28"/>
    </row>
    <row r="217" spans="1:22" ht="15.75">
      <c r="A217" s="15"/>
      <c r="C217" s="15"/>
      <c r="D217" s="15"/>
      <c r="H217" s="28"/>
      <c r="I217" s="28"/>
      <c r="J217" s="28"/>
      <c r="L217" s="28"/>
      <c r="M217" s="28"/>
      <c r="N217" s="28"/>
      <c r="O217" s="28"/>
      <c r="P217" s="28"/>
      <c r="S217" s="28"/>
      <c r="T217" s="28"/>
      <c r="U217" s="13"/>
      <c r="V217" s="28"/>
    </row>
    <row r="218" spans="1:22" ht="15.75">
      <c r="A218" s="15"/>
      <c r="C218" s="15"/>
      <c r="D218" s="15"/>
      <c r="H218" s="28"/>
      <c r="I218" s="28"/>
      <c r="J218" s="28"/>
      <c r="L218" s="28"/>
      <c r="M218" s="28"/>
      <c r="N218" s="28"/>
      <c r="O218" s="28"/>
      <c r="P218" s="28"/>
      <c r="S218" s="28"/>
      <c r="T218" s="28"/>
      <c r="U218" s="13"/>
      <c r="V218" s="28"/>
    </row>
    <row r="219" spans="1:22" ht="15.75">
      <c r="A219" s="15"/>
      <c r="C219" s="15"/>
      <c r="D219" s="15"/>
      <c r="H219" s="28"/>
      <c r="I219" s="28"/>
      <c r="J219" s="28"/>
      <c r="L219" s="28"/>
      <c r="M219" s="28"/>
      <c r="N219" s="28"/>
      <c r="O219" s="28"/>
      <c r="P219" s="28"/>
      <c r="S219" s="28"/>
      <c r="T219" s="28"/>
      <c r="U219" s="13"/>
      <c r="V219" s="28"/>
    </row>
    <row r="220" spans="1:22" ht="15.75">
      <c r="A220" s="15"/>
      <c r="C220" s="15"/>
      <c r="D220" s="15"/>
      <c r="H220" s="28"/>
      <c r="I220" s="28"/>
      <c r="J220" s="28"/>
      <c r="L220" s="28"/>
      <c r="M220" s="28"/>
      <c r="N220" s="28"/>
      <c r="O220" s="28"/>
      <c r="P220" s="28"/>
      <c r="S220" s="28"/>
      <c r="T220" s="28"/>
      <c r="U220" s="13"/>
      <c r="V220" s="28"/>
    </row>
    <row r="221" spans="1:22" ht="15.75">
      <c r="A221" s="15"/>
      <c r="C221" s="15"/>
      <c r="D221" s="15"/>
      <c r="H221" s="28"/>
      <c r="I221" s="28"/>
      <c r="J221" s="28"/>
      <c r="L221" s="28"/>
      <c r="M221" s="28"/>
      <c r="N221" s="28"/>
      <c r="O221" s="28"/>
      <c r="P221" s="28"/>
      <c r="S221" s="28"/>
      <c r="T221" s="28"/>
      <c r="U221" s="13"/>
      <c r="V221" s="28"/>
    </row>
    <row r="222" spans="1:22" ht="15.75">
      <c r="A222" s="15"/>
      <c r="C222" s="15"/>
      <c r="D222" s="15"/>
      <c r="H222" s="28"/>
      <c r="I222" s="28"/>
      <c r="J222" s="28"/>
      <c r="L222" s="28"/>
      <c r="M222" s="28"/>
      <c r="N222" s="28"/>
      <c r="O222" s="28"/>
      <c r="P222" s="28"/>
      <c r="S222" s="28"/>
      <c r="T222" s="28"/>
      <c r="U222" s="13"/>
      <c r="V222" s="28"/>
    </row>
    <row r="223" spans="1:22" ht="15.75">
      <c r="A223" s="15"/>
      <c r="C223" s="15"/>
      <c r="D223" s="15"/>
      <c r="H223" s="28"/>
      <c r="I223" s="28"/>
      <c r="J223" s="28"/>
      <c r="L223" s="28"/>
      <c r="M223" s="28"/>
      <c r="N223" s="28"/>
      <c r="O223" s="28"/>
      <c r="P223" s="28"/>
      <c r="S223" s="28"/>
      <c r="T223" s="28"/>
      <c r="U223" s="13"/>
      <c r="V223" s="28"/>
    </row>
    <row r="224" spans="1:22" ht="15.75">
      <c r="A224" s="15"/>
      <c r="C224" s="15"/>
      <c r="D224" s="15"/>
      <c r="H224" s="28"/>
      <c r="I224" s="28"/>
      <c r="J224" s="28"/>
      <c r="L224" s="28"/>
      <c r="M224" s="28"/>
      <c r="N224" s="28"/>
      <c r="O224" s="28"/>
      <c r="P224" s="28"/>
      <c r="S224" s="28"/>
      <c r="T224" s="28"/>
      <c r="U224" s="13"/>
      <c r="V224" s="28"/>
    </row>
    <row r="225" spans="1:22" ht="15.75">
      <c r="A225" s="15"/>
      <c r="C225" s="15"/>
      <c r="D225" s="15"/>
      <c r="H225" s="28"/>
      <c r="I225" s="28"/>
      <c r="J225" s="28"/>
      <c r="L225" s="28"/>
      <c r="M225" s="28"/>
      <c r="N225" s="28"/>
      <c r="O225" s="28"/>
      <c r="P225" s="28"/>
      <c r="S225" s="28"/>
      <c r="T225" s="28"/>
      <c r="U225" s="13"/>
      <c r="V225" s="28"/>
    </row>
    <row r="226" spans="1:22" ht="15.75">
      <c r="A226" s="15"/>
      <c r="C226" s="15"/>
      <c r="D226" s="15"/>
      <c r="H226" s="28"/>
      <c r="I226" s="28"/>
      <c r="J226" s="28"/>
      <c r="L226" s="28"/>
      <c r="M226" s="28"/>
      <c r="N226" s="28"/>
      <c r="O226" s="28"/>
      <c r="P226" s="28"/>
      <c r="S226" s="28"/>
      <c r="T226" s="28"/>
      <c r="U226" s="13"/>
      <c r="V226" s="28"/>
    </row>
    <row r="227" spans="1:22" ht="15.75">
      <c r="A227" s="15"/>
      <c r="C227" s="15"/>
      <c r="D227" s="15"/>
      <c r="H227" s="28"/>
      <c r="I227" s="28"/>
      <c r="J227" s="28"/>
      <c r="L227" s="28"/>
      <c r="M227" s="28"/>
      <c r="N227" s="28"/>
      <c r="O227" s="28"/>
      <c r="P227" s="28"/>
      <c r="S227" s="28"/>
      <c r="T227" s="28"/>
      <c r="U227" s="13"/>
      <c r="V227" s="28"/>
    </row>
    <row r="228" spans="1:22" ht="15.75">
      <c r="A228" s="15"/>
      <c r="C228" s="15"/>
      <c r="D228" s="15"/>
      <c r="H228" s="28"/>
      <c r="I228" s="28"/>
      <c r="J228" s="28"/>
      <c r="L228" s="28"/>
      <c r="M228" s="28"/>
      <c r="N228" s="28"/>
      <c r="O228" s="28"/>
      <c r="P228" s="28"/>
      <c r="S228" s="28"/>
      <c r="T228" s="28"/>
      <c r="U228" s="13"/>
      <c r="V228" s="28"/>
    </row>
    <row r="229" spans="1:22" ht="15.75">
      <c r="A229" s="15"/>
      <c r="C229" s="15"/>
      <c r="D229" s="15"/>
      <c r="H229" s="28"/>
      <c r="I229" s="28"/>
      <c r="J229" s="28"/>
      <c r="L229" s="28"/>
      <c r="M229" s="28"/>
      <c r="N229" s="28"/>
      <c r="O229" s="28"/>
      <c r="P229" s="28"/>
      <c r="S229" s="28"/>
      <c r="T229" s="28"/>
      <c r="U229" s="13"/>
      <c r="V229" s="28"/>
    </row>
    <row r="230" spans="1:22" ht="15.75">
      <c r="A230" s="15"/>
      <c r="C230" s="15"/>
      <c r="D230" s="15"/>
      <c r="H230" s="28"/>
      <c r="I230" s="28"/>
      <c r="J230" s="28"/>
      <c r="L230" s="28"/>
      <c r="M230" s="28"/>
      <c r="N230" s="28"/>
      <c r="O230" s="28"/>
      <c r="P230" s="28"/>
      <c r="S230" s="28"/>
      <c r="T230" s="28"/>
      <c r="U230" s="13"/>
      <c r="V230" s="28"/>
    </row>
    <row r="231" spans="1:22" ht="15.75">
      <c r="A231" s="15"/>
      <c r="C231" s="15"/>
      <c r="D231" s="15"/>
      <c r="H231" s="28"/>
      <c r="I231" s="28"/>
      <c r="J231" s="28"/>
      <c r="L231" s="28"/>
      <c r="M231" s="28"/>
      <c r="N231" s="28"/>
      <c r="O231" s="28"/>
      <c r="P231" s="28"/>
      <c r="S231" s="28"/>
      <c r="T231" s="28"/>
      <c r="U231" s="13"/>
      <c r="V231" s="28"/>
    </row>
    <row r="232" spans="1:22" ht="15.75">
      <c r="A232" s="15"/>
      <c r="C232" s="15"/>
      <c r="D232" s="15"/>
      <c r="H232" s="28"/>
      <c r="I232" s="28"/>
      <c r="J232" s="28"/>
      <c r="L232" s="28"/>
      <c r="M232" s="28"/>
      <c r="N232" s="28"/>
      <c r="O232" s="28"/>
      <c r="P232" s="28"/>
      <c r="S232" s="28"/>
      <c r="T232" s="28"/>
      <c r="U232" s="13"/>
      <c r="V232" s="28"/>
    </row>
    <row r="233" spans="1:22" ht="15.75">
      <c r="A233" s="15"/>
      <c r="C233" s="15"/>
      <c r="D233" s="15"/>
      <c r="H233" s="28"/>
      <c r="I233" s="28"/>
      <c r="J233" s="28"/>
      <c r="L233" s="28"/>
      <c r="M233" s="28"/>
      <c r="N233" s="28"/>
      <c r="O233" s="28"/>
      <c r="P233" s="28"/>
      <c r="S233" s="28"/>
      <c r="T233" s="28"/>
      <c r="U233" s="13"/>
      <c r="V233" s="28"/>
    </row>
    <row r="234" spans="1:22" ht="15.75">
      <c r="A234" s="15"/>
      <c r="C234" s="15"/>
      <c r="D234" s="15"/>
      <c r="H234" s="28"/>
      <c r="I234" s="28"/>
      <c r="J234" s="28"/>
      <c r="L234" s="28"/>
      <c r="M234" s="28"/>
      <c r="N234" s="28"/>
      <c r="O234" s="28"/>
      <c r="P234" s="28"/>
      <c r="S234" s="28"/>
      <c r="T234" s="28"/>
      <c r="U234" s="13"/>
      <c r="V234" s="28"/>
    </row>
    <row r="235" spans="1:22" ht="15.75">
      <c r="A235" s="15"/>
      <c r="C235" s="15"/>
      <c r="D235" s="15"/>
      <c r="H235" s="28"/>
      <c r="I235" s="28"/>
      <c r="J235" s="28"/>
      <c r="L235" s="28"/>
      <c r="M235" s="28"/>
      <c r="N235" s="28"/>
      <c r="O235" s="28"/>
      <c r="P235" s="28"/>
      <c r="S235" s="28"/>
      <c r="T235" s="28"/>
      <c r="U235" s="13"/>
      <c r="V235" s="28"/>
    </row>
    <row r="236" spans="1:22" ht="15.75">
      <c r="A236" s="15"/>
      <c r="C236" s="15"/>
      <c r="D236" s="15"/>
      <c r="H236" s="28"/>
      <c r="I236" s="28"/>
      <c r="J236" s="28"/>
      <c r="L236" s="28"/>
      <c r="M236" s="28"/>
      <c r="N236" s="28"/>
      <c r="O236" s="28"/>
      <c r="P236" s="28"/>
      <c r="S236" s="28"/>
      <c r="T236" s="28"/>
      <c r="U236" s="13"/>
      <c r="V236" s="28"/>
    </row>
    <row r="237" spans="1:22" ht="15.75">
      <c r="A237" s="15"/>
      <c r="C237" s="15"/>
      <c r="D237" s="15"/>
      <c r="H237" s="28"/>
      <c r="I237" s="28"/>
      <c r="J237" s="28"/>
      <c r="L237" s="28"/>
      <c r="M237" s="28"/>
      <c r="N237" s="28"/>
      <c r="O237" s="28"/>
      <c r="P237" s="28"/>
      <c r="S237" s="28"/>
      <c r="T237" s="28"/>
      <c r="U237" s="13"/>
      <c r="V237" s="28"/>
    </row>
    <row r="238" spans="1:22" ht="15.75">
      <c r="A238" s="15"/>
      <c r="C238" s="15"/>
      <c r="D238" s="15"/>
      <c r="H238" s="28"/>
      <c r="I238" s="28"/>
      <c r="J238" s="28"/>
      <c r="L238" s="28"/>
      <c r="M238" s="28"/>
      <c r="N238" s="28"/>
      <c r="O238" s="28"/>
      <c r="P238" s="28"/>
      <c r="S238" s="28"/>
      <c r="T238" s="28"/>
      <c r="U238" s="13"/>
      <c r="V238" s="28"/>
    </row>
    <row r="239" spans="1:22" ht="15.75">
      <c r="A239" s="15"/>
      <c r="C239" s="15"/>
      <c r="D239" s="15"/>
      <c r="H239" s="28"/>
      <c r="I239" s="28"/>
      <c r="J239" s="28"/>
      <c r="L239" s="28"/>
      <c r="M239" s="28"/>
      <c r="N239" s="28"/>
      <c r="O239" s="28"/>
      <c r="P239" s="28"/>
      <c r="S239" s="28"/>
      <c r="T239" s="28"/>
      <c r="U239" s="13"/>
      <c r="V239" s="28"/>
    </row>
    <row r="240" spans="1:22" ht="15.75">
      <c r="A240" s="15"/>
      <c r="C240" s="15"/>
      <c r="D240" s="15"/>
      <c r="H240" s="28"/>
      <c r="I240" s="28"/>
      <c r="J240" s="28"/>
      <c r="L240" s="28"/>
      <c r="M240" s="28"/>
      <c r="N240" s="28"/>
      <c r="O240" s="28"/>
      <c r="P240" s="28"/>
      <c r="S240" s="28"/>
      <c r="T240" s="28"/>
      <c r="U240" s="13"/>
      <c r="V240" s="28"/>
    </row>
    <row r="241" spans="1:22" ht="15.75">
      <c r="A241" s="15"/>
      <c r="C241" s="15"/>
      <c r="D241" s="15"/>
      <c r="H241" s="28"/>
      <c r="I241" s="28"/>
      <c r="J241" s="28"/>
      <c r="L241" s="28"/>
      <c r="M241" s="28"/>
      <c r="N241" s="28"/>
      <c r="O241" s="28"/>
      <c r="P241" s="28"/>
      <c r="S241" s="28"/>
      <c r="T241" s="28"/>
      <c r="U241" s="13"/>
      <c r="V241" s="28"/>
    </row>
    <row r="242" spans="1:22" ht="15.75">
      <c r="A242" s="15"/>
      <c r="C242" s="15"/>
      <c r="D242" s="15"/>
      <c r="H242" s="28"/>
      <c r="I242" s="28"/>
      <c r="J242" s="28"/>
      <c r="L242" s="28"/>
      <c r="M242" s="28"/>
      <c r="N242" s="28"/>
      <c r="O242" s="28"/>
      <c r="P242" s="28"/>
      <c r="S242" s="28"/>
      <c r="T242" s="28"/>
      <c r="U242" s="13"/>
      <c r="V242" s="28"/>
    </row>
    <row r="243" spans="1:22" ht="15.75">
      <c r="A243" s="15"/>
      <c r="C243" s="15"/>
      <c r="D243" s="15"/>
      <c r="H243" s="28"/>
      <c r="I243" s="28"/>
      <c r="J243" s="28"/>
      <c r="L243" s="28"/>
      <c r="M243" s="28"/>
      <c r="N243" s="28"/>
      <c r="O243" s="28"/>
      <c r="P243" s="28"/>
      <c r="S243" s="28"/>
      <c r="T243" s="28"/>
      <c r="U243" s="13"/>
      <c r="V243" s="28"/>
    </row>
    <row r="244" spans="1:22" ht="15.75">
      <c r="A244" s="15"/>
      <c r="C244" s="15"/>
      <c r="D244" s="15"/>
      <c r="H244" s="28"/>
      <c r="I244" s="28"/>
      <c r="J244" s="28"/>
      <c r="L244" s="28"/>
      <c r="M244" s="28"/>
      <c r="N244" s="28"/>
      <c r="O244" s="28"/>
      <c r="P244" s="28"/>
      <c r="S244" s="28"/>
      <c r="T244" s="28"/>
      <c r="U244" s="13"/>
      <c r="V244" s="28"/>
    </row>
    <row r="245" spans="1:22" ht="15.75">
      <c r="A245" s="15"/>
      <c r="C245" s="15"/>
      <c r="D245" s="15"/>
      <c r="H245" s="28"/>
      <c r="I245" s="28"/>
      <c r="J245" s="28"/>
      <c r="L245" s="28"/>
      <c r="M245" s="28"/>
      <c r="N245" s="28"/>
      <c r="O245" s="28"/>
      <c r="P245" s="28"/>
      <c r="S245" s="28"/>
      <c r="T245" s="28"/>
      <c r="U245" s="13"/>
      <c r="V245" s="28"/>
    </row>
    <row r="246" spans="1:22" ht="15.75">
      <c r="A246" s="15"/>
      <c r="C246" s="15"/>
      <c r="D246" s="15"/>
      <c r="H246" s="28"/>
      <c r="I246" s="28"/>
      <c r="J246" s="28"/>
      <c r="L246" s="28"/>
      <c r="M246" s="28"/>
      <c r="N246" s="28"/>
      <c r="O246" s="28"/>
      <c r="P246" s="28"/>
      <c r="S246" s="28"/>
      <c r="T246" s="28"/>
      <c r="U246" s="13"/>
      <c r="V246" s="28"/>
    </row>
    <row r="247" spans="1:22" ht="15.75">
      <c r="A247" s="15"/>
      <c r="C247" s="15"/>
      <c r="D247" s="15"/>
      <c r="H247" s="28"/>
      <c r="I247" s="28"/>
      <c r="J247" s="28"/>
      <c r="L247" s="28"/>
      <c r="M247" s="28"/>
      <c r="N247" s="28"/>
      <c r="O247" s="28"/>
      <c r="P247" s="28"/>
      <c r="S247" s="28"/>
      <c r="T247" s="28"/>
      <c r="U247" s="13"/>
      <c r="V247" s="28"/>
    </row>
    <row r="248" spans="1:22" ht="15.75">
      <c r="A248" s="15"/>
      <c r="C248" s="15"/>
      <c r="D248" s="15"/>
      <c r="H248" s="28"/>
      <c r="I248" s="28"/>
      <c r="J248" s="28"/>
      <c r="L248" s="28"/>
      <c r="M248" s="28"/>
      <c r="N248" s="28"/>
      <c r="O248" s="28"/>
      <c r="P248" s="28"/>
      <c r="S248" s="28"/>
      <c r="T248" s="28"/>
      <c r="U248" s="13"/>
      <c r="V248" s="28"/>
    </row>
    <row r="249" spans="1:22" ht="15.75">
      <c r="A249" s="15"/>
      <c r="C249" s="15"/>
      <c r="D249" s="15"/>
      <c r="H249" s="28"/>
      <c r="I249" s="28"/>
      <c r="J249" s="28"/>
      <c r="L249" s="28"/>
      <c r="M249" s="28"/>
      <c r="N249" s="28"/>
      <c r="O249" s="28"/>
      <c r="P249" s="28"/>
      <c r="S249" s="28"/>
      <c r="T249" s="28"/>
      <c r="U249" s="13"/>
      <c r="V249" s="28"/>
    </row>
    <row r="250" spans="1:22" ht="15.75">
      <c r="A250" s="15"/>
      <c r="C250" s="15"/>
      <c r="D250" s="15"/>
      <c r="H250" s="28"/>
      <c r="I250" s="28"/>
      <c r="J250" s="28"/>
      <c r="L250" s="28"/>
      <c r="M250" s="28"/>
      <c r="N250" s="28"/>
      <c r="O250" s="28"/>
      <c r="P250" s="28"/>
      <c r="S250" s="28"/>
      <c r="T250" s="28"/>
      <c r="U250" s="13"/>
      <c r="V250" s="28"/>
    </row>
    <row r="251" spans="1:22" ht="15.75">
      <c r="A251" s="15"/>
      <c r="C251" s="15"/>
      <c r="D251" s="15"/>
      <c r="H251" s="28"/>
      <c r="I251" s="28"/>
      <c r="J251" s="28"/>
      <c r="L251" s="28"/>
      <c r="M251" s="28"/>
      <c r="N251" s="28"/>
      <c r="O251" s="28"/>
      <c r="P251" s="28"/>
      <c r="S251" s="28"/>
      <c r="T251" s="28"/>
      <c r="U251" s="13"/>
      <c r="V251" s="28"/>
    </row>
    <row r="252" spans="1:22" ht="15.75">
      <c r="A252" s="15"/>
      <c r="C252" s="15"/>
      <c r="D252" s="15"/>
    </row>
    <row r="253" spans="1:22" ht="15.75">
      <c r="A253" s="15"/>
      <c r="C253" s="15"/>
      <c r="D253" s="15"/>
      <c r="K253" s="15"/>
      <c r="Q253" s="15"/>
      <c r="R253" s="15"/>
      <c r="U253" s="15"/>
    </row>
    <row r="254" spans="1:22" ht="15.75">
      <c r="A254" s="15"/>
      <c r="C254" s="15"/>
      <c r="D254" s="15"/>
      <c r="K254" s="15"/>
      <c r="Q254" s="15"/>
      <c r="R254" s="15"/>
      <c r="U254" s="15"/>
    </row>
    <row r="255" spans="1:22" ht="15.75">
      <c r="A255" s="15"/>
      <c r="C255" s="15"/>
      <c r="D255" s="15"/>
      <c r="K255" s="15"/>
      <c r="Q255" s="15"/>
      <c r="R255" s="15"/>
      <c r="U255" s="15"/>
    </row>
    <row r="256" spans="1:22" ht="15.75">
      <c r="A256" s="15"/>
      <c r="C256" s="15"/>
      <c r="D256" s="15"/>
      <c r="K256" s="15"/>
      <c r="Q256" s="15"/>
      <c r="R256" s="15"/>
      <c r="U256" s="15"/>
    </row>
    <row r="257" spans="1:21" ht="15.75">
      <c r="A257" s="15"/>
      <c r="C257" s="15"/>
      <c r="D257" s="15"/>
      <c r="K257" s="15"/>
      <c r="Q257" s="15"/>
      <c r="R257" s="15"/>
      <c r="U257" s="15"/>
    </row>
    <row r="258" spans="1:21" ht="15.75">
      <c r="A258" s="15"/>
      <c r="C258" s="15"/>
      <c r="D258" s="15"/>
      <c r="K258" s="15"/>
      <c r="Q258" s="15"/>
      <c r="R258" s="15"/>
      <c r="U258" s="15"/>
    </row>
    <row r="259" spans="1:21" ht="15.75">
      <c r="A259" s="15"/>
      <c r="C259" s="15"/>
      <c r="D259" s="15"/>
      <c r="K259" s="15"/>
      <c r="Q259" s="15"/>
      <c r="R259" s="15"/>
      <c r="U259" s="15"/>
    </row>
  </sheetData>
  <mergeCells count="40">
    <mergeCell ref="A100:L100"/>
    <mergeCell ref="A1:D1"/>
    <mergeCell ref="P1:S1"/>
    <mergeCell ref="A2:D2"/>
    <mergeCell ref="P2:S2"/>
    <mergeCell ref="A3:D3"/>
    <mergeCell ref="P3:S3"/>
    <mergeCell ref="A8:S8"/>
    <mergeCell ref="B10:C10"/>
    <mergeCell ref="F10:G10"/>
    <mergeCell ref="H10:I10"/>
    <mergeCell ref="A4:D4"/>
    <mergeCell ref="P4:S4"/>
    <mergeCell ref="A5:S5"/>
    <mergeCell ref="A6:S6"/>
    <mergeCell ref="A7:S7"/>
    <mergeCell ref="O88:R88"/>
    <mergeCell ref="O91:R91"/>
    <mergeCell ref="U10:U11"/>
    <mergeCell ref="V10:V11"/>
    <mergeCell ref="A93:D93"/>
    <mergeCell ref="Q10:Q11"/>
    <mergeCell ref="R10:R11"/>
    <mergeCell ref="S10:S11"/>
    <mergeCell ref="AC11:AC14"/>
    <mergeCell ref="Z11:Z14"/>
    <mergeCell ref="AA11:AA14"/>
    <mergeCell ref="AB11:AB14"/>
    <mergeCell ref="A101:L101"/>
    <mergeCell ref="A10:A11"/>
    <mergeCell ref="D10:D11"/>
    <mergeCell ref="E10:E11"/>
    <mergeCell ref="J10:J11"/>
    <mergeCell ref="K10:K11"/>
    <mergeCell ref="A84:E84"/>
    <mergeCell ref="A88:E88"/>
    <mergeCell ref="B91:D91"/>
    <mergeCell ref="A86:S86"/>
    <mergeCell ref="A87:S87"/>
    <mergeCell ref="L10:P10"/>
  </mergeCells>
  <printOptions horizontalCentered="1"/>
  <pageMargins left="0.19685039370078741" right="0.19685039370078741" top="0.39370078740157483" bottom="0.39370078740157483" header="0.23622047244094491" footer="0.23622047244094491"/>
  <pageSetup paperSize="9" scale="65" fitToWidth="0" fitToHeight="0" orientation="landscape" r:id="rId1"/>
  <colBreaks count="1" manualBreakCount="1">
    <brk id="22" max="12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BCD D1T1</vt:lpstr>
      <vt:lpstr>BPTL D1T1</vt:lpstr>
      <vt:lpstr>BCC D1(26)</vt:lpstr>
      <vt:lpstr>BTHKL D1 T1 (26)</vt:lpstr>
      <vt:lpstr>BPHAN CHIA </vt:lpstr>
      <vt:lpstr>KLCN t1 dot 1</vt:lpstr>
      <vt:lpstr>KLCN t1 dot 2</vt:lpstr>
      <vt:lpstr>TTL dot​2 (31947)</vt:lpstr>
      <vt:lpstr>'KLCN t1 dot 1'!Print_Area</vt:lpstr>
      <vt:lpstr>'KLCN t1 dot 2'!Print_Area</vt:lpstr>
      <vt:lpstr>'TTL dot​2 (31947)'!Print_Area</vt:lpstr>
      <vt:lpstr>'BCC D1(26)'!Print_Titles</vt:lpstr>
      <vt:lpstr>'BPTL D1T1'!Print_Titles</vt:lpstr>
      <vt:lpstr>'BTHKL D1 T1 (26)'!Print_Titles</vt:lpstr>
      <vt:lpstr>'KLCN t1 dot 1'!Print_Titles</vt:lpstr>
      <vt:lpstr>'KLCN t1 dot 2'!Print_Titles</vt:lpstr>
      <vt:lpstr>'TTL dot​2 (31947)'!Print_Titles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HP_MAV</cp:lastModifiedBy>
  <cp:lastPrinted>2026-02-03T03:11:25Z</cp:lastPrinted>
  <dcterms:created xsi:type="dcterms:W3CDTF">2025-08-01T02:19:00Z</dcterms:created>
  <dcterms:modified xsi:type="dcterms:W3CDTF">2026-02-05T06:51:26Z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698754FC6A4C41689E80767044A1DC05_13</vt:lpwstr>
  </property>
  <property fmtid="{D5CDD505-2E9C-101B-9397-08002B2CF9AE}" pid="3" name="KSOProductBuildVer">
    <vt:lpwstr>1033-12.2.0.21931</vt:lpwstr>
  </property>
</Properties>
</file>